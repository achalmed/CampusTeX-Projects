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\Promperu\Red de Inteligencia Comercial\Ayacucho\GRUPOS\Grupo 5 Aspagro\"/>
    </mc:Choice>
  </mc:AlternateContent>
  <xr:revisionPtr revIDLastSave="0" documentId="13_ncr:1_{FE3B3683-059E-4F35-B7F2-C5BE10D0DC15}" xr6:coauthVersionLast="47" xr6:coauthVersionMax="47" xr10:uidLastSave="{00000000-0000-0000-0000-000000000000}"/>
  <bookViews>
    <workbookView xWindow="-108" yWindow="-108" windowWidth="23256" windowHeight="12456" tabRatio="839" activeTab="3" xr2:uid="{00000000-000D-0000-FFFF-FFFF00000000}"/>
  </bookViews>
  <sheets>
    <sheet name="IND_ECONOMICOS" sheetId="15" r:id="rId1"/>
    <sheet name="PRODUC_NACIONAL" sheetId="18" r:id="rId2"/>
    <sheet name="ESTACIONALIDAD_2020_2021" sheetId="5" r:id="rId3"/>
    <sheet name="EXPORTACION X REGIONES_POWER BI" sheetId="20" r:id="rId4"/>
    <sheet name="EX_MERCADO_DISTINO" sheetId="3" r:id="rId5"/>
    <sheet name="EXP_EE.UU_USD" sheetId="10" r:id="rId6"/>
    <sheet name="EXP__EE.UU_TN" sheetId="6" r:id="rId7"/>
    <sheet name="import_EE.UU_USD" sheetId="7" r:id="rId8"/>
    <sheet name="IMPRT_EE.UU_TONELADAS" sheetId="9" r:id="rId9"/>
    <sheet name="IMP_DE EE.UU_MES_USD" sheetId="11" r:id="rId10"/>
    <sheet name="IMP_DE EE.UU_MES_TONELADA" sheetId="12" r:id="rId11"/>
    <sheet name="produc_total" sheetId="13" r:id="rId12"/>
    <sheet name="tendencia" sheetId="21" r:id="rId13"/>
    <sheet name="PRODUC_+ IMP_DESDE PERU" sheetId="22" r:id="rId14"/>
    <sheet name="REGIONES_AÑOS" sheetId="8" r:id="rId15"/>
    <sheet name="EMP_EX_DE PERU" sheetId="16" r:id="rId16"/>
    <sheet name="PRODUCCION_EE.UU" sheetId="23" r:id="rId17"/>
  </sheets>
  <externalReferences>
    <externalReference r:id="rId18"/>
  </externalReferences>
  <definedNames>
    <definedName name="DatosExternos_1" localSheetId="15" hidden="1">'EMP_EX_DE PERU'!#REF!</definedName>
    <definedName name="DatosExternos_1" localSheetId="16" hidden="1">PRODUCCION_EE.UU!#REF!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3" l="1"/>
  <c r="G3" i="23"/>
  <c r="H3" i="23"/>
  <c r="I10" i="20"/>
  <c r="J10" i="20"/>
  <c r="I11" i="20"/>
  <c r="J11" i="20"/>
  <c r="I12" i="20"/>
  <c r="J12" i="20"/>
  <c r="I13" i="20"/>
  <c r="J13" i="20"/>
  <c r="I14" i="20"/>
  <c r="J14" i="20"/>
  <c r="I15" i="20"/>
  <c r="J15" i="20"/>
  <c r="I16" i="20"/>
  <c r="J16" i="20"/>
  <c r="I17" i="20"/>
  <c r="J17" i="20"/>
  <c r="I18" i="20"/>
  <c r="J18" i="20"/>
  <c r="I19" i="20"/>
  <c r="J19" i="20"/>
  <c r="I20" i="20"/>
  <c r="J20" i="20"/>
  <c r="I21" i="20"/>
  <c r="J21" i="20"/>
  <c r="I22" i="20"/>
  <c r="J22" i="20"/>
  <c r="I23" i="20"/>
  <c r="J23" i="20"/>
  <c r="I24" i="20"/>
  <c r="J24" i="20"/>
  <c r="I17" i="16"/>
  <c r="C24" i="16"/>
  <c r="D24" i="16"/>
  <c r="E24" i="16"/>
  <c r="E3" i="16" s="1"/>
  <c r="F24" i="16"/>
  <c r="I24" i="16" s="1"/>
  <c r="G24" i="16"/>
  <c r="J24" i="16"/>
  <c r="G3" i="16"/>
  <c r="H24" i="16" s="1"/>
  <c r="J21" i="16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2" i="16"/>
  <c r="J23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J87" i="16"/>
  <c r="J88" i="16"/>
  <c r="J89" i="16"/>
  <c r="J90" i="16"/>
  <c r="J91" i="16"/>
  <c r="J92" i="16"/>
  <c r="J93" i="16"/>
  <c r="J94" i="16"/>
  <c r="J95" i="16"/>
  <c r="J96" i="16"/>
  <c r="J97" i="16"/>
  <c r="J98" i="16"/>
  <c r="J99" i="16"/>
  <c r="J100" i="16"/>
  <c r="J101" i="16"/>
  <c r="J102" i="16"/>
  <c r="J103" i="16"/>
  <c r="J104" i="16"/>
  <c r="J105" i="16"/>
  <c r="J106" i="16"/>
  <c r="J107" i="16"/>
  <c r="J108" i="16"/>
  <c r="J109" i="16"/>
  <c r="J110" i="16"/>
  <c r="J111" i="16"/>
  <c r="J112" i="16"/>
  <c r="J113" i="16"/>
  <c r="J114" i="16"/>
  <c r="J115" i="16"/>
  <c r="J116" i="16"/>
  <c r="J117" i="16"/>
  <c r="J118" i="16"/>
  <c r="J119" i="16"/>
  <c r="J120" i="16"/>
  <c r="J121" i="16"/>
  <c r="J122" i="16"/>
  <c r="J123" i="16"/>
  <c r="J124" i="16"/>
  <c r="J125" i="16"/>
  <c r="J126" i="16"/>
  <c r="J127" i="16"/>
  <c r="J128" i="16"/>
  <c r="J129" i="16"/>
  <c r="J130" i="16"/>
  <c r="J131" i="16"/>
  <c r="J132" i="16"/>
  <c r="J133" i="16"/>
  <c r="J134" i="16"/>
  <c r="J135" i="16"/>
  <c r="J136" i="16"/>
  <c r="J137" i="16"/>
  <c r="J138" i="16"/>
  <c r="J139" i="16"/>
  <c r="J140" i="16"/>
  <c r="J141" i="16"/>
  <c r="J142" i="16"/>
  <c r="J143" i="16"/>
  <c r="J144" i="16"/>
  <c r="J145" i="16"/>
  <c r="J146" i="16"/>
  <c r="J147" i="16"/>
  <c r="J148" i="16"/>
  <c r="J149" i="16"/>
  <c r="J150" i="16"/>
  <c r="J151" i="16"/>
  <c r="J152" i="16"/>
  <c r="J153" i="16"/>
  <c r="J154" i="16"/>
  <c r="J155" i="16"/>
  <c r="J156" i="16"/>
  <c r="J157" i="16"/>
  <c r="J158" i="16"/>
  <c r="J159" i="16"/>
  <c r="J160" i="16"/>
  <c r="J161" i="16"/>
  <c r="J162" i="16"/>
  <c r="J163" i="16"/>
  <c r="J164" i="16"/>
  <c r="J165" i="16"/>
  <c r="J166" i="16"/>
  <c r="J167" i="16"/>
  <c r="J168" i="16"/>
  <c r="J169" i="16"/>
  <c r="J170" i="16"/>
  <c r="J171" i="16"/>
  <c r="J172" i="16"/>
  <c r="J173" i="16"/>
  <c r="J174" i="16"/>
  <c r="J175" i="16"/>
  <c r="J176" i="16"/>
  <c r="J177" i="16"/>
  <c r="J178" i="16"/>
  <c r="J179" i="16"/>
  <c r="J180" i="16"/>
  <c r="J181" i="16"/>
  <c r="J182" i="16"/>
  <c r="J183" i="16"/>
  <c r="J184" i="16"/>
  <c r="J185" i="16"/>
  <c r="J186" i="16"/>
  <c r="J187" i="16"/>
  <c r="J188" i="16"/>
  <c r="J189" i="16"/>
  <c r="J190" i="16"/>
  <c r="J191" i="16"/>
  <c r="J192" i="16"/>
  <c r="J193" i="16"/>
  <c r="J194" i="16"/>
  <c r="J195" i="16"/>
  <c r="J196" i="16"/>
  <c r="J197" i="16"/>
  <c r="J198" i="16"/>
  <c r="J199" i="16"/>
  <c r="J200" i="16"/>
  <c r="J201" i="16"/>
  <c r="J202" i="16"/>
  <c r="J203" i="16"/>
  <c r="J204" i="16"/>
  <c r="J205" i="16"/>
  <c r="J206" i="16"/>
  <c r="J207" i="16"/>
  <c r="J208" i="16"/>
  <c r="J209" i="16"/>
  <c r="J210" i="16"/>
  <c r="J211" i="16"/>
  <c r="J212" i="16"/>
  <c r="J213" i="16"/>
  <c r="J214" i="16"/>
  <c r="J215" i="16"/>
  <c r="J216" i="16"/>
  <c r="J217" i="16"/>
  <c r="J218" i="16"/>
  <c r="J219" i="16"/>
  <c r="J220" i="16"/>
  <c r="J221" i="16"/>
  <c r="J222" i="16"/>
  <c r="J223" i="16"/>
  <c r="J224" i="16"/>
  <c r="J225" i="16"/>
  <c r="J226" i="16"/>
  <c r="J227" i="16"/>
  <c r="J228" i="16"/>
  <c r="J229" i="16"/>
  <c r="J230" i="16"/>
  <c r="J231" i="16"/>
  <c r="J232" i="16"/>
  <c r="J233" i="16"/>
  <c r="J234" i="16"/>
  <c r="J235" i="16"/>
  <c r="J236" i="16"/>
  <c r="J237" i="16"/>
  <c r="J238" i="16"/>
  <c r="J239" i="16"/>
  <c r="J240" i="16"/>
  <c r="J241" i="16"/>
  <c r="J242" i="16"/>
  <c r="J243" i="16"/>
  <c r="J244" i="16"/>
  <c r="J245" i="16"/>
  <c r="J246" i="16"/>
  <c r="J247" i="16"/>
  <c r="J248" i="16"/>
  <c r="J249" i="16"/>
  <c r="J250" i="16"/>
  <c r="J251" i="16"/>
  <c r="J252" i="16"/>
  <c r="J253" i="16"/>
  <c r="J254" i="16"/>
  <c r="J255" i="16"/>
  <c r="J256" i="16"/>
  <c r="J257" i="16"/>
  <c r="J258" i="16"/>
  <c r="J259" i="16"/>
  <c r="J260" i="16"/>
  <c r="J261" i="16"/>
  <c r="J262" i="16"/>
  <c r="J263" i="16"/>
  <c r="J264" i="16"/>
  <c r="J265" i="16"/>
  <c r="J266" i="16"/>
  <c r="J267" i="16"/>
  <c r="J268" i="16"/>
  <c r="J269" i="16"/>
  <c r="J270" i="16"/>
  <c r="J271" i="16"/>
  <c r="J272" i="16"/>
  <c r="J273" i="16"/>
  <c r="J274" i="16"/>
  <c r="J275" i="16"/>
  <c r="J276" i="16"/>
  <c r="J277" i="16"/>
  <c r="J278" i="16"/>
  <c r="J279" i="16"/>
  <c r="J280" i="16"/>
  <c r="J281" i="16"/>
  <c r="J282" i="16"/>
  <c r="J283" i="16"/>
  <c r="J284" i="16"/>
  <c r="J285" i="16"/>
  <c r="J286" i="16"/>
  <c r="J287" i="16"/>
  <c r="J288" i="16"/>
  <c r="J289" i="16"/>
  <c r="J290" i="16"/>
  <c r="J291" i="16"/>
  <c r="J292" i="16"/>
  <c r="J293" i="16"/>
  <c r="J294" i="16"/>
  <c r="J295" i="16"/>
  <c r="J296" i="16"/>
  <c r="J297" i="16"/>
  <c r="J298" i="16"/>
  <c r="J299" i="16"/>
  <c r="J300" i="16"/>
  <c r="J301" i="16"/>
  <c r="J302" i="16"/>
  <c r="J303" i="16"/>
  <c r="J304" i="16"/>
  <c r="J305" i="16"/>
  <c r="J306" i="16"/>
  <c r="J307" i="16"/>
  <c r="J308" i="16"/>
  <c r="J309" i="16"/>
  <c r="J310" i="16"/>
  <c r="J311" i="16"/>
  <c r="J312" i="16"/>
  <c r="J313" i="16"/>
  <c r="J314" i="16"/>
  <c r="J315" i="16"/>
  <c r="J316" i="16"/>
  <c r="J317" i="16"/>
  <c r="J318" i="16"/>
  <c r="J319" i="16"/>
  <c r="J320" i="16"/>
  <c r="J321" i="16"/>
  <c r="J322" i="16"/>
  <c r="J323" i="16"/>
  <c r="J324" i="16"/>
  <c r="J325" i="16"/>
  <c r="J326" i="16"/>
  <c r="J327" i="16"/>
  <c r="J328" i="16"/>
  <c r="J329" i="16"/>
  <c r="J330" i="16"/>
  <c r="J331" i="16"/>
  <c r="J332" i="16"/>
  <c r="J333" i="16"/>
  <c r="J334" i="16"/>
  <c r="J335" i="16"/>
  <c r="J336" i="16"/>
  <c r="J337" i="16"/>
  <c r="J338" i="16"/>
  <c r="J339" i="16"/>
  <c r="J340" i="16"/>
  <c r="J341" i="16"/>
  <c r="J342" i="16"/>
  <c r="J343" i="16"/>
  <c r="J344" i="16"/>
  <c r="J345" i="16"/>
  <c r="J346" i="16"/>
  <c r="J347" i="16"/>
  <c r="J348" i="16"/>
  <c r="J349" i="16"/>
  <c r="J350" i="16"/>
  <c r="J351" i="16"/>
  <c r="J352" i="16"/>
  <c r="J353" i="16"/>
  <c r="J354" i="16"/>
  <c r="J355" i="16"/>
  <c r="J356" i="16"/>
  <c r="J357" i="16"/>
  <c r="J358" i="16"/>
  <c r="J359" i="16"/>
  <c r="J360" i="16"/>
  <c r="I4" i="16"/>
  <c r="I5" i="16"/>
  <c r="I6" i="16"/>
  <c r="I7" i="16"/>
  <c r="I9" i="16"/>
  <c r="I10" i="16"/>
  <c r="I11" i="16"/>
  <c r="I12" i="16"/>
  <c r="I13" i="16"/>
  <c r="I14" i="16"/>
  <c r="I15" i="16"/>
  <c r="I16" i="16"/>
  <c r="I18" i="16"/>
  <c r="I19" i="16"/>
  <c r="I20" i="16"/>
  <c r="I21" i="16"/>
  <c r="I22" i="16"/>
  <c r="I23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183" i="16"/>
  <c r="I184" i="16"/>
  <c r="I185" i="16"/>
  <c r="I186" i="16"/>
  <c r="I187" i="16"/>
  <c r="I188" i="16"/>
  <c r="I189" i="16"/>
  <c r="I190" i="16"/>
  <c r="I191" i="16"/>
  <c r="I192" i="16"/>
  <c r="I193" i="16"/>
  <c r="I194" i="16"/>
  <c r="I195" i="16"/>
  <c r="I196" i="16"/>
  <c r="I197" i="16"/>
  <c r="I198" i="16"/>
  <c r="I199" i="16"/>
  <c r="I200" i="16"/>
  <c r="I201" i="16"/>
  <c r="I202" i="16"/>
  <c r="I203" i="16"/>
  <c r="I204" i="16"/>
  <c r="I205" i="16"/>
  <c r="I206" i="16"/>
  <c r="I207" i="16"/>
  <c r="I208" i="16"/>
  <c r="I209" i="16"/>
  <c r="I210" i="16"/>
  <c r="I211" i="16"/>
  <c r="I212" i="16"/>
  <c r="I213" i="16"/>
  <c r="I214" i="16"/>
  <c r="I215" i="16"/>
  <c r="I216" i="16"/>
  <c r="I217" i="16"/>
  <c r="I218" i="16"/>
  <c r="I219" i="16"/>
  <c r="I220" i="16"/>
  <c r="I221" i="16"/>
  <c r="I222" i="16"/>
  <c r="I223" i="16"/>
  <c r="I224" i="16"/>
  <c r="I225" i="16"/>
  <c r="I226" i="16"/>
  <c r="I227" i="16"/>
  <c r="I228" i="16"/>
  <c r="I229" i="16"/>
  <c r="I230" i="16"/>
  <c r="I231" i="16"/>
  <c r="I232" i="16"/>
  <c r="I233" i="16"/>
  <c r="I234" i="16"/>
  <c r="I235" i="16"/>
  <c r="I236" i="16"/>
  <c r="I237" i="16"/>
  <c r="I238" i="16"/>
  <c r="I239" i="16"/>
  <c r="I240" i="16"/>
  <c r="I241" i="16"/>
  <c r="I242" i="16"/>
  <c r="I243" i="16"/>
  <c r="I244" i="16"/>
  <c r="I245" i="16"/>
  <c r="I246" i="16"/>
  <c r="I247" i="16"/>
  <c r="I248" i="16"/>
  <c r="I249" i="16"/>
  <c r="I250" i="16"/>
  <c r="I251" i="16"/>
  <c r="I252" i="16"/>
  <c r="I253" i="16"/>
  <c r="I254" i="16"/>
  <c r="I255" i="16"/>
  <c r="I256" i="16"/>
  <c r="I257" i="16"/>
  <c r="I258" i="16"/>
  <c r="I259" i="16"/>
  <c r="I260" i="16"/>
  <c r="I261" i="16"/>
  <c r="I262" i="16"/>
  <c r="I263" i="16"/>
  <c r="I264" i="16"/>
  <c r="I265" i="16"/>
  <c r="I266" i="16"/>
  <c r="I267" i="16"/>
  <c r="I268" i="16"/>
  <c r="I269" i="16"/>
  <c r="I270" i="16"/>
  <c r="I271" i="16"/>
  <c r="I272" i="16"/>
  <c r="I273" i="16"/>
  <c r="I274" i="16"/>
  <c r="I275" i="16"/>
  <c r="I276" i="16"/>
  <c r="I277" i="16"/>
  <c r="I278" i="16"/>
  <c r="I279" i="16"/>
  <c r="I280" i="16"/>
  <c r="I281" i="16"/>
  <c r="I282" i="16"/>
  <c r="I283" i="16"/>
  <c r="I284" i="16"/>
  <c r="I285" i="16"/>
  <c r="I286" i="16"/>
  <c r="I287" i="16"/>
  <c r="I288" i="16"/>
  <c r="I289" i="16"/>
  <c r="I290" i="16"/>
  <c r="I291" i="16"/>
  <c r="I292" i="16"/>
  <c r="I293" i="16"/>
  <c r="I294" i="16"/>
  <c r="I295" i="16"/>
  <c r="I296" i="16"/>
  <c r="I297" i="16"/>
  <c r="I298" i="16"/>
  <c r="I299" i="16"/>
  <c r="I300" i="16"/>
  <c r="I301" i="16"/>
  <c r="I302" i="16"/>
  <c r="I303" i="16"/>
  <c r="I304" i="16"/>
  <c r="I305" i="16"/>
  <c r="I306" i="16"/>
  <c r="I307" i="16"/>
  <c r="I308" i="16"/>
  <c r="I309" i="16"/>
  <c r="I310" i="16"/>
  <c r="I311" i="16"/>
  <c r="I312" i="16"/>
  <c r="I313" i="16"/>
  <c r="I314" i="16"/>
  <c r="I315" i="16"/>
  <c r="I316" i="16"/>
  <c r="I317" i="16"/>
  <c r="I318" i="16"/>
  <c r="I319" i="16"/>
  <c r="I320" i="16"/>
  <c r="I321" i="16"/>
  <c r="I322" i="16"/>
  <c r="I323" i="16"/>
  <c r="I324" i="16"/>
  <c r="I325" i="16"/>
  <c r="I326" i="16"/>
  <c r="I327" i="16"/>
  <c r="I328" i="16"/>
  <c r="I329" i="16"/>
  <c r="I330" i="16"/>
  <c r="I331" i="16"/>
  <c r="I332" i="16"/>
  <c r="I333" i="16"/>
  <c r="I334" i="16"/>
  <c r="I335" i="16"/>
  <c r="I336" i="16"/>
  <c r="I337" i="16"/>
  <c r="I338" i="16"/>
  <c r="I339" i="16"/>
  <c r="I340" i="16"/>
  <c r="I341" i="16"/>
  <c r="I342" i="16"/>
  <c r="I343" i="16"/>
  <c r="I344" i="16"/>
  <c r="I345" i="16"/>
  <c r="I346" i="16"/>
  <c r="I347" i="16"/>
  <c r="I348" i="16"/>
  <c r="I349" i="16"/>
  <c r="I350" i="16"/>
  <c r="I351" i="16"/>
  <c r="I352" i="16"/>
  <c r="I353" i="16"/>
  <c r="I354" i="16"/>
  <c r="I355" i="16"/>
  <c r="I356" i="16"/>
  <c r="I357" i="16"/>
  <c r="I358" i="16"/>
  <c r="I359" i="16"/>
  <c r="I360" i="16"/>
  <c r="D3" i="16"/>
  <c r="C3" i="16"/>
  <c r="J4" i="13"/>
  <c r="J5" i="13"/>
  <c r="J6" i="13"/>
  <c r="J3" i="13"/>
  <c r="I4" i="13"/>
  <c r="I5" i="13"/>
  <c r="I6" i="13"/>
  <c r="I3" i="13"/>
  <c r="O19" i="12"/>
  <c r="O14" i="12"/>
  <c r="O15" i="12"/>
  <c r="O16" i="12"/>
  <c r="O17" i="12"/>
  <c r="O18" i="12"/>
  <c r="O13" i="12"/>
  <c r="O9" i="12"/>
  <c r="O5" i="12"/>
  <c r="O4" i="12"/>
  <c r="O6" i="12"/>
  <c r="O7" i="12"/>
  <c r="O8" i="12"/>
  <c r="O3" i="12"/>
  <c r="O5" i="11"/>
  <c r="O4" i="11"/>
  <c r="O7" i="11"/>
  <c r="O6" i="11"/>
  <c r="O8" i="11"/>
  <c r="O3" i="11"/>
  <c r="O18" i="11"/>
  <c r="O17" i="11"/>
  <c r="O16" i="11"/>
  <c r="O15" i="11"/>
  <c r="O14" i="11"/>
  <c r="O13" i="11"/>
  <c r="D9" i="9"/>
  <c r="E9" i="9"/>
  <c r="F9" i="9"/>
  <c r="G9" i="9"/>
  <c r="J9" i="9" s="1"/>
  <c r="C9" i="9"/>
  <c r="J3" i="9"/>
  <c r="I3" i="9"/>
  <c r="J4" i="9"/>
  <c r="J5" i="9"/>
  <c r="J6" i="9"/>
  <c r="J7" i="9"/>
  <c r="J8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I4" i="9"/>
  <c r="I5" i="9"/>
  <c r="I6" i="9"/>
  <c r="I7" i="9"/>
  <c r="I8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10" i="7"/>
  <c r="J4" i="7"/>
  <c r="J5" i="7"/>
  <c r="J6" i="7"/>
  <c r="J7" i="7"/>
  <c r="J8" i="7"/>
  <c r="J10" i="7"/>
  <c r="J11" i="7"/>
  <c r="J12" i="7"/>
  <c r="J3" i="7"/>
  <c r="I11" i="7"/>
  <c r="I12" i="7"/>
  <c r="D9" i="7"/>
  <c r="E9" i="7"/>
  <c r="F9" i="7"/>
  <c r="G9" i="7"/>
  <c r="I9" i="7" s="1"/>
  <c r="C9" i="7"/>
  <c r="I4" i="7"/>
  <c r="I5" i="7"/>
  <c r="I6" i="7"/>
  <c r="I7" i="7"/>
  <c r="I8" i="7"/>
  <c r="I3" i="7"/>
  <c r="J9" i="20"/>
  <c r="I9" i="20"/>
  <c r="C3" i="20"/>
  <c r="J9" i="6"/>
  <c r="I9" i="6"/>
  <c r="H9" i="6"/>
  <c r="D9" i="6"/>
  <c r="E9" i="6"/>
  <c r="F9" i="6"/>
  <c r="G9" i="6"/>
  <c r="C9" i="6"/>
  <c r="J4" i="6"/>
  <c r="J5" i="6"/>
  <c r="J6" i="6"/>
  <c r="J7" i="6"/>
  <c r="J8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3" i="6"/>
  <c r="I4" i="6"/>
  <c r="I5" i="6"/>
  <c r="I6" i="6"/>
  <c r="I7" i="6"/>
  <c r="I8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3" i="6"/>
  <c r="I9" i="10"/>
  <c r="H9" i="10"/>
  <c r="D9" i="10"/>
  <c r="E9" i="10"/>
  <c r="F9" i="10"/>
  <c r="G9" i="10"/>
  <c r="C9" i="10"/>
  <c r="J9" i="10" s="1"/>
  <c r="I7" i="10"/>
  <c r="J4" i="10"/>
  <c r="J5" i="10"/>
  <c r="J6" i="10"/>
  <c r="J7" i="10"/>
  <c r="J8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3" i="10"/>
  <c r="I4" i="10"/>
  <c r="I5" i="10"/>
  <c r="I6" i="10"/>
  <c r="I8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3" i="10"/>
  <c r="H3" i="3"/>
  <c r="J14" i="3"/>
  <c r="I14" i="3"/>
  <c r="H14" i="3"/>
  <c r="D14" i="3"/>
  <c r="E14" i="3"/>
  <c r="F14" i="3"/>
  <c r="G14" i="3"/>
  <c r="C14" i="3"/>
  <c r="J4" i="3"/>
  <c r="J5" i="3"/>
  <c r="J7" i="3"/>
  <c r="J6" i="3"/>
  <c r="J8" i="3"/>
  <c r="J10" i="3"/>
  <c r="J12" i="3"/>
  <c r="J9" i="3"/>
  <c r="J20" i="3"/>
  <c r="J11" i="3"/>
  <c r="J17" i="3"/>
  <c r="J16" i="3"/>
  <c r="J18" i="3"/>
  <c r="J27" i="3"/>
  <c r="J13" i="3"/>
  <c r="J33" i="3"/>
  <c r="J23" i="3"/>
  <c r="J22" i="3"/>
  <c r="J42" i="3"/>
  <c r="J34" i="3"/>
  <c r="J29" i="3"/>
  <c r="J57" i="3"/>
  <c r="J19" i="3"/>
  <c r="J38" i="3"/>
  <c r="J32" i="3"/>
  <c r="J25" i="3"/>
  <c r="J37" i="3"/>
  <c r="J31" i="3"/>
  <c r="J30" i="3"/>
  <c r="J21" i="3"/>
  <c r="J26" i="3"/>
  <c r="J56" i="3"/>
  <c r="J40" i="3"/>
  <c r="J28" i="3"/>
  <c r="J79" i="3"/>
  <c r="J61" i="3"/>
  <c r="J39" i="3"/>
  <c r="J36" i="3"/>
  <c r="J35" i="3"/>
  <c r="J58" i="3"/>
  <c r="J80" i="3"/>
  <c r="J54" i="3"/>
  <c r="J49" i="3"/>
  <c r="J52" i="3"/>
  <c r="J46" i="3"/>
  <c r="J44" i="3"/>
  <c r="J59" i="3"/>
  <c r="J48" i="3"/>
  <c r="J55" i="3"/>
  <c r="J81" i="3"/>
  <c r="J41" i="3"/>
  <c r="J82" i="3"/>
  <c r="J70" i="3"/>
  <c r="J47" i="3"/>
  <c r="J65" i="3"/>
  <c r="J24" i="3"/>
  <c r="J60" i="3"/>
  <c r="J53" i="3"/>
  <c r="J15" i="3"/>
  <c r="J68" i="3"/>
  <c r="J71" i="3"/>
  <c r="J76" i="3"/>
  <c r="J64" i="3"/>
  <c r="J62" i="3"/>
  <c r="J63" i="3"/>
  <c r="J75" i="3"/>
  <c r="J67" i="3"/>
  <c r="J83" i="3"/>
  <c r="J84" i="3"/>
  <c r="J66" i="3"/>
  <c r="J78" i="3"/>
  <c r="J85" i="3"/>
  <c r="J86" i="3"/>
  <c r="J77" i="3"/>
  <c r="J87" i="3"/>
  <c r="J88" i="3"/>
  <c r="J45" i="3"/>
  <c r="J69" i="3"/>
  <c r="J89" i="3"/>
  <c r="J90" i="3"/>
  <c r="J91" i="3"/>
  <c r="J43" i="3"/>
  <c r="J92" i="3"/>
  <c r="J50" i="3"/>
  <c r="J72" i="3"/>
  <c r="J51" i="3"/>
  <c r="J93" i="3"/>
  <c r="J74" i="3"/>
  <c r="J73" i="3"/>
  <c r="I4" i="3"/>
  <c r="I5" i="3"/>
  <c r="I7" i="3"/>
  <c r="I6" i="3"/>
  <c r="I8" i="3"/>
  <c r="I10" i="3"/>
  <c r="I12" i="3"/>
  <c r="I9" i="3"/>
  <c r="I20" i="3"/>
  <c r="I11" i="3"/>
  <c r="I17" i="3"/>
  <c r="I16" i="3"/>
  <c r="I18" i="3"/>
  <c r="I27" i="3"/>
  <c r="I13" i="3"/>
  <c r="I33" i="3"/>
  <c r="I23" i="3"/>
  <c r="I22" i="3"/>
  <c r="I42" i="3"/>
  <c r="I34" i="3"/>
  <c r="I29" i="3"/>
  <c r="I57" i="3"/>
  <c r="I19" i="3"/>
  <c r="I38" i="3"/>
  <c r="I32" i="3"/>
  <c r="I25" i="3"/>
  <c r="I37" i="3"/>
  <c r="I31" i="3"/>
  <c r="I30" i="3"/>
  <c r="I21" i="3"/>
  <c r="I26" i="3"/>
  <c r="I56" i="3"/>
  <c r="I40" i="3"/>
  <c r="I28" i="3"/>
  <c r="I79" i="3"/>
  <c r="I61" i="3"/>
  <c r="I39" i="3"/>
  <c r="I36" i="3"/>
  <c r="I35" i="3"/>
  <c r="I58" i="3"/>
  <c r="I80" i="3"/>
  <c r="I54" i="3"/>
  <c r="I49" i="3"/>
  <c r="I52" i="3"/>
  <c r="I46" i="3"/>
  <c r="I44" i="3"/>
  <c r="I59" i="3"/>
  <c r="I48" i="3"/>
  <c r="I55" i="3"/>
  <c r="I81" i="3"/>
  <c r="I41" i="3"/>
  <c r="I82" i="3"/>
  <c r="I70" i="3"/>
  <c r="I47" i="3"/>
  <c r="I65" i="3"/>
  <c r="I24" i="3"/>
  <c r="I60" i="3"/>
  <c r="I53" i="3"/>
  <c r="I15" i="3"/>
  <c r="I68" i="3"/>
  <c r="I71" i="3"/>
  <c r="I76" i="3"/>
  <c r="I64" i="3"/>
  <c r="I62" i="3"/>
  <c r="I63" i="3"/>
  <c r="I75" i="3"/>
  <c r="I67" i="3"/>
  <c r="I83" i="3"/>
  <c r="I84" i="3"/>
  <c r="I66" i="3"/>
  <c r="I78" i="3"/>
  <c r="I85" i="3"/>
  <c r="I86" i="3"/>
  <c r="I77" i="3"/>
  <c r="I87" i="3"/>
  <c r="I88" i="3"/>
  <c r="I45" i="3"/>
  <c r="I69" i="3"/>
  <c r="I89" i="3"/>
  <c r="I90" i="3"/>
  <c r="I91" i="3"/>
  <c r="I43" i="3"/>
  <c r="I92" i="3"/>
  <c r="I50" i="3"/>
  <c r="I72" i="3"/>
  <c r="I51" i="3"/>
  <c r="I93" i="3"/>
  <c r="I74" i="3"/>
  <c r="I73" i="3"/>
  <c r="J4" i="20"/>
  <c r="J5" i="20"/>
  <c r="J6" i="20"/>
  <c r="J7" i="20"/>
  <c r="J8" i="20"/>
  <c r="I4" i="20"/>
  <c r="I5" i="20"/>
  <c r="I6" i="20"/>
  <c r="I7" i="20"/>
  <c r="I8" i="20"/>
  <c r="D3" i="20"/>
  <c r="F3" i="20"/>
  <c r="E3" i="20"/>
  <c r="D10" i="5"/>
  <c r="E10" i="5"/>
  <c r="F10" i="5"/>
  <c r="G10" i="5"/>
  <c r="H10" i="5"/>
  <c r="I10" i="5"/>
  <c r="J10" i="5"/>
  <c r="K10" i="5"/>
  <c r="L10" i="5"/>
  <c r="M10" i="5"/>
  <c r="N10" i="5"/>
  <c r="O10" i="5"/>
  <c r="C10" i="5"/>
  <c r="D37" i="5"/>
  <c r="E37" i="5"/>
  <c r="F37" i="5"/>
  <c r="G37" i="5"/>
  <c r="H37" i="5"/>
  <c r="I37" i="5"/>
  <c r="J37" i="5"/>
  <c r="K37" i="5"/>
  <c r="L37" i="5"/>
  <c r="M37" i="5"/>
  <c r="N37" i="5"/>
  <c r="O37" i="5"/>
  <c r="C37" i="5"/>
  <c r="AE5" i="5"/>
  <c r="O5" i="5"/>
  <c r="O6" i="5"/>
  <c r="O7" i="5"/>
  <c r="O8" i="5"/>
  <c r="O9" i="5"/>
  <c r="O11" i="5"/>
  <c r="O12" i="5"/>
  <c r="O13" i="5"/>
  <c r="O14" i="5"/>
  <c r="O15" i="5"/>
  <c r="O16" i="5"/>
  <c r="O4" i="5"/>
  <c r="H4" i="18"/>
  <c r="I4" i="18"/>
  <c r="J4" i="18"/>
  <c r="I17" i="18"/>
  <c r="I5" i="18"/>
  <c r="I6" i="18"/>
  <c r="I7" i="18"/>
  <c r="I8" i="18"/>
  <c r="I9" i="18"/>
  <c r="I11" i="18"/>
  <c r="I12" i="18"/>
  <c r="I13" i="18"/>
  <c r="I14" i="18"/>
  <c r="I15" i="18"/>
  <c r="I16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J5" i="18"/>
  <c r="J6" i="18"/>
  <c r="J7" i="18"/>
  <c r="J8" i="18"/>
  <c r="J9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E10" i="18"/>
  <c r="F10" i="18"/>
  <c r="G10" i="18"/>
  <c r="J10" i="18" s="1"/>
  <c r="D10" i="18"/>
  <c r="H5" i="18"/>
  <c r="H6" i="18"/>
  <c r="H7" i="18"/>
  <c r="H8" i="18"/>
  <c r="H9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5" i="13"/>
  <c r="K3" i="8"/>
  <c r="K4" i="8"/>
  <c r="K5" i="8"/>
  <c r="K6" i="8"/>
  <c r="K7" i="8"/>
  <c r="K8" i="8"/>
  <c r="K9" i="8"/>
  <c r="K10" i="8"/>
  <c r="K11" i="8"/>
  <c r="K13" i="8"/>
  <c r="K14" i="8"/>
  <c r="K15" i="8"/>
  <c r="K16" i="8"/>
  <c r="K17" i="8"/>
  <c r="K18" i="8"/>
  <c r="K19" i="8"/>
  <c r="K20" i="8"/>
  <c r="K21" i="8"/>
  <c r="O24" i="11"/>
  <c r="O25" i="11"/>
  <c r="O26" i="11"/>
  <c r="O28" i="11"/>
  <c r="O27" i="11"/>
  <c r="O23" i="11"/>
  <c r="H14" i="8"/>
  <c r="D12" i="8"/>
  <c r="E12" i="8"/>
  <c r="F12" i="8"/>
  <c r="Q12" i="8" s="1"/>
  <c r="G12" i="8"/>
  <c r="R12" i="8" s="1"/>
  <c r="I12" i="8" s="1"/>
  <c r="C12" i="8"/>
  <c r="K12" i="8" s="1"/>
  <c r="H3" i="7"/>
  <c r="F3" i="16" l="1"/>
  <c r="H4" i="16"/>
  <c r="H20" i="16"/>
  <c r="H37" i="16"/>
  <c r="H53" i="16"/>
  <c r="H69" i="16"/>
  <c r="H85" i="16"/>
  <c r="H101" i="16"/>
  <c r="H117" i="16"/>
  <c r="H133" i="16"/>
  <c r="H149" i="16"/>
  <c r="H165" i="16"/>
  <c r="H181" i="16"/>
  <c r="H197" i="16"/>
  <c r="H213" i="16"/>
  <c r="H229" i="16"/>
  <c r="H245" i="16"/>
  <c r="H261" i="16"/>
  <c r="H277" i="16"/>
  <c r="H293" i="16"/>
  <c r="H308" i="16"/>
  <c r="H318" i="16"/>
  <c r="H325" i="16"/>
  <c r="H332" i="16"/>
  <c r="H340" i="16"/>
  <c r="H346" i="16"/>
  <c r="H351" i="16"/>
  <c r="H357" i="16"/>
  <c r="H30" i="16"/>
  <c r="H62" i="16"/>
  <c r="H94" i="16"/>
  <c r="H126" i="16"/>
  <c r="H142" i="16"/>
  <c r="H174" i="16"/>
  <c r="H206" i="16"/>
  <c r="H238" i="16"/>
  <c r="H270" i="16"/>
  <c r="H302" i="16"/>
  <c r="H330" i="16"/>
  <c r="H345" i="16"/>
  <c r="H355" i="16"/>
  <c r="H5" i="16"/>
  <c r="H21" i="16"/>
  <c r="H38" i="16"/>
  <c r="H54" i="16"/>
  <c r="H70" i="16"/>
  <c r="H86" i="16"/>
  <c r="H102" i="16"/>
  <c r="H118" i="16"/>
  <c r="H134" i="16"/>
  <c r="H150" i="16"/>
  <c r="H166" i="16"/>
  <c r="H182" i="16"/>
  <c r="H198" i="16"/>
  <c r="H214" i="16"/>
  <c r="H230" i="16"/>
  <c r="H246" i="16"/>
  <c r="H262" i="16"/>
  <c r="H278" i="16"/>
  <c r="H294" i="16"/>
  <c r="H309" i="16"/>
  <c r="H320" i="16"/>
  <c r="H326" i="16"/>
  <c r="H334" i="16"/>
  <c r="H341" i="16"/>
  <c r="H347" i="16"/>
  <c r="H353" i="16"/>
  <c r="H358" i="16"/>
  <c r="H13" i="16"/>
  <c r="H46" i="16"/>
  <c r="H78" i="16"/>
  <c r="H110" i="16"/>
  <c r="H158" i="16"/>
  <c r="H190" i="16"/>
  <c r="H222" i="16"/>
  <c r="H254" i="16"/>
  <c r="H286" i="16"/>
  <c r="H314" i="16"/>
  <c r="H337" i="16"/>
  <c r="H350" i="16"/>
  <c r="H12" i="16"/>
  <c r="H29" i="16"/>
  <c r="H45" i="16"/>
  <c r="H61" i="16"/>
  <c r="H77" i="16"/>
  <c r="H93" i="16"/>
  <c r="H109" i="16"/>
  <c r="H125" i="16"/>
  <c r="H141" i="16"/>
  <c r="H157" i="16"/>
  <c r="H173" i="16"/>
  <c r="H189" i="16"/>
  <c r="H205" i="16"/>
  <c r="H221" i="16"/>
  <c r="H237" i="16"/>
  <c r="H253" i="16"/>
  <c r="H269" i="16"/>
  <c r="H285" i="16"/>
  <c r="H301" i="16"/>
  <c r="H313" i="16"/>
  <c r="H321" i="16"/>
  <c r="H329" i="16"/>
  <c r="H336" i="16"/>
  <c r="H342" i="16"/>
  <c r="H349" i="16"/>
  <c r="H354" i="16"/>
  <c r="H359" i="16"/>
  <c r="H324" i="16"/>
  <c r="J3" i="16"/>
  <c r="H7" i="16"/>
  <c r="H11" i="16"/>
  <c r="H15" i="16"/>
  <c r="H19" i="16"/>
  <c r="H23" i="16"/>
  <c r="H28" i="16"/>
  <c r="H32" i="16"/>
  <c r="H36" i="16"/>
  <c r="H40" i="16"/>
  <c r="H44" i="16"/>
  <c r="H48" i="16"/>
  <c r="H52" i="16"/>
  <c r="H56" i="16"/>
  <c r="H60" i="16"/>
  <c r="H64" i="16"/>
  <c r="H68" i="16"/>
  <c r="H72" i="16"/>
  <c r="H76" i="16"/>
  <c r="H80" i="16"/>
  <c r="H84" i="16"/>
  <c r="H88" i="16"/>
  <c r="H92" i="16"/>
  <c r="H96" i="16"/>
  <c r="H100" i="16"/>
  <c r="H104" i="16"/>
  <c r="H108" i="16"/>
  <c r="H112" i="16"/>
  <c r="H116" i="16"/>
  <c r="H120" i="16"/>
  <c r="H124" i="16"/>
  <c r="H128" i="16"/>
  <c r="H132" i="16"/>
  <c r="H136" i="16"/>
  <c r="H140" i="16"/>
  <c r="H144" i="16"/>
  <c r="H148" i="16"/>
  <c r="H152" i="16"/>
  <c r="H156" i="16"/>
  <c r="H160" i="16"/>
  <c r="H164" i="16"/>
  <c r="H168" i="16"/>
  <c r="H172" i="16"/>
  <c r="H176" i="16"/>
  <c r="H180" i="16"/>
  <c r="H184" i="16"/>
  <c r="H188" i="16"/>
  <c r="H192" i="16"/>
  <c r="H196" i="16"/>
  <c r="H200" i="16"/>
  <c r="H204" i="16"/>
  <c r="H208" i="16"/>
  <c r="H212" i="16"/>
  <c r="H216" i="16"/>
  <c r="H220" i="16"/>
  <c r="H224" i="16"/>
  <c r="H228" i="16"/>
  <c r="H232" i="16"/>
  <c r="H236" i="16"/>
  <c r="H240" i="16"/>
  <c r="H244" i="16"/>
  <c r="H248" i="16"/>
  <c r="H252" i="16"/>
  <c r="H256" i="16"/>
  <c r="H260" i="16"/>
  <c r="H264" i="16"/>
  <c r="H268" i="16"/>
  <c r="H272" i="16"/>
  <c r="H276" i="16"/>
  <c r="H280" i="16"/>
  <c r="H284" i="16"/>
  <c r="H288" i="16"/>
  <c r="H292" i="16"/>
  <c r="H296" i="16"/>
  <c r="H300" i="16"/>
  <c r="H304" i="16"/>
  <c r="H3" i="16"/>
  <c r="I3" i="16"/>
  <c r="H6" i="16"/>
  <c r="H10" i="16"/>
  <c r="H14" i="16"/>
  <c r="H18" i="16"/>
  <c r="H22" i="16"/>
  <c r="H27" i="16"/>
  <c r="H31" i="16"/>
  <c r="H35" i="16"/>
  <c r="H39" i="16"/>
  <c r="H43" i="16"/>
  <c r="H47" i="16"/>
  <c r="H51" i="16"/>
  <c r="H55" i="16"/>
  <c r="H59" i="16"/>
  <c r="H63" i="16"/>
  <c r="H67" i="16"/>
  <c r="H71" i="16"/>
  <c r="H75" i="16"/>
  <c r="H79" i="16"/>
  <c r="H83" i="16"/>
  <c r="H87" i="16"/>
  <c r="H91" i="16"/>
  <c r="H95" i="16"/>
  <c r="H99" i="16"/>
  <c r="H103" i="16"/>
  <c r="H107" i="16"/>
  <c r="H111" i="16"/>
  <c r="H115" i="16"/>
  <c r="H119" i="16"/>
  <c r="H123" i="16"/>
  <c r="H127" i="16"/>
  <c r="H131" i="16"/>
  <c r="H135" i="16"/>
  <c r="H139" i="16"/>
  <c r="H143" i="16"/>
  <c r="H147" i="16"/>
  <c r="H151" i="16"/>
  <c r="H155" i="16"/>
  <c r="H159" i="16"/>
  <c r="H163" i="16"/>
  <c r="H167" i="16"/>
  <c r="H171" i="16"/>
  <c r="H175" i="16"/>
  <c r="H179" i="16"/>
  <c r="H183" i="16"/>
  <c r="H187" i="16"/>
  <c r="H191" i="16"/>
  <c r="H195" i="16"/>
  <c r="H199" i="16"/>
  <c r="H203" i="16"/>
  <c r="H207" i="16"/>
  <c r="H211" i="16"/>
  <c r="H215" i="16"/>
  <c r="H219" i="16"/>
  <c r="H223" i="16"/>
  <c r="H227" i="16"/>
  <c r="H231" i="16"/>
  <c r="H235" i="16"/>
  <c r="H239" i="16"/>
  <c r="H243" i="16"/>
  <c r="H247" i="16"/>
  <c r="H251" i="16"/>
  <c r="H255" i="16"/>
  <c r="H259" i="16"/>
  <c r="H263" i="16"/>
  <c r="H267" i="16"/>
  <c r="H271" i="16"/>
  <c r="H275" i="16"/>
  <c r="H279" i="16"/>
  <c r="H283" i="16"/>
  <c r="H287" i="16"/>
  <c r="H291" i="16"/>
  <c r="H295" i="16"/>
  <c r="H299" i="16"/>
  <c r="H303" i="16"/>
  <c r="H307" i="16"/>
  <c r="H311" i="16"/>
  <c r="H315" i="16"/>
  <c r="H319" i="16"/>
  <c r="H323" i="16"/>
  <c r="H327" i="16"/>
  <c r="H331" i="16"/>
  <c r="H335" i="16"/>
  <c r="H339" i="16"/>
  <c r="H343" i="16"/>
  <c r="H360" i="16"/>
  <c r="H356" i="16"/>
  <c r="H352" i="16"/>
  <c r="H348" i="16"/>
  <c r="H344" i="16"/>
  <c r="H338" i="16"/>
  <c r="H333" i="16"/>
  <c r="H328" i="16"/>
  <c r="H322" i="16"/>
  <c r="H317" i="16"/>
  <c r="H312" i="16"/>
  <c r="H306" i="16"/>
  <c r="H298" i="16"/>
  <c r="H290" i="16"/>
  <c r="H282" i="16"/>
  <c r="H274" i="16"/>
  <c r="H266" i="16"/>
  <c r="H258" i="16"/>
  <c r="H250" i="16"/>
  <c r="H242" i="16"/>
  <c r="H234" i="16"/>
  <c r="H226" i="16"/>
  <c r="H218" i="16"/>
  <c r="H210" i="16"/>
  <c r="H202" i="16"/>
  <c r="H194" i="16"/>
  <c r="H186" i="16"/>
  <c r="H178" i="16"/>
  <c r="H170" i="16"/>
  <c r="H162" i="16"/>
  <c r="H154" i="16"/>
  <c r="H146" i="16"/>
  <c r="H138" i="16"/>
  <c r="H130" i="16"/>
  <c r="H122" i="16"/>
  <c r="H114" i="16"/>
  <c r="H106" i="16"/>
  <c r="H98" i="16"/>
  <c r="H90" i="16"/>
  <c r="H82" i="16"/>
  <c r="H74" i="16"/>
  <c r="H66" i="16"/>
  <c r="H58" i="16"/>
  <c r="H50" i="16"/>
  <c r="H42" i="16"/>
  <c r="H34" i="16"/>
  <c r="H26" i="16"/>
  <c r="H17" i="16"/>
  <c r="H9" i="16"/>
  <c r="H316" i="16"/>
  <c r="H310" i="16"/>
  <c r="H305" i="16"/>
  <c r="H297" i="16"/>
  <c r="H289" i="16"/>
  <c r="H281" i="16"/>
  <c r="H273" i="16"/>
  <c r="H265" i="16"/>
  <c r="H257" i="16"/>
  <c r="H249" i="16"/>
  <c r="H241" i="16"/>
  <c r="H233" i="16"/>
  <c r="H225" i="16"/>
  <c r="H217" i="16"/>
  <c r="H209" i="16"/>
  <c r="H201" i="16"/>
  <c r="H193" i="16"/>
  <c r="H185" i="16"/>
  <c r="H177" i="16"/>
  <c r="H169" i="16"/>
  <c r="H161" i="16"/>
  <c r="H153" i="16"/>
  <c r="H145" i="16"/>
  <c r="H137" i="16"/>
  <c r="H129" i="16"/>
  <c r="H121" i="16"/>
  <c r="H113" i="16"/>
  <c r="H105" i="16"/>
  <c r="H97" i="16"/>
  <c r="H89" i="16"/>
  <c r="H81" i="16"/>
  <c r="H73" i="16"/>
  <c r="H65" i="16"/>
  <c r="H57" i="16"/>
  <c r="H49" i="16"/>
  <c r="H41" i="16"/>
  <c r="H33" i="16"/>
  <c r="H25" i="16"/>
  <c r="H16" i="16"/>
  <c r="H8" i="16"/>
  <c r="H9" i="9"/>
  <c r="I9" i="9"/>
  <c r="H9" i="7"/>
  <c r="J9" i="7"/>
  <c r="G3" i="20"/>
  <c r="I10" i="18"/>
  <c r="H10" i="18"/>
  <c r="H3" i="13"/>
  <c r="H6" i="13"/>
  <c r="H4" i="13"/>
  <c r="O12" i="8"/>
  <c r="J12" i="8" s="1"/>
  <c r="P12" i="8"/>
  <c r="H12" i="8"/>
  <c r="H4" i="10"/>
  <c r="H5" i="10"/>
  <c r="H6" i="10"/>
  <c r="H7" i="10"/>
  <c r="H8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3" i="10"/>
  <c r="H4" i="6"/>
  <c r="H5" i="6"/>
  <c r="H6" i="6"/>
  <c r="H7" i="6"/>
  <c r="H8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3" i="6"/>
  <c r="H4" i="9"/>
  <c r="H5" i="9"/>
  <c r="H6" i="9"/>
  <c r="H7" i="9"/>
  <c r="H8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3" i="9"/>
  <c r="O4" i="8"/>
  <c r="P4" i="8"/>
  <c r="Q4" i="8"/>
  <c r="R4" i="8"/>
  <c r="I4" i="8" s="1"/>
  <c r="O5" i="8"/>
  <c r="P5" i="8"/>
  <c r="Q5" i="8"/>
  <c r="R5" i="8"/>
  <c r="O6" i="8"/>
  <c r="P6" i="8"/>
  <c r="Q6" i="8"/>
  <c r="R6" i="8"/>
  <c r="I6" i="8" s="1"/>
  <c r="O7" i="8"/>
  <c r="P7" i="8"/>
  <c r="Q7" i="8"/>
  <c r="R7" i="8"/>
  <c r="I7" i="8" s="1"/>
  <c r="O8" i="8"/>
  <c r="P8" i="8"/>
  <c r="Q8" i="8"/>
  <c r="R8" i="8"/>
  <c r="I8" i="8" s="1"/>
  <c r="O9" i="8"/>
  <c r="P9" i="8"/>
  <c r="Q9" i="8"/>
  <c r="R9" i="8"/>
  <c r="I9" i="8" s="1"/>
  <c r="O10" i="8"/>
  <c r="P10" i="8"/>
  <c r="Q10" i="8"/>
  <c r="R10" i="8"/>
  <c r="I10" i="8" s="1"/>
  <c r="O11" i="8"/>
  <c r="P11" i="8"/>
  <c r="Q11" i="8"/>
  <c r="R11" i="8"/>
  <c r="I11" i="8" s="1"/>
  <c r="P13" i="8"/>
  <c r="Q13" i="8"/>
  <c r="R13" i="8"/>
  <c r="I13" i="8" s="1"/>
  <c r="O14" i="8"/>
  <c r="P14" i="8"/>
  <c r="Q14" i="8"/>
  <c r="R14" i="8"/>
  <c r="I14" i="8" s="1"/>
  <c r="O15" i="8"/>
  <c r="P15" i="8"/>
  <c r="Q15" i="8"/>
  <c r="R15" i="8"/>
  <c r="I15" i="8" s="1"/>
  <c r="O16" i="8"/>
  <c r="P16" i="8"/>
  <c r="Q16" i="8"/>
  <c r="R16" i="8"/>
  <c r="I16" i="8" s="1"/>
  <c r="P17" i="8"/>
  <c r="Q17" i="8"/>
  <c r="R17" i="8"/>
  <c r="I17" i="8" s="1"/>
  <c r="O18" i="8"/>
  <c r="P18" i="8"/>
  <c r="Q18" i="8"/>
  <c r="R18" i="8"/>
  <c r="I18" i="8" s="1"/>
  <c r="O19" i="8"/>
  <c r="P19" i="8"/>
  <c r="Q19" i="8"/>
  <c r="R19" i="8"/>
  <c r="I19" i="8" s="1"/>
  <c r="O20" i="8"/>
  <c r="P20" i="8"/>
  <c r="Q20" i="8"/>
  <c r="R20" i="8"/>
  <c r="I20" i="8" s="1"/>
  <c r="O21" i="8"/>
  <c r="P21" i="8"/>
  <c r="Q21" i="8"/>
  <c r="R21" i="8"/>
  <c r="I21" i="8" s="1"/>
  <c r="P3" i="8"/>
  <c r="Q3" i="8"/>
  <c r="R3" i="8"/>
  <c r="I3" i="8" s="1"/>
  <c r="O3" i="8"/>
  <c r="H16" i="8"/>
  <c r="H7" i="8"/>
  <c r="H8" i="8"/>
  <c r="H5" i="8"/>
  <c r="H6" i="8"/>
  <c r="H10" i="8"/>
  <c r="H13" i="8"/>
  <c r="H17" i="8"/>
  <c r="H9" i="8"/>
  <c r="H11" i="8"/>
  <c r="H20" i="8"/>
  <c r="H21" i="8"/>
  <c r="H19" i="8"/>
  <c r="H18" i="8"/>
  <c r="H4" i="8"/>
  <c r="H15" i="8"/>
  <c r="H3" i="8"/>
  <c r="H4" i="7"/>
  <c r="H5" i="7"/>
  <c r="H6" i="7"/>
  <c r="H7" i="7"/>
  <c r="H8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D22" i="5"/>
  <c r="E22" i="5"/>
  <c r="F22" i="5"/>
  <c r="G22" i="5"/>
  <c r="H22" i="5"/>
  <c r="I22" i="5"/>
  <c r="J22" i="5"/>
  <c r="K22" i="5"/>
  <c r="L22" i="5"/>
  <c r="M22" i="5"/>
  <c r="N22" i="5"/>
  <c r="C22" i="5"/>
  <c r="C3" i="3"/>
  <c r="D3" i="3"/>
  <c r="E3" i="3"/>
  <c r="F3" i="3"/>
  <c r="G3" i="3"/>
  <c r="H13" i="3" s="1"/>
  <c r="H25" i="3"/>
  <c r="H30" i="3"/>
  <c r="H21" i="3"/>
  <c r="H40" i="3"/>
  <c r="H28" i="3"/>
  <c r="H39" i="3"/>
  <c r="H36" i="3"/>
  <c r="H80" i="3"/>
  <c r="H54" i="3"/>
  <c r="H46" i="3"/>
  <c r="H44" i="3"/>
  <c r="H55" i="3"/>
  <c r="H81" i="3"/>
  <c r="H70" i="3"/>
  <c r="H47" i="3"/>
  <c r="H60" i="3"/>
  <c r="H53" i="3"/>
  <c r="H71" i="3"/>
  <c r="H76" i="3"/>
  <c r="H63" i="3"/>
  <c r="H75" i="3"/>
  <c r="H84" i="3"/>
  <c r="H66" i="3"/>
  <c r="H86" i="3"/>
  <c r="H77" i="3"/>
  <c r="H45" i="3"/>
  <c r="H69" i="3"/>
  <c r="H89" i="3"/>
  <c r="H91" i="3"/>
  <c r="H43" i="3"/>
  <c r="H92" i="3"/>
  <c r="H72" i="3"/>
  <c r="H51" i="3"/>
  <c r="H93" i="3"/>
  <c r="H73" i="3"/>
  <c r="H9" i="20" l="1"/>
  <c r="H10" i="20"/>
  <c r="H12" i="20"/>
  <c r="H11" i="20"/>
  <c r="I3" i="20"/>
  <c r="H7" i="20"/>
  <c r="H4" i="20"/>
  <c r="H8" i="20"/>
  <c r="H5" i="20"/>
  <c r="H3" i="20"/>
  <c r="J3" i="20"/>
  <c r="H6" i="20"/>
  <c r="H32" i="3"/>
  <c r="H22" i="3"/>
  <c r="I3" i="3"/>
  <c r="J3" i="3"/>
  <c r="J4" i="8"/>
  <c r="J17" i="8"/>
  <c r="J10" i="8"/>
  <c r="J6" i="8"/>
  <c r="J8" i="8"/>
  <c r="J3" i="8"/>
  <c r="J15" i="8"/>
  <c r="J18" i="8"/>
  <c r="J19" i="8"/>
  <c r="J21" i="8"/>
  <c r="J20" i="8"/>
  <c r="J11" i="8"/>
  <c r="J9" i="8"/>
  <c r="J7" i="8"/>
  <c r="I5" i="8"/>
  <c r="H8" i="3"/>
  <c r="H12" i="3"/>
  <c r="H27" i="3"/>
  <c r="H29" i="3"/>
  <c r="H19" i="3"/>
  <c r="H4" i="3"/>
  <c r="H7" i="3"/>
  <c r="H11" i="3"/>
  <c r="H23" i="3"/>
  <c r="H42" i="3"/>
  <c r="H74" i="3"/>
  <c r="H50" i="3"/>
  <c r="H90" i="3"/>
  <c r="H88" i="3"/>
  <c r="H85" i="3"/>
  <c r="H83" i="3"/>
  <c r="H62" i="3"/>
  <c r="H68" i="3"/>
  <c r="H24" i="3"/>
  <c r="H82" i="3"/>
  <c r="H48" i="3"/>
  <c r="H52" i="3"/>
  <c r="H58" i="3"/>
  <c r="H61" i="3"/>
  <c r="H56" i="3"/>
  <c r="H31" i="3"/>
  <c r="H38" i="3"/>
  <c r="H20" i="3"/>
  <c r="H10" i="3"/>
  <c r="H87" i="3"/>
  <c r="H78" i="3"/>
  <c r="H67" i="3"/>
  <c r="H64" i="3"/>
  <c r="H15" i="3"/>
  <c r="H65" i="3"/>
  <c r="H41" i="3"/>
  <c r="H59" i="3"/>
  <c r="H49" i="3"/>
  <c r="H35" i="3"/>
  <c r="H79" i="3"/>
  <c r="H26" i="3"/>
  <c r="H37" i="3"/>
  <c r="H17" i="3"/>
  <c r="H5" i="3"/>
  <c r="H57" i="3"/>
  <c r="H18" i="3"/>
  <c r="J13" i="8"/>
  <c r="J14" i="8"/>
  <c r="J5" i="8"/>
  <c r="J16" i="8"/>
  <c r="H34" i="3"/>
  <c r="H33" i="3"/>
  <c r="H16" i="3"/>
  <c r="H9" i="3"/>
  <c r="H6" i="3"/>
  <c r="K4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24D2B7-3296-467E-AFE6-7F91725AE05D}" keepAlive="1" name="Consulta - ex_peruanas" description="Conexión a la consulta 'ex_peruanas' en el libro." type="5" refreshedVersion="7" background="1" saveData="1">
    <dbPr connection="Provider=Microsoft.Mashup.OleDb.1;Data Source=$Workbook$;Location=ex_peruanas;Extended Properties=&quot;&quot;" command="SELECT * FROM [ex_peruanas]"/>
  </connection>
  <connection id="2" xr16:uid="{5E427AD3-FA57-4AEB-8D63-2503F1FEC377}" keepAlive="1" name="Consulta - EXPORTACION POR REGIONES_POWER BI" description="Conexión a la consulta 'EXPORTACION POR REGIONES_POWER BI' en el libro." type="5" refreshedVersion="7" background="1" saveData="1">
    <dbPr connection="Provider=Microsoft.Mashup.OleDb.1;Data Source=$Workbook$;Location=&quot;EXPORTACION POR REGIONES_POWER BI&quot;;Extended Properties=&quot;&quot;" command="SELECT * FROM [EXPORTACION POR REGIONES_POWER BI]"/>
  </connection>
  <connection id="3" xr16:uid="{D9F1D93D-4D73-4DF1-A731-C74D4985D46F}" keepAlive="1" name="Consulta - FAOSTAT_data_es_6-14-2023" description="Conexión a la consulta 'FAOSTAT_data_es_6-14-2023' en el libro." type="5" refreshedVersion="7" background="1" saveData="1">
    <dbPr connection="Provider=Microsoft.Mashup.OleDb.1;Data Source=$Workbook$;Location=FAOSTAT_data_es_6-14-2023;Extended Properties=&quot;&quot;" command="SELECT * FROM [FAOSTAT_data_es_6-14-2023]"/>
  </connection>
  <connection id="4" xr16:uid="{00000000-0015-0000-FFFF-FFFF00000000}" keepAlive="1" name="Consulta - FOB_ MERCADO" description="Conexión a la consulta 'FOB_ MERCADO' en el libro." type="5" refreshedVersion="0" background="1">
    <dbPr connection="Provider=Microsoft.Mashup.OleDb.1;Data Source=$Workbook$;Location=&quot;FOB_ MERCADO&quot;;Extended Properties=&quot;&quot;" command="SELECT * FROM [FOB_ MERCADO]"/>
  </connection>
</connections>
</file>

<file path=xl/sharedStrings.xml><?xml version="1.0" encoding="utf-8"?>
<sst xmlns="http://schemas.openxmlformats.org/spreadsheetml/2006/main" count="12835" uniqueCount="11785">
  <si>
    <t>MERCADO</t>
  </si>
  <si>
    <t>Estados Unidos</t>
  </si>
  <si>
    <t>Canadá</t>
  </si>
  <si>
    <t>Italia</t>
  </si>
  <si>
    <t>Reino Unido</t>
  </si>
  <si>
    <t>Alemania</t>
  </si>
  <si>
    <t>España</t>
  </si>
  <si>
    <t>Francia</t>
  </si>
  <si>
    <t>Australia</t>
  </si>
  <si>
    <t>Chile</t>
  </si>
  <si>
    <t>Brasil</t>
  </si>
  <si>
    <t>Israel</t>
  </si>
  <si>
    <t>Bélgica</t>
  </si>
  <si>
    <t>Taiwán</t>
  </si>
  <si>
    <t>Federación Rusa</t>
  </si>
  <si>
    <t>Polonia</t>
  </si>
  <si>
    <t>Hong Kong</t>
  </si>
  <si>
    <t>México</t>
  </si>
  <si>
    <t>Bulgaria</t>
  </si>
  <si>
    <t>Japón</t>
  </si>
  <si>
    <t>Dinamarca</t>
  </si>
  <si>
    <t>Vietnam</t>
  </si>
  <si>
    <t>Emiratos Árabes Unidos</t>
  </si>
  <si>
    <t>Nueva Zelanda</t>
  </si>
  <si>
    <t>Turquía</t>
  </si>
  <si>
    <t>Grecia</t>
  </si>
  <si>
    <t>Irlanda (Eire)</t>
  </si>
  <si>
    <t>Suecia</t>
  </si>
  <si>
    <t>Sudáfrica</t>
  </si>
  <si>
    <t>Argentina</t>
  </si>
  <si>
    <t>Arabia Saudita</t>
  </si>
  <si>
    <t>India</t>
  </si>
  <si>
    <t>Singapur</t>
  </si>
  <si>
    <t>Tailandia</t>
  </si>
  <si>
    <t>Irán (República Islámica)</t>
  </si>
  <si>
    <t>Colombia</t>
  </si>
  <si>
    <t>Líbano</t>
  </si>
  <si>
    <t>Uruguay</t>
  </si>
  <si>
    <t>Lituania</t>
  </si>
  <si>
    <t>Panamá</t>
  </si>
  <si>
    <t>Myanmar</t>
  </si>
  <si>
    <t>Portugal</t>
  </si>
  <si>
    <t>República Dominicana</t>
  </si>
  <si>
    <t>Costa Rica</t>
  </si>
  <si>
    <t>Puerto Rico</t>
  </si>
  <si>
    <t>Kuwait</t>
  </si>
  <si>
    <t>Egipto</t>
  </si>
  <si>
    <t>Chipre</t>
  </si>
  <si>
    <t>Jamaica</t>
  </si>
  <si>
    <t>Finlandia</t>
  </si>
  <si>
    <t>Indonesia</t>
  </si>
  <si>
    <t>Eslovenia</t>
  </si>
  <si>
    <t>Malta</t>
  </si>
  <si>
    <t>Letonia</t>
  </si>
  <si>
    <t>Guatemala</t>
  </si>
  <si>
    <t>Corea del Sur (República de Corea)</t>
  </si>
  <si>
    <t>Rumania</t>
  </si>
  <si>
    <t>Jordania</t>
  </si>
  <si>
    <t>China</t>
  </si>
  <si>
    <t>Albania</t>
  </si>
  <si>
    <t>Noruega</t>
  </si>
  <si>
    <t>Malasia</t>
  </si>
  <si>
    <t>Ucrania</t>
  </si>
  <si>
    <t>Baréin</t>
  </si>
  <si>
    <t>Croacia</t>
  </si>
  <si>
    <t>Aruba</t>
  </si>
  <si>
    <t>Argelia</t>
  </si>
  <si>
    <t>Islas Menores Estados Unidos Outlying</t>
  </si>
  <si>
    <t>Curazao</t>
  </si>
  <si>
    <t>Suiza</t>
  </si>
  <si>
    <t>República Checa</t>
  </si>
  <si>
    <t>Austria</t>
  </si>
  <si>
    <t>Belarús</t>
  </si>
  <si>
    <t>Cuba</t>
  </si>
  <si>
    <t>Ecuador</t>
  </si>
  <si>
    <t>Estonia</t>
  </si>
  <si>
    <t>Filipinas</t>
  </si>
  <si>
    <t>Georgia</t>
  </si>
  <si>
    <t>Hungría</t>
  </si>
  <si>
    <t>Macao</t>
  </si>
  <si>
    <t>Maldivas</t>
  </si>
  <si>
    <t>Marruecos</t>
  </si>
  <si>
    <t>Mauricio</t>
  </si>
  <si>
    <t>Omán</t>
  </si>
  <si>
    <t>Pakistán</t>
  </si>
  <si>
    <t>Qatar</t>
  </si>
  <si>
    <t>Trinidad y Tobago</t>
  </si>
  <si>
    <t>Tunisia</t>
  </si>
  <si>
    <t>Venezuela</t>
  </si>
  <si>
    <t>TOTAL</t>
  </si>
  <si>
    <t>Part (%) 2021</t>
  </si>
  <si>
    <t>Var (%) 18</t>
  </si>
  <si>
    <t>Var (%) 19</t>
  </si>
  <si>
    <t>Var (%) 20</t>
  </si>
  <si>
    <t>Var (%) 21</t>
  </si>
  <si>
    <t>Var (%) 22/21</t>
  </si>
  <si>
    <t>Part (%) 2022</t>
  </si>
  <si>
    <t>TCP (%) 22/18</t>
  </si>
  <si>
    <t>Región</t>
  </si>
  <si>
    <t>Total</t>
  </si>
  <si>
    <t>Ago</t>
  </si>
  <si>
    <t>Set</t>
  </si>
  <si>
    <t>Oct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</si>
  <si>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</si>
  <si>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</si>
  <si>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</si>
  <si>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</si>
  <si>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</si>
  <si>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</si>
  <si>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</si>
  <si>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</si>
  <si>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</si>
  <si>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Amazonas</t>
  </si>
  <si>
    <t>Áncash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</si>
  <si>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</si>
  <si>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</si>
  <si>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</si>
  <si>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</si>
  <si>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</si>
  <si>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</si>
  <si>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</si>
  <si>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</si>
  <si>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</si>
  <si>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</si>
  <si>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</si>
  <si>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</si>
  <si>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Lima Metropolitana</t>
  </si>
  <si>
    <t>Moquegua</t>
  </si>
  <si>
    <t>Puno</t>
  </si>
  <si>
    <t>Tacna</t>
  </si>
  <si>
    <t>Fuente:  Gerencias/Direcciones Regionales de Agricultura - SIEA</t>
  </si>
  <si>
    <t>Elaboración: Ministerio de Agricultura y Riego - Dirección General de Estadística, Seguimiento y Evaluación de Políticas - Dirección de Estadística e Información Agraria</t>
  </si>
  <si>
    <t>Cuadro 278     Perú: Producción mensual de quinua, según región. Año: 2021 (t)</t>
  </si>
  <si>
    <t>Peru</t>
  </si>
  <si>
    <t>Bolivia</t>
  </si>
  <si>
    <t>Canada</t>
  </si>
  <si>
    <t>Spain</t>
  </si>
  <si>
    <t>Italy</t>
  </si>
  <si>
    <t>France</t>
  </si>
  <si>
    <t>Taipei, Chinese</t>
  </si>
  <si>
    <t>Mexico</t>
  </si>
  <si>
    <t>Korea, Republic of</t>
  </si>
  <si>
    <t>Brazil</t>
  </si>
  <si>
    <t>Germany</t>
  </si>
  <si>
    <t>Guinea</t>
  </si>
  <si>
    <t>Ireland</t>
  </si>
  <si>
    <t>Netherlands</t>
  </si>
  <si>
    <t>Pakistan</t>
  </si>
  <si>
    <t>Russian Federation</t>
  </si>
  <si>
    <t>United Kingdom</t>
  </si>
  <si>
    <t>MERCADOS</t>
  </si>
  <si>
    <t xml:space="preserve">REGION </t>
  </si>
  <si>
    <t>Var (%) 20/21</t>
  </si>
  <si>
    <t>TCP (%) 21/17</t>
  </si>
  <si>
    <t>Japan</t>
  </si>
  <si>
    <t>Dominican Republic</t>
  </si>
  <si>
    <t>El Salvador</t>
  </si>
  <si>
    <t>Panama</t>
  </si>
  <si>
    <t>Trinidad and Tobago</t>
  </si>
  <si>
    <t>Honduras</t>
  </si>
  <si>
    <t>Barbados</t>
  </si>
  <si>
    <t>Saudi Arabia</t>
  </si>
  <si>
    <t>United Arab Emirates</t>
  </si>
  <si>
    <t>Nicaragua</t>
  </si>
  <si>
    <t>Guyana</t>
  </si>
  <si>
    <t>Thailand</t>
  </si>
  <si>
    <t>Bermuda</t>
  </si>
  <si>
    <t>Iraq</t>
  </si>
  <si>
    <t>Jordan</t>
  </si>
  <si>
    <t>Curaçao</t>
  </si>
  <si>
    <t>Singapore</t>
  </si>
  <si>
    <t>Viet Nam</t>
  </si>
  <si>
    <t>Bahrain</t>
  </si>
  <si>
    <t>Haiti</t>
  </si>
  <si>
    <t>Philippines</t>
  </si>
  <si>
    <t>Cayman Islands</t>
  </si>
  <si>
    <t>Bahamas</t>
  </si>
  <si>
    <t>Cambodia</t>
  </si>
  <si>
    <t>Dominica</t>
  </si>
  <si>
    <t>Fiji</t>
  </si>
  <si>
    <t>French Polynesia</t>
  </si>
  <si>
    <t>Grenada</t>
  </si>
  <si>
    <t>Iceland</t>
  </si>
  <si>
    <t>Lebanon</t>
  </si>
  <si>
    <t>Malaysia</t>
  </si>
  <si>
    <t>Mauritius</t>
  </si>
  <si>
    <t>Mongolia</t>
  </si>
  <si>
    <t>Oman</t>
  </si>
  <si>
    <t>Sierra Leone</t>
  </si>
  <si>
    <t>Venezuela, Bolivarian Republic of</t>
  </si>
  <si>
    <t>NACIONES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</si>
  <si>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</si>
  <si>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</si>
  <si>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</si>
  <si>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</si>
  <si>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</si>
  <si>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</si>
  <si>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</si>
  <si>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</si>
  <si>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</si>
  <si>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</si>
  <si>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</si>
  <si>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</si>
  <si>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OTROS</t>
  </si>
  <si>
    <t>PARTIDA</t>
  </si>
  <si>
    <t>Rep. Dominicana</t>
  </si>
  <si>
    <t>RAN
KING</t>
  </si>
  <si>
    <t>RAN 
KING</t>
  </si>
  <si>
    <t>Var (%) 21/20</t>
  </si>
  <si>
    <t xml:space="preserve">TCP (%) 21/17 </t>
  </si>
  <si>
    <t>ANCASH</t>
  </si>
  <si>
    <t>APURÍMAC</t>
  </si>
  <si>
    <t>AREQUIPA</t>
  </si>
  <si>
    <t>AYACUCHO</t>
  </si>
  <si>
    <t>CALLAO</t>
  </si>
  <si>
    <t>CUSCO</t>
  </si>
  <si>
    <t>HUANCAVELICA</t>
  </si>
  <si>
    <t>ICA</t>
  </si>
  <si>
    <t>JUNÍN</t>
  </si>
  <si>
    <t>LA LIBERTAD</t>
  </si>
  <si>
    <t>LAMBAYEQUE</t>
  </si>
  <si>
    <t>LIMA</t>
  </si>
  <si>
    <t>PIURA</t>
  </si>
  <si>
    <t>PUNO</t>
  </si>
  <si>
    <t>TACNA</t>
  </si>
  <si>
    <t>REGIONES</t>
  </si>
  <si>
    <t>Pt = P0 ( 1 + r )^t</t>
  </si>
  <si>
    <t>TCP (%) 21/18</t>
  </si>
  <si>
    <t>Indicadores Económicos</t>
  </si>
  <si>
    <t>Crecimiento real del PBI (%)</t>
  </si>
  <si>
    <t>Tasa de Inflación (%)</t>
  </si>
  <si>
    <t>Tasa de desempleo (%)</t>
  </si>
  <si>
    <t>Tasa de crecimiento poblacional (%)</t>
  </si>
  <si>
    <t>Exportaciones (millones USD)</t>
  </si>
  <si>
    <t>1,545,8</t>
  </si>
  <si>
    <t>1.665.6</t>
  </si>
  <si>
    <t>1.642.8</t>
  </si>
  <si>
    <t>1,424,9</t>
  </si>
  <si>
    <t>1,754,3</t>
  </si>
  <si>
    <t>2.062.9</t>
  </si>
  <si>
    <t>Importaciones (millones USD)</t>
  </si>
  <si>
    <t>2.609.1</t>
  </si>
  <si>
    <t>2.563.5</t>
  </si>
  <si>
    <t>2.406.9</t>
  </si>
  <si>
    <t>2,935,3</t>
  </si>
  <si>
    <t>3.375.9</t>
  </si>
  <si>
    <t>Población (millones habitantes)</t>
  </si>
  <si>
    <t>PBI per cápita (USD)</t>
  </si>
  <si>
    <t>ALISUR S.A.C.</t>
  </si>
  <si>
    <t>COLOREXA SOCIEDAD ANONIMA CERRADA</t>
  </si>
  <si>
    <t>OLAM ANDINA PERU S.A.C.</t>
  </si>
  <si>
    <t>AGRONEGOCIOS WIRACCOCHA DEL PERÚ S.A.C.</t>
  </si>
  <si>
    <t>GLOBENATURAL INTERNACIONAL S.A.</t>
  </si>
  <si>
    <t>AGRO FERGI S.A.C.</t>
  </si>
  <si>
    <t>INTERLOOM S.A.C.</t>
  </si>
  <si>
    <t>PRODUCTOS ORGANICOS DE LOS ANDES S.A.</t>
  </si>
  <si>
    <t>NATURKOST PERU S.A.C.</t>
  </si>
  <si>
    <t>AGRITRADE S.A.C.</t>
  </si>
  <si>
    <t>INTERAMSA  AGROINDUSTRIAL S.A.C.</t>
  </si>
  <si>
    <t>ANDES ALIMENTOS &amp; BEBIDAS S.A.C.</t>
  </si>
  <si>
    <t>AVENDAñO TRADING COMPANY SAC</t>
  </si>
  <si>
    <t>OLAM AGRO PERÚ S.A.C.</t>
  </si>
  <si>
    <t>BROLEM COMPANY S.A.C.</t>
  </si>
  <si>
    <t>AGROINVERSIONES DE EXPORTACION SUR S.A.C.</t>
  </si>
  <si>
    <t>SOLID FOOD PERU S.A.C.</t>
  </si>
  <si>
    <t>S &amp; M FOODS SOCIEDAD ANONIMA CERRADA - S &amp; M FOODS S.A.C.</t>
  </si>
  <si>
    <t>AGROFINO FOODS S.A.C.</t>
  </si>
  <si>
    <t>ARGENCROPS PERU S.A.C.</t>
  </si>
  <si>
    <t>EXPORTADORA ORGANICA B &amp; C S.A.C.</t>
  </si>
  <si>
    <t>INCA HEALTH ORGANIC S.A.C.</t>
  </si>
  <si>
    <t>ICH CORP S.A.</t>
  </si>
  <si>
    <t>XPODEKA S.A.C.</t>
  </si>
  <si>
    <t>AGRICOLA KAMUK S.A.C.</t>
  </si>
  <si>
    <t>CONSORCIO DEL VALLE S.A.C</t>
  </si>
  <si>
    <t>JIWRA SOCIEDAD ANONIMA CERRADA - JIWRA S.A.C.</t>
  </si>
  <si>
    <t>COOPERATIVA AGRO INDUSTRIAL CABANA LTDA</t>
  </si>
  <si>
    <t>CORPORACION SURANDES SOCIEDAD ANONIMA CERRADA</t>
  </si>
  <si>
    <t>BIO GOODS E.I.R.L</t>
  </si>
  <si>
    <t>LOGISTICA Y AGROEXPORTACION S.A.C.</t>
  </si>
  <si>
    <t>GRÜNE LEBENSMITTEL E.I.R.L</t>
  </si>
  <si>
    <t>TIERRA ORGANICA S.A.C.</t>
  </si>
  <si>
    <t>IMPORT EXPOR EVER E.I.R.L.</t>
  </si>
  <si>
    <t>INTEGRALEXPORT S.A.C.</t>
  </si>
  <si>
    <t>FRUTOS Y VEGETALES DEL SUR SOCIEDAD ANONIMA CERRADA - FRUVESUR S.A.C.</t>
  </si>
  <si>
    <t>CAMPO ANDINO PERU SOCIEDAD ANONIMA CERRADA</t>
  </si>
  <si>
    <t>LUMER GROUP S.A.C.</t>
  </si>
  <si>
    <t>PACHAKUTEQ S.A.C</t>
  </si>
  <si>
    <t>PRAC AGRIBUSINESS PERUVIAN S.A.C.</t>
  </si>
  <si>
    <t>P &amp; R EXPORTACIONES S.R.L.</t>
  </si>
  <si>
    <t>POWDERS AND MORE E.I.R.L.</t>
  </si>
  <si>
    <t>CONSORCIO HUASI ALTO ANDINO S.A.C.</t>
  </si>
  <si>
    <t>GRANOS AGRICOLAS DEL PERU S.A.C.</t>
  </si>
  <si>
    <t>PRAC AGRIBUSINESS TRADING S.A.C.</t>
  </si>
  <si>
    <t>QUINUA ANDINA S.A.C.</t>
  </si>
  <si>
    <t>AGROMIX INDUSTRIAL S.A.C</t>
  </si>
  <si>
    <t>GLINT S.A.C.</t>
  </si>
  <si>
    <t>AGRIEX PERU S.A.C.</t>
  </si>
  <si>
    <t>INVERSIONES ANDINA CROPS SOCIEDAD ANONIMA CERRADA - INVERSIONES ANDINA CROPS S.A.C.</t>
  </si>
  <si>
    <t>MARAND COMPANY S.A.C.</t>
  </si>
  <si>
    <t>MILSPEC E.I.R.L.</t>
  </si>
  <si>
    <t>PERU WORLD WIDE S.A.C.</t>
  </si>
  <si>
    <t>FRUCTUS TERRUM S.A.</t>
  </si>
  <si>
    <t>DUAL PERU EXPORT SOCIEDAD ANONIMA CERRADA - DUAL PERU EXPORT S.A.C.</t>
  </si>
  <si>
    <t>ANDES MILLS TRADING S.A.C.</t>
  </si>
  <si>
    <t>MG AGRO PERU S.A.C.</t>
  </si>
  <si>
    <t>IMEX FUTURA S.A.C.</t>
  </si>
  <si>
    <t>FRUTOS Y GRANOS ANDINOS SUMAQ S.A.C. - FGA SUMAQ S.A.C.</t>
  </si>
  <si>
    <t>IMPORT &amp; EXPORT IZAM S.A.C.</t>
  </si>
  <si>
    <t>AGROCONDOR S.R.L.</t>
  </si>
  <si>
    <t>ANCESTRAL INKA'S  FOOD SOCIEDAD ANONIMA CERRADA - AIFOOD S.A.C.</t>
  </si>
  <si>
    <t>TAKAX PERU E.I.R.L.</t>
  </si>
  <si>
    <t>FOOD INC S.A.C.</t>
  </si>
  <si>
    <t>AMAZONAS PRODUCE S.A.C.</t>
  </si>
  <si>
    <t>INCA MYSTIC GRAIN S.A.C.</t>
  </si>
  <si>
    <t>R &amp; L AGRO BUSINESS S.A.C</t>
  </si>
  <si>
    <t>VIRU S.A.</t>
  </si>
  <si>
    <t>IMPORT EXPORT MITMA E.I.R.L.</t>
  </si>
  <si>
    <t>NUTRY BODY SOCIEDAD ANONIMA CERRADA</t>
  </si>
  <si>
    <t>DANPER AREQUIPA S.A.C.</t>
  </si>
  <si>
    <t>E-COMMERCE LOGISTICS SERVICE S.A.</t>
  </si>
  <si>
    <t>VIDAL FOODS S.A.C.</t>
  </si>
  <si>
    <t>COPAISEG SAN ROMAN LTDA</t>
  </si>
  <si>
    <t>PROCESADORA ANDINA DEL PERU S.A.C.  -  PROANPE  S.A.C.</t>
  </si>
  <si>
    <t>DANPER TRUJILLO S.A.C.</t>
  </si>
  <si>
    <t>LEON LIZANA LITO</t>
  </si>
  <si>
    <t>AROMATICO INVERSIONES SOCIEDAD ANONIMA CERRADA</t>
  </si>
  <si>
    <t>MG NATURA PERU S.A.C.</t>
  </si>
  <si>
    <t>CORPORACION SELVA DE ORO S.A.C</t>
  </si>
  <si>
    <t>AGROINDUSTRIA ORGANICO DEL PERU S.A.C.</t>
  </si>
  <si>
    <t>R&amp;L ANDEAN S.A.C.</t>
  </si>
  <si>
    <t>PERUFOOD IMPORT S.A.C.</t>
  </si>
  <si>
    <t>PAEXPERU E.I.R.L</t>
  </si>
  <si>
    <t>CORPORACION AGROSUR SSAMY SOCIEDAD ANONIMA CERRADA - AGROSUR SSAMY S.A.C.</t>
  </si>
  <si>
    <t>VARGAS GUEVARA ALDO ALFONSO</t>
  </si>
  <si>
    <t>COOPERATIVA AGRARIA MACHUPICCHU LTDA - CAGMA LTDA</t>
  </si>
  <si>
    <t>MIRANDA - LANGA AGRO EXPORT S.A.C - MIRANDA - LANGA S.A.C</t>
  </si>
  <si>
    <t>COOPERATIVA AGROECOLOGICA GRANO ANDINO DISTRITO DE SARTIMBAMBA COOP GRANO ANDINO</t>
  </si>
  <si>
    <t>INTI CONSORCIO SOCIEDAD ANONIMA CERRADA</t>
  </si>
  <si>
    <t>ECOINCA S.A.C.</t>
  </si>
  <si>
    <t>TERRAM VITA EXPORT SAC</t>
  </si>
  <si>
    <t>ALSUR PERU S.A.C.</t>
  </si>
  <si>
    <t>SUPRACORP S.A.C.</t>
  </si>
  <si>
    <t>PRAC AGRIBUSINESS FRESH S.A.C.</t>
  </si>
  <si>
    <t>JDA INTERNATIONAL S.A.C.</t>
  </si>
  <si>
    <t>CORPORACION ANDINA DE GRANOS Y CEREALES S.A.C.</t>
  </si>
  <si>
    <t>SMART CONTACT SOCIEDAD ANONIMA CERRADA - SMART CONTACT S.A.C.</t>
  </si>
  <si>
    <t>CPX PERU S.A.C.</t>
  </si>
  <si>
    <t>KALPA S.A.C.</t>
  </si>
  <si>
    <t>LOS CUYES S.A.C.</t>
  </si>
  <si>
    <t>AGRO MI PERU FOODS S.A.C.</t>
  </si>
  <si>
    <t>IMPORTADORA Y EXPORTADORA DOÑA ISABEL E. I.R.L</t>
  </si>
  <si>
    <t>EXIMP AGROINDUSTRIAL E.I.R.L.</t>
  </si>
  <si>
    <t>PEINADO RODRIGUEZ JORGE LUIS</t>
  </si>
  <si>
    <t>GRANDINO S.A.C.</t>
  </si>
  <si>
    <t>ECOANDINO S.A.C.</t>
  </si>
  <si>
    <t>MULTIPRODUCTOS GLOBALES - ANDINOS S.A.C.</t>
  </si>
  <si>
    <t>COMERCIALIZADORA EL GRANERO E.I.R.L.</t>
  </si>
  <si>
    <t>AGROINDUSTRIAS OSHO S.A.C.</t>
  </si>
  <si>
    <t>LEADING GLOBAL DISTRIBUTION E.I.R.L.</t>
  </si>
  <si>
    <t>ALIGOOD S.A.C.</t>
  </si>
  <si>
    <t>GOLDEN EARTH S.A.C.</t>
  </si>
  <si>
    <t>BIO FRUTOS S.A.C.</t>
  </si>
  <si>
    <t>NOE IMPORT EIRL</t>
  </si>
  <si>
    <t>RESOLT SOCIEDAD ANONIMA CERRADA  EN LIQUIDACION - RESOLT S.A.C. EN LIQUIDACION</t>
  </si>
  <si>
    <t>PERUVIAN NATURE S &amp; S S.A.C.</t>
  </si>
  <si>
    <t>TENMINSTE S.A.C.</t>
  </si>
  <si>
    <t>COMERCIAL DELBUENO E.I.R.L.</t>
  </si>
  <si>
    <t>GRUPO ESTELA SOCIEDAD ANONIMA CERRADA - GRUPO ESTELA S.A.C.</t>
  </si>
  <si>
    <t>BELMONT FOODS PERU S.A.C.</t>
  </si>
  <si>
    <t>PRODUCTOS VEGETALES DE EXPORTACION EMPRESA INDIVIDUAL DE RESPONSABILIDAD LIMITADA</t>
  </si>
  <si>
    <t>SOCIEDAD ANONIMA DE PROVEEDORES INDUSTRIALES S.A.C - SAPROIND</t>
  </si>
  <si>
    <t>PROYECTOS Y NEGOCIOS AGRICOLAS SOCIEDAD ANONIMA CERRADA</t>
  </si>
  <si>
    <t>NUTRIFAM TRADING &amp; MORE PERU E.I.R.L.</t>
  </si>
  <si>
    <t>FLO TRADING S.A.C.</t>
  </si>
  <si>
    <t>MEGABUSINESS PERU S.A.C.</t>
  </si>
  <si>
    <t>ANDINA FOODS EXPORT EMPRESA INDIVIDUAL DE RESPONSABILIDAD LIMITADA - ANDINA FOODS EXPORT E.I.R.L.</t>
  </si>
  <si>
    <t>ZOWI PERU SOCIEDAD ANONIMA CERRADA</t>
  </si>
  <si>
    <t>GRANOS ANDINOS DEL PERU S.A.</t>
  </si>
  <si>
    <t>THE GREEN FARMER S.A.C.</t>
  </si>
  <si>
    <t>JM IMPORTADORA EXPORTADORA Y SERVICIOS S.A.C.</t>
  </si>
  <si>
    <t>FUSION FOODS S.A.C.</t>
  </si>
  <si>
    <t>EXPORTACIONES &amp; IMPORTACIONES ANABY S.A.C. - EXPORT. &amp; IMPORT. ANABY S.A.C.</t>
  </si>
  <si>
    <t>GRUPO AGUILAR CORPORATION S.A.C.</t>
  </si>
  <si>
    <t>RASIL SRL</t>
  </si>
  <si>
    <t>PRODUCTOS DE LOS VALLES DEL PERU E.I.R.L.-PROVAPE E.I.R.L.</t>
  </si>
  <si>
    <t>LAS TRES MARGARITAS E.I.R.L.</t>
  </si>
  <si>
    <t>LAMAS IMPORT EXPORT S.A.C.</t>
  </si>
  <si>
    <t>EXPORTACIONES MIRSA EMPRESA INDIVIDUAL DE RESPOSABILIDAD LIMITADA</t>
  </si>
  <si>
    <t>MATFAL EMPRESA INDIVIDUAL DE RESPONSABILIDAD LIMITADA - MATFAL E.I.R.L.</t>
  </si>
  <si>
    <t>INDUSTRIAS SISA S.A.C.</t>
  </si>
  <si>
    <t>COMPLEMENTOS Y SUPLEMENTOS ORGÁNICOS DEL PERU S.R.L.</t>
  </si>
  <si>
    <t>AGROINDPEX S.A.C.</t>
  </si>
  <si>
    <t>NAKAYAMA DEL PERU S.A.C.</t>
  </si>
  <si>
    <t>LLERENA MACHADO ROSA ANGELICA</t>
  </si>
  <si>
    <t>ANDINOINDUSTRIAS SOCIEDAD ANONIMA CERRADA</t>
  </si>
  <si>
    <t>INVERSIONES LA MINGA E.I.R.L.</t>
  </si>
  <si>
    <t>EXPORTADORA CAMINOS ALTOS DEL PERU S.A.C.</t>
  </si>
  <si>
    <t>FITO PERU EXPORT IMPORT S.A.C.</t>
  </si>
  <si>
    <t>AGRIBUSINESS GOOD LIFE S.A.C. - AGRI GL S.A.C.</t>
  </si>
  <si>
    <t>BIO OMEGAS PERU SAC</t>
  </si>
  <si>
    <t>SOMOS VERDE VIDA SOCIEDAD ANONIMA CERRADA - SOMOS VERDE VIDA S.A.C.</t>
  </si>
  <si>
    <t>D'MATFAL FOODS COMPANY E.I.R.L. - D'MATFAL FOODS CO. E.I.R.L.</t>
  </si>
  <si>
    <t>INTERNATIONAL AGRO- EXPORTING GROUP S.A.C</t>
  </si>
  <si>
    <t>CABALLERO CARMELO IMPEXP EIRL</t>
  </si>
  <si>
    <t>MONDO IMPRENDITORE S.A.C.</t>
  </si>
  <si>
    <t>VARILLAS BALTAZAR CINTHIA PAOLA</t>
  </si>
  <si>
    <t>PERU Y SUS REGIONES S.A.C.</t>
  </si>
  <si>
    <t>CASTRO VELA ALFREDO ALFONSO</t>
  </si>
  <si>
    <t>UNION DE NEGOCIOS CORPORATIVOS SOCIEDAD ANONIMA CERRADA</t>
  </si>
  <si>
    <t>CENTURION BUSINESS E.I.R.L.</t>
  </si>
  <si>
    <t>ECOMMODITIES SOCIEDAD ANONIMA CERRADA _ ECOMMODITIES S.A.C.</t>
  </si>
  <si>
    <t>NEGOCIOS INTERNACIONALES LUNA E.I.R.L.</t>
  </si>
  <si>
    <t>MAPA LOGISTICA INTERNACIONAL SAC</t>
  </si>
  <si>
    <t>MEBOL SAC</t>
  </si>
  <si>
    <t>IMEXPRO S.A.C.</t>
  </si>
  <si>
    <t>T &amp; H CAPLINA EMPRESA INDIVIDUAL DE RESPONSABILIDAD LIMITADA - T &amp; H CAPLINA E.I.R.L.</t>
  </si>
  <si>
    <t>AZURIN ARAUJO MANUEL EDUARDO</t>
  </si>
  <si>
    <t>AGROWORLD S.A.C.</t>
  </si>
  <si>
    <t>INCASOL IMPORT &amp; EXPORT S.A.C.</t>
  </si>
  <si>
    <t>COM ALT DE PROD NO TRAD Y DES EN LAT AME</t>
  </si>
  <si>
    <t>MOLINERA WIñAYMARCA E.I.R.L.</t>
  </si>
  <si>
    <t>INTI HANDICRAFT PERUVIAN E.I.R.L. EN LIQUIDACION</t>
  </si>
  <si>
    <t>NATURAL PERU SOCIEDAD ANONIMA CERRADA</t>
  </si>
  <si>
    <t>"ALIT PERU S.A.C."</t>
  </si>
  <si>
    <t>"CORPKV IMPORTADORA EXPORTADORA Y COMERCIALIZADORA SOCIEDAD ANONIMA CERRADA"</t>
  </si>
  <si>
    <t>"GAM SPICES INTERNACIONAL S.A.C." - GAM SPICES SA.C.</t>
  </si>
  <si>
    <t>"MAMA FOODS S.A.C"</t>
  </si>
  <si>
    <t>AC PERU INTERNACIONAL SOCIEDAD ANONIMA CERRADA</t>
  </si>
  <si>
    <t>AGRICOLAS Y FORESTALES SAC</t>
  </si>
  <si>
    <t>AGRO COSECHA PAZ S.A.C.</t>
  </si>
  <si>
    <t>AGROEXPORTACIONES OLMOS E.I.R.L.</t>
  </si>
  <si>
    <t>AGROEXPORTADORA SOL DE OLMOS S.A.C.</t>
  </si>
  <si>
    <t>AGROINDUSTRIAL E&amp;C S.A.C</t>
  </si>
  <si>
    <t>ALBUGAT S.A.C.</t>
  </si>
  <si>
    <t>ALCE NATURAL S.A.C.</t>
  </si>
  <si>
    <t>ALGARROBOS ORGANICOS DEL PERU SOCIEDAD ANONIMA CERRADA</t>
  </si>
  <si>
    <t>ALIMENTOS AALIT SOCIEDAD ANONIMA CERRADA</t>
  </si>
  <si>
    <t>ALPACAS BETH S.R.L</t>
  </si>
  <si>
    <t>ALTITUDE TRADING S.A.C.</t>
  </si>
  <si>
    <t>ALTPEZ INTERNACIONAL S.A.C.</t>
  </si>
  <si>
    <t>AMAZFRUIT PERU SOCIEDAD ANONIMA CERRADA - AMAZFRUIT S.A.C.</t>
  </si>
  <si>
    <t>AMAZON ANDES EXPORT S.A.C.</t>
  </si>
  <si>
    <t>AMAZON SPECIALTIES S.A.C.</t>
  </si>
  <si>
    <t>ANDEAN GROUP PERU S.A.C.</t>
  </si>
  <si>
    <t>ANDEAN SUPER GRAINS S.A.C</t>
  </si>
  <si>
    <t>ANDES HEALTH PERU S.A.</t>
  </si>
  <si>
    <t>ANDES PERU ALIMENTOS S.A.C.</t>
  </si>
  <si>
    <t>ARI SUPERFOODS S.A.C.</t>
  </si>
  <si>
    <t>ASOCIACION DE PRODUCTORES AGROINDUSTRIALES ORGANICOS DE PERU ASPAGRO</t>
  </si>
  <si>
    <t>ASOCIACION DE PRODUCTORES DE MACA DEL VALLE DEL MANTARO</t>
  </si>
  <si>
    <t>BAF LOGISTIC E.I.R.L.</t>
  </si>
  <si>
    <t>BIO BUSINESS PERUVIAN S.A.C.</t>
  </si>
  <si>
    <t>BLUE MARKET S.A.C</t>
  </si>
  <si>
    <t>CHEQUEN S.A.C.</t>
  </si>
  <si>
    <t>CHEYOSOY E.I.R.L.</t>
  </si>
  <si>
    <t>CIA PERU EXPORT S.A.C.</t>
  </si>
  <si>
    <t>COMERCIAL FLORETE EMPRESA INDIVIDUAL DE RESPONSABILIDAD LIMITADA</t>
  </si>
  <si>
    <t>COMERCIAL NAMUCHE E.I.R.L.</t>
  </si>
  <si>
    <t>COMERCIALIZADORA VERDE DE ALIMENTOS SOCIEDAD ANONIMA CERRADA - COMVER ALIMENTOS S.A.C.</t>
  </si>
  <si>
    <t>COMISION DE PROMOCION DEL PERU PARA LA EXPORTACION Y  EL TURISMO - PROMPERU</t>
  </si>
  <si>
    <t>CONSORCIO IZAM - GOLDEN</t>
  </si>
  <si>
    <t>COOPERATIVA AGRARIA DE SERVICIOS MULTIPLES CAMPO VERDE DE JOSE MARIA ARGUEDAS - CASMUCAV</t>
  </si>
  <si>
    <t>COOPERATIVA AGROINDUSTRIAL TOCACHE LTDA</t>
  </si>
  <si>
    <t>COPESBA SOCIEDAD ANONIMA</t>
  </si>
  <si>
    <t>COPROIMPEX SOCIEDAD ANONIMA CERRADA</t>
  </si>
  <si>
    <t>CORPORACION AGRICOLA LA HACIENDA S.A.C.</t>
  </si>
  <si>
    <t>CORPORACION LUISIANA S.A.C.</t>
  </si>
  <si>
    <t>CORPORACION ORANGE PERU SOCIEDAD ANONIMA CERRADA - ORANGE PERU S.A.C.</t>
  </si>
  <si>
    <t>CUEVA MAQUERA DE PAULINO NORMA</t>
  </si>
  <si>
    <t>CV EXIMP SOCIEDAD ANONIMA CERRADA - CV EXIMP S.A.C.</t>
  </si>
  <si>
    <t>DEL VALLE  PRODUCTOS ECOLOGICOS E.I.R.L.</t>
  </si>
  <si>
    <t>DISTRUIBUIDORA ANKA S.A.C</t>
  </si>
  <si>
    <t>ECOLOGICAL S.A.C.</t>
  </si>
  <si>
    <t>EJAYSA SOCIEDAD ANONIMA CERRADA - EJAYSA S.A.C.</t>
  </si>
  <si>
    <t>EL HUB DEL EXPORTADOR S.A.C</t>
  </si>
  <si>
    <t>EMPRESA FASHION CARDENAS E.I.R.L.</t>
  </si>
  <si>
    <t>ESMERALDA FOOD S.A.C.</t>
  </si>
  <si>
    <t>EXPORT JANFER S.A.C.</t>
  </si>
  <si>
    <t>EXPORTADORA BENDICION DE DIOS S.A.C.</t>
  </si>
  <si>
    <t>EXPORTADORA LINOS PERU SOCIEDAD ANONIMA CERRADA</t>
  </si>
  <si>
    <t>FABS FOOD AND BEVERAGES SOLUTIONS S.A.C.</t>
  </si>
  <si>
    <t>FALVY DE MATOS CINTHYA LOURDES</t>
  </si>
  <si>
    <t>FLORA AGROSERVICIOS E.I.R.L.</t>
  </si>
  <si>
    <t>FOODS PERU ANDINOS S.R.L.</t>
  </si>
  <si>
    <t>FRESHLY ORGANIC PERÚ S.A.C. - FRESHORG S.A.C.</t>
  </si>
  <si>
    <t>FST GROUP S.A.C.</t>
  </si>
  <si>
    <t>FUNDO AMERICA SAC.</t>
  </si>
  <si>
    <t>GAPEC EMPRESA INDIVIDUAL DE RESPONSABILIDAD LIMITADA</t>
  </si>
  <si>
    <t>GBZ FOODS S.A.C.</t>
  </si>
  <si>
    <t>GEALE AGROTRADING E.I.R.L.</t>
  </si>
  <si>
    <t>GOSSEN FOODS S.A.C.</t>
  </si>
  <si>
    <t>GOSSEN PERU FOOD'S S.A.C.</t>
  </si>
  <si>
    <t>GRANO COMPANY S.A.C</t>
  </si>
  <si>
    <t>GRANODEP S.A.C.</t>
  </si>
  <si>
    <t>GRUPO ALTAMAR S.A.C.</t>
  </si>
  <si>
    <t>GRUPO HERMANOS ESCORPIO SOCIEDAD ANONIMA CERRADA</t>
  </si>
  <si>
    <t>HEALTHY FOODS FGS S.A.C.</t>
  </si>
  <si>
    <t>HOPE KINGDOM S.A.C.</t>
  </si>
  <si>
    <t>HSM FOODS S.A.C.</t>
  </si>
  <si>
    <t>IGLOOER S.A.C.</t>
  </si>
  <si>
    <t>IMPORT &amp; EXPORT AGROS DEL NORTESUR E.I.R.L.</t>
  </si>
  <si>
    <t>IMPORT Y EXPORT AGRINOVA BMI S.R.L.</t>
  </si>
  <si>
    <t>INCA INDUSTRIAS AGRICOLAS S.A.C.</t>
  </si>
  <si>
    <t>INDUSTRIAS ALIMENTICIAS CUSCO S.A.</t>
  </si>
  <si>
    <t>INDUSTRIAS UNIDAS DEL PERU S.A.</t>
  </si>
  <si>
    <t>INKA SUPERFOODS S.A.C.</t>
  </si>
  <si>
    <t>INKA TASTY S.A.C.</t>
  </si>
  <si>
    <t>INKAMAZON SUDAMERICA S.A.C.</t>
  </si>
  <si>
    <t>INKANATURA WORLD PERU EXPORT SOCIEDAD ANONIMA CERRADA - INKANATURA WORLD PERU EXPORT S.A.C.</t>
  </si>
  <si>
    <t>INKAS WONDER PERU E.I.R.L.</t>
  </si>
  <si>
    <t>INNOVACION NACIONAL S.A.</t>
  </si>
  <si>
    <t>INSPECTION &amp; QUALITY TOTAL SERVICES S.A.C.</t>
  </si>
  <si>
    <t>INVERSIONES AMELEX S.A.C.</t>
  </si>
  <si>
    <t>INVERSIONES TEXTILES MODA S.R.L.</t>
  </si>
  <si>
    <t>INVERSIONES Y EXPORTACIONES ORDOÑEZ S.A.C.</t>
  </si>
  <si>
    <t>J.J. INVERSIONES ISCAYNER E.I.R.L.</t>
  </si>
  <si>
    <t>JACA AGRO EXPORT S.A.C.</t>
  </si>
  <si>
    <t>JACHA INTI INDUSTRIAL S.A.C.</t>
  </si>
  <si>
    <t>KAI PACHA FOODS S.A.C.</t>
  </si>
  <si>
    <t>KALLPA FOODS S.A.C.</t>
  </si>
  <si>
    <t>K-ALLPA ORGÁNICA SAC</t>
  </si>
  <si>
    <t>KARLINI INTERNATIONAL FOODS S.A.C.</t>
  </si>
  <si>
    <t>KIRIA FOODS S.A.C.</t>
  </si>
  <si>
    <t>KOECH S.A.C.</t>
  </si>
  <si>
    <t>KUMARA FOOD E.I.R.L.</t>
  </si>
  <si>
    <t>LA PASCALA E.I.R.L.</t>
  </si>
  <si>
    <t>LABORATORIOS PORTUGAL S R L</t>
  </si>
  <si>
    <t>LATIN AMERICAN TRAVEL E.I.R.L.</t>
  </si>
  <si>
    <t>LIMA EXPORTAR PRODUCTOS E.I.R.L.</t>
  </si>
  <si>
    <t>MAMANI CATACORA JAVIER HECTOR</t>
  </si>
  <si>
    <t>MAREMI S.A.C.</t>
  </si>
  <si>
    <t>MASOJO CORP S.A.C.</t>
  </si>
  <si>
    <t>MATFAL GLOBAL EXPORT E.I.R.L.</t>
  </si>
  <si>
    <t>MAXON PERU S.A.C.</t>
  </si>
  <si>
    <t>MERCADO UNO S.A.C.</t>
  </si>
  <si>
    <t>MERKO PACIFIC S.A.C.</t>
  </si>
  <si>
    <t>MIKUY TRADERS S.A.C.</t>
  </si>
  <si>
    <t>MONHA SERVICE S.A.C.</t>
  </si>
  <si>
    <t>MONTEFINO S.A.C.</t>
  </si>
  <si>
    <t>MOSCOLL CHAVEZ FRANCIS ABRAHAM JOALDI</t>
  </si>
  <si>
    <t>MRH SOUTH AMERICAN FOOD S.A.C.</t>
  </si>
  <si>
    <t>MULTISERVICIOS ROMERO'S &amp; MORENO'S S.A.C.</t>
  </si>
  <si>
    <t>MUNAI KAJWI S.A.C. - MKAJWI S.A.C.</t>
  </si>
  <si>
    <t>NAMASKAR SOCIEDAD ANONIMA CERRADA - NAMASKAR S.A.C.</t>
  </si>
  <si>
    <t>NATUR FOODS EXPORT E.I.R.L</t>
  </si>
  <si>
    <t>NATURAL ORIGINS S.A.C.</t>
  </si>
  <si>
    <t>NATURAL SOURCE PERU S.A.C.</t>
  </si>
  <si>
    <t>NDV PRODUCTOS S.A.C.</t>
  </si>
  <si>
    <t>NOVAL COMPANY S.A.C.</t>
  </si>
  <si>
    <t>NOVOS DISTRIBUCION Y EXPORTACION DEL PERU SOCIEDAD ANONIMA CERRADA</t>
  </si>
  <si>
    <t>OLAM GLOBAL AGRI PERU S.A.C.</t>
  </si>
  <si>
    <t>OLLA DE BARRO FOOD SOCIEDAD COMERCIAL DE RESPONSABILIDAD LIMITADA</t>
  </si>
  <si>
    <t>ORGANICA B&amp;C S.A.C.</t>
  </si>
  <si>
    <t>ORGANICA G &amp; B S.A.C.</t>
  </si>
  <si>
    <t>ORGANICCROPS EMPRESA INDIVIDUAL DE RESPONSABILIDAD LIMITADA</t>
  </si>
  <si>
    <t>ORIUNDO TRADING S.A.C.</t>
  </si>
  <si>
    <t>PANKARA PERU INVERSIONES E.I.R.L.</t>
  </si>
  <si>
    <t>PANOJA S.A.C</t>
  </si>
  <si>
    <t>PERU BEAN S.A.C.</t>
  </si>
  <si>
    <t>PERUCHEF TRADE S.A.C.</t>
  </si>
  <si>
    <t>PERUVIAN AMAZON HERBS E.I.R.L.</t>
  </si>
  <si>
    <t>PERUVIANFOOD IMPORT S.A.C</t>
  </si>
  <si>
    <t>PRADA SUNCO FLOR MARGARITA</t>
  </si>
  <si>
    <t>PRANA SUPERFOODS S.A.C.</t>
  </si>
  <si>
    <t>PRODCOMER S.A.C.</t>
  </si>
  <si>
    <t>PRODUCTORA Y EXPORTADORA EL ANDINITO SOCIEDAD ANONIMA CERRADA - PRODEXA S.A.C.</t>
  </si>
  <si>
    <t>PROVEX CIA PERU E.I.R.L</t>
  </si>
  <si>
    <t>QUALITY SUPPLIER S.A.C.</t>
  </si>
  <si>
    <t>QUISPE CUEVA AYDEE</t>
  </si>
  <si>
    <t>QVS INTERNATIONAL S.A.C.</t>
  </si>
  <si>
    <t>RAW FOOD AGROBUSINESS S.R.L.</t>
  </si>
  <si>
    <t>REATEGUI ARANDA LILIANA</t>
  </si>
  <si>
    <t>RIVERA'S PERUVIAN FOOD S.A.C.</t>
  </si>
  <si>
    <t>ROBLES VEGA ANA MARIA</t>
  </si>
  <si>
    <t>RUELAS APAZA JOSE FELIX</t>
  </si>
  <si>
    <t>SABOR PERUANO DE EXPORTACION S.A.C.</t>
  </si>
  <si>
    <t>SAMI - AGROSERVICIOS PERU E.I.R.L.</t>
  </si>
  <si>
    <t>SANTI AGRO ORGANICO SOCIEDAD ANONIMA CERRADA - SANTI AGRO ORGANICO S.A.C.</t>
  </si>
  <si>
    <t>SIMPLI GOOD PERU S.A.C.</t>
  </si>
  <si>
    <t>SIPION RAMIREZ JHONATAN DANIEL</t>
  </si>
  <si>
    <t>SOLCOAGRO S.A.C</t>
  </si>
  <si>
    <t>SUPER PLANTS AND FOOD S.A.C.</t>
  </si>
  <si>
    <t>SUPERFOODS PERU MARKET S.A.C.</t>
  </si>
  <si>
    <t>SUPERFOODS PERU S.A.C.</t>
  </si>
  <si>
    <t>SURTIDORA DEL PACIFICO S.A.C.</t>
  </si>
  <si>
    <t>TARPUY AGROINDUSTRIAL S.A.C.</t>
  </si>
  <si>
    <t>TEJIDO &amp; ARTE ANDINO S.A.C.</t>
  </si>
  <si>
    <t>TELLO HUARINGA ROBERTO ANTONIO</t>
  </si>
  <si>
    <t>THE GOLDEN AMAZON ORGANIC GRAINS S.A.C.</t>
  </si>
  <si>
    <t>THE SUPERFOOD COMPANY SOCIEDAD ANONIMA CERRADA - THE SUPERFOOD COMPANY S.A.C.</t>
  </si>
  <si>
    <t>THREE TIGERS S.A.C.</t>
  </si>
  <si>
    <t>TIERRA DEL MONTE SOCIEDAD COMERCIAL DE RESPONSABILIDAD LIMITADA</t>
  </si>
  <si>
    <t>TIG CORPORATION EMPRESA INDIVIDUAL DE RESPONSABILIDAD LIMITADA - TIG CORPORATION</t>
  </si>
  <si>
    <t>TORO CAMPOS HONORIO MANUEL</t>
  </si>
  <si>
    <t>TRADING AGROSUR SSAMY SOCIEDAD ANONIMA CERRADA</t>
  </si>
  <si>
    <t>VALLE FERTIL S.A.C.</t>
  </si>
  <si>
    <t>VALLI FOODS S.A.C.</t>
  </si>
  <si>
    <t>VENTURA TARAZONA ANA MARIA</t>
  </si>
  <si>
    <t>VIRU SUPERFOOD'S S.A.C.</t>
  </si>
  <si>
    <t>WARI SOLID FOOD S.A.C.</t>
  </si>
  <si>
    <t>WEH - WHOLEFORT S.A.C</t>
  </si>
  <si>
    <t>2018</t>
  </si>
  <si>
    <t>2019</t>
  </si>
  <si>
    <t>2020</t>
  </si>
  <si>
    <t>2021</t>
  </si>
  <si>
    <t>2022</t>
  </si>
  <si>
    <t>Callao</t>
  </si>
  <si>
    <t>Loreto</t>
  </si>
  <si>
    <t>Madre de Dios</t>
  </si>
  <si>
    <t>Pasco</t>
  </si>
  <si>
    <t>Piura</t>
  </si>
  <si>
    <t>San Martín</t>
  </si>
  <si>
    <t>Tumbes</t>
  </si>
  <si>
    <t>Ucayali</t>
  </si>
  <si>
    <t>Cuadro 278     Perú: Producción mensual de quinua, según región. Año: 2020 (t)</t>
  </si>
  <si>
    <t>quinre de Dios</t>
  </si>
  <si>
    <t>CAJAMARCA</t>
  </si>
  <si>
    <t>HUÁNUCO</t>
  </si>
  <si>
    <t>LORETO</t>
  </si>
  <si>
    <t>MADRE DE DIOS</t>
  </si>
  <si>
    <t>SAN MARTÍN</t>
  </si>
  <si>
    <t xml:space="preserve">TCP (%) 22/18 </t>
  </si>
  <si>
    <t>Países Bajos</t>
  </si>
  <si>
    <t>Rusia</t>
  </si>
  <si>
    <t>USA</t>
  </si>
  <si>
    <t>EXPORTACION DE QUINUA DE ESTADOS UNIDOS AL MUNDO EN TONELADAS</t>
  </si>
  <si>
    <t>EXPORTACION DE QUINUA DE ESTADOS UNIDOS AL MUNDO EN USD</t>
  </si>
  <si>
    <t>Perú</t>
  </si>
  <si>
    <t>EMPRESAS</t>
  </si>
  <si>
    <t>VINCULOS AGRICOLAS S.A.C.</t>
  </si>
  <si>
    <t>APLEX TRADING S.A.C.</t>
  </si>
  <si>
    <t>VILLA ANDINA</t>
  </si>
  <si>
    <t>Exportadores</t>
  </si>
  <si>
    <t>Mundo</t>
  </si>
  <si>
    <t>Taipei Chino</t>
  </si>
  <si>
    <t>Corea</t>
  </si>
  <si>
    <t>Irlanda</t>
  </si>
  <si>
    <t>Paraguay</t>
  </si>
  <si>
    <t>Rusia, Federación de</t>
  </si>
  <si>
    <t>Türkiye</t>
  </si>
  <si>
    <t>Estados Unidos de América importa desde Perú</t>
  </si>
  <si>
    <t>"Arándanos rojos, mirtilos y demás frutos del género ""Vaccinium"", frescos"</t>
  </si>
  <si>
    <t>Uvas frescas</t>
  </si>
  <si>
    <t>Cobre refinado en forma de cátodos y de secciones de cátodos</t>
  </si>
  <si>
    <t>Minerales de molibdeno y sus concentrados (exc. tostados)</t>
  </si>
  <si>
    <t>Café sin tostar ni descafeinar</t>
  </si>
  <si>
    <t>Fosfatos de calcio naturales, fosfatos aluminocálcicos naturales y cretas fosfatadas, sin triturar</t>
  </si>
  <si>
    <t>Estaño en bruto, sin alear</t>
  </si>
  <si>
    <t>Espárragos, frescos o refrigerados</t>
  </si>
  <si>
    <t>"Aguacates ""paltas"", frescos o secos"</t>
  </si>
  <si>
    <t>T-shirts y camisetas, de punto, de algodón</t>
  </si>
  <si>
    <t>Aceites crudos de petróleo o de mineral bituminoso</t>
  </si>
  <si>
    <r>
      <t xml:space="preserve">"Artículos de joyería y sus partes, de metales preciosos distintos de la plata, incl. revestidos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</si>
  <si>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"Vegetales y mezcla de vegetales, preparados o conservados sin vinagre, sin congelar (exc. </t>
    </r>
    <r>
      <rPr>
        <b/>
        <sz val="8"/>
        <color rgb="FF002B54"/>
        <rFont val="Calibri"/>
        <family val="2"/>
        <scheme val="minor"/>
      </rPr>
      <t>...</t>
    </r>
  </si>
  <si>
    <t>mandarinas frescas o secas incl. tangerinas y satsumas (excl. clementinas)</t>
  </si>
  <si>
    <r>
      <t xml:space="preserve">"Suéteres ""jerseys"", ""pullovers"", cardiganes, chalecos y artículos simil., de punto, de </t>
    </r>
    <r>
      <rPr>
        <b/>
        <sz val="8"/>
        <color rgb="FF002B54"/>
        <rFont val="Calibri"/>
        <family val="2"/>
        <scheme val="minor"/>
      </rPr>
      <t>...</t>
    </r>
  </si>
  <si>
    <t>Materias no a otra parte especificadas</t>
  </si>
  <si>
    <t>"Camisas de punto, de algodón, para hombres o niños (exc. camisones, ""T-shirts"" y camisetas)"</t>
  </si>
  <si>
    <t>Filetes de pescado congelados, nep</t>
  </si>
  <si>
    <t>Cinc en bruto, sin alear, con un contenido de cinc &gt;= 99,99% en peso</t>
  </si>
  <si>
    <t>Guayabas, mangos y mangostanes, frescos o secos</t>
  </si>
  <si>
    <r>
      <t xml:space="preserve">"Frutos comestibles, sin cocer o cocidos en agua o vapor, congelados, incl. con adición de </t>
    </r>
    <r>
      <rPr>
        <b/>
        <sz val="8"/>
        <color rgb="FF002B54"/>
        <rFont val="Calibri"/>
        <family val="2"/>
        <scheme val="minor"/>
      </rPr>
      <t>...</t>
    </r>
  </si>
  <si>
    <t>Oro, incl. el oro platinado, en bruto, para uso no monetario (exc. en polvo)</t>
  </si>
  <si>
    <t>Cebollas y chalotes, frescos o refrigerados</t>
  </si>
  <si>
    <t>Barras y perfiles, de cobre refinado, n.c.o.p.</t>
  </si>
  <si>
    <t>T-shirts y camisetas, de punto, de materia textil (exc. de algodón)</t>
  </si>
  <si>
    <r>
      <t xml:space="preserve">Legumbres, hortalizas, frutos y demás partes comestibles de plantas, preparados o conservados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</si>
  <si>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"Chapas y tiras, de cobre refinado, de espesor &gt; 0,15 mm, sin enrollar (exc. chapas y tiras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</si>
  <si>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"Camisas de punto, de fibras sintéticas o artificiales, para hombres o niños (exc. camisones, </t>
    </r>
    <r>
      <rPr>
        <b/>
        <sz val="8"/>
        <color rgb="FF002B54"/>
        <rFont val="Calibri"/>
        <family val="2"/>
        <scheme val="minor"/>
      </rPr>
      <t>...</t>
    </r>
  </si>
  <si>
    <t>Cinc en bruto, sin alear, con un contenido de cinc &lt; 99,99% en peso</t>
  </si>
  <si>
    <r>
      <t xml:space="preserve">Grasas y aceites de pescado y sus fracciones, incl. refinados, sin modificar químicamente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</si>
  <si>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Aceites medios y preparaciones, de petróleo o de mineral bituminoso, que no contienen biodiesel,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</si>
  <si>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Vidrio contrachapado, de dimensiones y formatos que permitan su empleo en automóviles, aeronaves, </t>
    </r>
    <r>
      <rPr>
        <b/>
        <sz val="8"/>
        <color rgb="FF002B54"/>
        <rFont val="Calibri"/>
        <family val="2"/>
        <scheme val="minor"/>
      </rPr>
      <t>...</t>
    </r>
  </si>
  <si>
    <t>Frutos del género Capsicum o del género Pimenta, secos, sin triturar ni pulverizar</t>
  </si>
  <si>
    <r>
      <t xml:space="preserve">"Fresas ""frutillas"", sin cocer o cocidas en agua o vapor, congeladas, con adición de azúcar </t>
    </r>
    <r>
      <rPr>
        <b/>
        <sz val="8"/>
        <color rgb="FF002B54"/>
        <rFont val="Calibri"/>
        <family val="2"/>
        <scheme val="minor"/>
      </rPr>
      <t>...</t>
    </r>
  </si>
  <si>
    <t>Jengibre, sin triturar ni pulverizar</t>
  </si>
  <si>
    <r>
      <t xml:space="preserve">Azúcar de caña, en estado sólido, (excepto los de la caña de azúcar 1701 13) sin adición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</si>
  <si>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"Placas, láminas, hojas y tiras, de poli""tereftalato de etileno"" no celular y sin esfuerzo, </t>
    </r>
    <r>
      <rPr>
        <b/>
        <sz val="8"/>
        <color rgb="FF002B54"/>
        <rFont val="Calibri"/>
        <family val="2"/>
        <scheme val="minor"/>
      </rPr>
      <t>...</t>
    </r>
  </si>
  <si>
    <t>Manteca, grasa y aceite de cacao</t>
  </si>
  <si>
    <r>
      <t xml:space="preserve">Camarones y langostinos congelados, incluso ahumado, incluso pelados o no, incl. camarones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</si>
  <si>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Frutas y demás partes comestibles de plantas, preparados o conservados, incluso con adición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</si>
  <si>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Placas, láminas, hojas y tiras, de polímeros no celulares de propileno y sin esfuerzo, estratificación </t>
    </r>
    <r>
      <rPr>
        <b/>
        <sz val="8"/>
        <color rgb="FF002B54"/>
        <rFont val="Calibri"/>
        <family val="2"/>
        <scheme val="minor"/>
      </rPr>
      <t>...</t>
    </r>
  </si>
  <si>
    <t>Plata, incl. la plata dorada y la platinada, en bruto, (exc. en polvo)</t>
  </si>
  <si>
    <t>"Quinua ""Chenopodium quinoa"""</t>
  </si>
  <si>
    <t>Plátanos frescos o secos (plátanos excl.)</t>
  </si>
  <si>
    <r>
      <t xml:space="preserve">"Camisones y pijamas, de punto, de algodón, para mujeres o niñas (exc. ""T-shirts"", camisetas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</si>
  <si>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"Aceites ligeros y preparaciones, de petróleo o de minerales bituminosos que&gt; = 90% en volumen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</si>
  <si>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"Piñas ""ananás"", preparadas o conservadas, incl. con adición de azúcar u otro edulcorante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</si>
  <si>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"Parabrisas delanteros ""parabrisas"", lunas traseras y otras ventanas para vehículos automóviles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</si>
  <si>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"Agrios ""cítricos"", preparados o conservados, incl. con adición de azúcar u otro edulcorante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</si>
  <si>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"Hortalizas, incl. ""silvestres"", aunque estén cocidas en agua o vapor, congeladas (exc. patatas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</si>
  <si>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Placas, láminas, hojas y tiras, de poliamidas no celulares y sin esfuerzo, estratificación </t>
    </r>
    <r>
      <rPr>
        <b/>
        <sz val="8"/>
        <color rgb="FF002B54"/>
        <rFont val="Calibri"/>
        <family val="2"/>
        <scheme val="minor"/>
      </rPr>
      <t>...</t>
    </r>
  </si>
  <si>
    <t>Café descafeinado sin tostar</t>
  </si>
  <si>
    <t>"Prendas y complementos ""accesorios"" de vestir, de punto, de algodón, para bebés (exc. gorras)"</t>
  </si>
  <si>
    <t>Cajas, cajones, jaulas y artículos simil. para transporte o envasado, de plástico</t>
  </si>
  <si>
    <t>Vestidos de punto, de algodón, para mujeres o niñas (exc. combinaciones)</t>
  </si>
  <si>
    <t>Óxido de cinc; peróxido de cinc</t>
  </si>
  <si>
    <r>
      <t xml:space="preserve">"Camisas, blusas y blusas camiseras, de punto, de algodón, para mujeres o niñas (exc. ""T-shirts""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</si>
  <si>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con un contenido de lana o pelo fino &gt;= 85% en peso, acondicionados para la venta al </t>
    </r>
    <r>
      <rPr>
        <b/>
        <sz val="8"/>
        <color rgb="FF002B54"/>
        <rFont val="Calibri"/>
        <family val="2"/>
        <scheme val="minor"/>
      </rPr>
      <t>...</t>
    </r>
  </si>
  <si>
    <t>"Alambre de aleaciones a base de cobre-cinc ""latón"""</t>
  </si>
  <si>
    <r>
      <t xml:space="preserve">"Partes y accesorios de carrocerías para tractores, vehículos de motor para el transporte de </t>
    </r>
    <r>
      <rPr>
        <b/>
        <sz val="8"/>
        <color rgb="FF002B54"/>
        <rFont val="Calibri"/>
        <family val="2"/>
        <scheme val="minor"/>
      </rPr>
      <t>...</t>
    </r>
  </si>
  <si>
    <t>Espárragos, preparados o conservados sin vinagre ni ácido acético, sin congelar</t>
  </si>
  <si>
    <t>Alambre de cobre refinado, con la mayor dimensión de la sección transversal &gt; 6 mm</t>
  </si>
  <si>
    <r>
      <t xml:space="preserve">"Alambre de aleaciones de cobre (exc. de aleaciones a base de cobre-cinc ""latón"", de cobre-níquel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</si>
  <si>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"Guisantes ""arvejas, chícharos"" ""Pisum sativum"", aunque estén desvainados, frescos o r </t>
    </r>
    <r>
      <rPr>
        <b/>
        <sz val="8"/>
        <color rgb="FF002B54"/>
        <rFont val="Calibri"/>
        <family val="2"/>
        <scheme val="minor"/>
      </rPr>
      <t>...</t>
    </r>
  </si>
  <si>
    <t>Frutos del género Capsicum o del género Pimenta, triturados o pulverizados</t>
  </si>
  <si>
    <t>wilking frescas o secas y híbridos similares de agrios</t>
  </si>
  <si>
    <r>
      <t xml:space="preserve">Chocolate y demás preparaciones alimenticias que contengan cacao, en recipientes o envases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</si>
  <si>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"Jugo de agrios ""cítricos"", sin fermentar y sin adición de alcohol, incl. con adición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</si>
  <si>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"Filetes frescos o refrigerados de truchas ""Salmo trutta, Oncorhynchus mykiss, Oncorhynchus </t>
    </r>
    <r>
      <rPr>
        <b/>
        <sz val="8"/>
        <color rgb="FF002B54"/>
        <rFont val="Calibri"/>
        <family val="2"/>
        <scheme val="minor"/>
      </rPr>
      <t>...</t>
    </r>
  </si>
  <si>
    <t>Pescado y calamar, congelados, con o sin cáscara</t>
  </si>
  <si>
    <r>
      <t xml:space="preserve">Lacas colorantes; preparaciones a que se refiere la nota 3 de este capítulo a base de lacas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</si>
  <si>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"Suéteres ""jerseys"", ""pullovers"", cardiganes, chalecos y artículos similares, de punto,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</si>
  <si>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"Chapas y tiras, de cobre refinado, de espesor &gt; 0,15 mm, enrolladas (exc. chapas y tiras extendidas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</si>
  <si>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"Acumuladores de plomo, de los tipos utilizados para arranque de motores de émbolo ""pistón""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</si>
  <si>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Jugo de frutas o verduras, no fermentados, con o sin adición de azúcar u otro edulcorante (excepto </t>
    </r>
    <r>
      <rPr>
        <b/>
        <sz val="8"/>
        <color rgb="FF002B54"/>
        <rFont val="Calibri"/>
        <family val="2"/>
        <scheme val="minor"/>
      </rPr>
      <t>...</t>
    </r>
  </si>
  <si>
    <t>Semillas de hortalizas, para siembra</t>
  </si>
  <si>
    <r>
      <t xml:space="preserve">Baldosas y losas para pavimentos, chimeneas o muros, de un coeficiente de absorción de agua </t>
    </r>
    <r>
      <rPr>
        <b/>
        <sz val="8"/>
        <color rgb="FF002B54"/>
        <rFont val="Calibri"/>
        <family val="2"/>
        <scheme val="minor"/>
      </rPr>
      <t>...</t>
    </r>
  </si>
  <si>
    <t>Nueces del Brasil, frescas o secas, sin cáscara</t>
  </si>
  <si>
    <r>
      <t xml:space="preserve">Materias colorantes de origen vegetal o animal, incluidos los extractos tintóreos (excepto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</si>
  <si>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Mucílagos y espesativos vegetales, incl. modificados (exc. de algarroba o de su semilla o de </t>
    </r>
    <r>
      <rPr>
        <b/>
        <sz val="8"/>
        <color rgb="FF002B54"/>
        <rFont val="Calibri"/>
        <family val="2"/>
        <scheme val="minor"/>
      </rPr>
      <t>...</t>
    </r>
  </si>
  <si>
    <t>Semillas de melón</t>
  </si>
  <si>
    <r>
      <t xml:space="preserve">Mezclas y preparaciones alimenticias de materias grasas y aceites, animales o vegetales, 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</si>
  <si>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"Tamarindos frescos, los anacardos, la jaca, litchis, sapotillos, maracuyá, carambola, pitahaya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</si>
  <si>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"Preparaciones para salsas y salsas preparadas; condimentos y sazonadores, compuestos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</si>
  <si>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"Prendas de vestir especiales, para usos específicos ""p.ej., profesional, deportivo, etc."", </t>
    </r>
    <r>
      <rPr>
        <b/>
        <sz val="8"/>
        <color rgb="FF002B54"/>
        <rFont val="Calibri"/>
        <family val="2"/>
        <scheme val="minor"/>
      </rPr>
      <t>...</t>
    </r>
  </si>
  <si>
    <t>Cacao en grano, entero o partido, crudo o tostado</t>
  </si>
  <si>
    <r>
      <t xml:space="preserve">"Aceites esenciales de agrios ""cítricos"", desterpenados o no, incl. los ""concretos"" o ""absolutos""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</si>
  <si>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"Mezclas de jugos de frutas u otros frutos, incl. el mosto, o de hortalizas, incl. ""silvestres"",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</si>
  <si>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"Bombonas ""damajuanas"", botellas, frascos, bocales, tarros, envases tubulares y demás recipientes </t>
    </r>
    <r>
      <rPr>
        <b/>
        <sz val="8"/>
        <color rgb="FF002B54"/>
        <rFont val="Calibri"/>
        <family val="2"/>
        <scheme val="minor"/>
      </rPr>
      <t>...</t>
    </r>
  </si>
  <si>
    <t>Sepia y el calamar, preparados o conservados (excepto ahumado)</t>
  </si>
  <si>
    <t>Maíz dulce, incl. cocido con agua o vapor, congelado</t>
  </si>
  <si>
    <r>
      <t xml:space="preserve">"Alubias secas ""Vigna y Phaseolus"", aunque estén mondadas o partidas (exc. ??judías de las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</si>
  <si>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Pantalones, pantalones con peto, calzones y pantalones cortos de punto, de algodón, para mujeres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</si>
  <si>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con un alto contenido de lana o pelo fino, pero &lt; 85% en peso, acondicionados para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</si>
  <si>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"Limones ""Citrus limon, Citrus limonum"" y limas ""Citrus aurantifolia, Citrus latifolia"",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</si>
  <si>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Placas, láminas, hojas y tiras, de polímeros no celulares de etileno y sin esfuerzo, estratificación </t>
    </r>
    <r>
      <rPr>
        <b/>
        <sz val="8"/>
        <color rgb="FF002B54"/>
        <rFont val="Calibri"/>
        <family val="2"/>
        <scheme val="minor"/>
      </rPr>
      <t>...</t>
    </r>
  </si>
  <si>
    <t>Vieiras y otros moluscos de la familia Pectinidae, congelados, incluso con cáscara</t>
  </si>
  <si>
    <r>
      <t xml:space="preserve">Flores frescas y capullos, cortados, de una, para ramos o adornos (excepto rosas, claveles, </t>
    </r>
    <r>
      <rPr>
        <b/>
        <sz val="8"/>
        <color rgb="FF002B54"/>
        <rFont val="Calibri"/>
        <family val="2"/>
        <scheme val="minor"/>
      </rPr>
      <t>...</t>
    </r>
  </si>
  <si>
    <t>Preparaciones alimenticias, n.c.o.p.</t>
  </si>
  <si>
    <t>clementinas frescas o secas incl. Monreales</t>
  </si>
  <si>
    <r>
      <t xml:space="preserve">"Confituras, jaleas y mermeladas, purés y pastas de frutas u otros frutos, obtenidos por cocción,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</si>
  <si>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"Camisas, blusas y blusas camiseras, de punto, de fibras sintéticas o artificiales, para mujeres </t>
    </r>
    <r>
      <rPr>
        <b/>
        <sz val="8"/>
        <color rgb="FF002B54"/>
        <rFont val="Calibri"/>
        <family val="2"/>
        <scheme val="minor"/>
      </rPr>
      <t>...</t>
    </r>
  </si>
  <si>
    <t>Minerales de cinc y sus concentrados</t>
  </si>
  <si>
    <t>Aceitunas, preparadas o conservadas sin vinagre ni ácido acético (exc. congeladas)</t>
  </si>
  <si>
    <t>Partes de máquinas o aparatos de las partidas 8426, 8429 u 8430, n.c.o.p.</t>
  </si>
  <si>
    <t>Preparaciones y conservas de anchoa, entera o en trozos (exc. picada)</t>
  </si>
  <si>
    <r>
      <t xml:space="preserve">Mantas de lana o pelo fino (exc. mantas eléctricas, manteles y colchas, así como artículos </t>
    </r>
    <r>
      <rPr>
        <b/>
        <sz val="8"/>
        <color rgb="FF002B54"/>
        <rFont val="Calibri"/>
        <family val="2"/>
        <scheme val="minor"/>
      </rPr>
      <t>...</t>
    </r>
  </si>
  <si>
    <t>"Alubias secas ""Vigna unguiculata"", aunque estén mondadas o partidas"</t>
  </si>
  <si>
    <r>
      <t xml:space="preserve">"Pantalones largos, pantalones con peto, pantalones cortos ""calzones"" y ""shorts"", de punto,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</si>
  <si>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de máquinas y de aparatos para preparar y trabajar materias minerales de la partida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</si>
  <si>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"Sepia ""Sepia officinalis, Rossia macrosoma Sepiola spp."" y el calamar ""Ommastrephes spp.,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</si>
  <si>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Chocolate y demás preparaciones alimenticias que contengan cacao, en bloques, tabletas o barras, </t>
    </r>
    <r>
      <rPr>
        <b/>
        <sz val="8"/>
        <color rgb="FF002B54"/>
        <rFont val="Calibri"/>
        <family val="2"/>
        <scheme val="minor"/>
      </rPr>
      <t>...</t>
    </r>
  </si>
  <si>
    <t>Las demás manufacturas de cinc</t>
  </si>
  <si>
    <t>Antracita, incluso pulverizadas, sin aglomerar</t>
  </si>
  <si>
    <t>Sulfatos de cobre</t>
  </si>
  <si>
    <r>
      <t xml:space="preserve">"Huesos y almendras de frutos y demás poductos vegetales, incl. las raíces de achicoria sin </t>
    </r>
    <r>
      <rPr>
        <b/>
        <sz val="8"/>
        <color rgb="FF002B54"/>
        <rFont val="Calibri"/>
        <family val="2"/>
        <scheme val="minor"/>
      </rPr>
      <t>...</t>
    </r>
  </si>
  <si>
    <t>Partes de turborreactores o de turbopropulsores, n.c.o.p.</t>
  </si>
  <si>
    <r>
      <t xml:space="preserve">"Pantalones largos, pantalones con peto, pantalones cortos ""calzones"" y ""shorts"", de algodón,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</si>
  <si>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Redes de mallas anudadas, en paño o pieza, fabricadas con cordeles, cuerdas o cordajes, así </t>
    </r>
    <r>
      <rPr>
        <b/>
        <sz val="8"/>
        <color rgb="FF002B54"/>
        <rFont val="Calibri"/>
        <family val="2"/>
        <scheme val="minor"/>
      </rPr>
      <t>...</t>
    </r>
  </si>
  <si>
    <t>Camisones y pijamas, de punto, de algodón, para hombres o niños (exc. camisetas)</t>
  </si>
  <si>
    <t>"Poli""tereftalato de etileno"", en formas primarias, con un índice de viscosidad &lt; 78 ml/g"</t>
  </si>
  <si>
    <r>
      <t xml:space="preserve">Cereales (exc. maíz), en grano o en forma de copos o demás granos trabajados, precocidos 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</si>
  <si>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"Productos de panadería, pastelería o galletería, incl. con adición de cacao; hostias, sellos </t>
    </r>
    <r>
      <rPr>
        <b/>
        <sz val="8"/>
        <color rgb="FF002B54"/>
        <rFont val="Calibri"/>
        <family val="2"/>
        <scheme val="minor"/>
      </rPr>
      <t>...</t>
    </r>
  </si>
  <si>
    <t>"Poli""tereftalato de etileno"", en formas primarias, con un índice de viscosidad &gt;= 78 ml/g"</t>
  </si>
  <si>
    <t>Ajos frescos o refrigerados</t>
  </si>
  <si>
    <t>"Motores hidráulicos, con movimiento rectilíneo ""cilindros"""</t>
  </si>
  <si>
    <r>
      <t xml:space="preserve">Bulbos, cebollas, tubérculos, raíces y bulbos tuberosos, turiones y rizomas, en reposo vegetativo </t>
    </r>
    <r>
      <rPr>
        <b/>
        <sz val="8"/>
        <color rgb="FF002B54"/>
        <rFont val="Calibri"/>
        <family val="2"/>
        <scheme val="minor"/>
      </rPr>
      <t>...</t>
    </r>
  </si>
  <si>
    <t>Alambre de cobre refinado, con la mayor dimensión de la sección transversal &lt;= 6 mm</t>
  </si>
  <si>
    <t>Vestidos de algodón, para mujeres o niñas (exc. de punto, así como combinaciones)</t>
  </si>
  <si>
    <r>
      <t xml:space="preserve">Triciclos, patinetes, coches de pedal y juguetes similares con ruedas; coches y sillas de ruedas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</si>
  <si>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de cartuchos para escopetas con cañón de ánima lisa, n.c.o.p.; balines de plomo para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</si>
  <si>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Fibras discontinuas acrílicas o modacrílicas, sin cardar, peinar ni transformar de otra forma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</si>
  <si>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"Medias, calcetines y artículos simil., incl. para varices, de punto, de algodón (exc. calzas,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</si>
  <si>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Sal (incluidas la de mesa y la desnaturalizada) y cloruro de sodio puro, incluso en disolución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</si>
  <si>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Vegetales, partes de vegetales, incl. semillas y frutos, utilizados principalmente en perfumería,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</si>
  <si>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"Hortalizas de vaina, incl. ""silvestres"", aunque estén cocidas en agua o vapor, congeladas </t>
    </r>
    <r>
      <rPr>
        <b/>
        <sz val="8"/>
        <color rgb="FF002B54"/>
        <rFont val="Calibri"/>
        <family val="2"/>
        <scheme val="minor"/>
      </rPr>
      <t>...</t>
    </r>
  </si>
  <si>
    <t>Aguardiente de vino o de orujo de uvas</t>
  </si>
  <si>
    <r>
      <t xml:space="preserve">"Madera tropical, incl. las tablillas y frisos para parqués, sin ensamblar, perfilada longitudinalmente </t>
    </r>
    <r>
      <rPr>
        <b/>
        <sz val="8"/>
        <color rgb="FF002B54"/>
        <rFont val="Calibri"/>
        <family val="2"/>
        <scheme val="minor"/>
      </rPr>
      <t>...</t>
    </r>
  </si>
  <si>
    <t>Hilados de pelo fino peinado (exc. de lana y acondicionados para la venta al por menor)</t>
  </si>
  <si>
    <r>
      <t xml:space="preserve">Cantos, grava, piedras machacadas, de los tipos generalmente utilizados para hacer hormigón, </t>
    </r>
    <r>
      <rPr>
        <b/>
        <sz val="8"/>
        <color rgb="FF002B54"/>
        <rFont val="Calibri"/>
        <family val="2"/>
        <scheme val="minor"/>
      </rPr>
      <t>...</t>
    </r>
  </si>
  <si>
    <t>"Piñas ""ananás"", frescas o secas"</t>
  </si>
  <si>
    <r>
      <t xml:space="preserve">"Leche y nata ""crema"", concentradas, sin adición de azúcar ni otro edulcorante (exc. en polvo,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</si>
  <si>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Sombreros y demás tocados, de punto o confeccionados con encaje, fieltro u otro producto textil, </t>
    </r>
    <r>
      <rPr>
        <b/>
        <sz val="8"/>
        <color rgb="FF002B54"/>
        <rFont val="Calibri"/>
        <family val="2"/>
        <scheme val="minor"/>
      </rPr>
      <t>...</t>
    </r>
  </si>
  <si>
    <t>Plomo refinado, en bruto</t>
  </si>
  <si>
    <r>
      <t xml:space="preserve">Polímeros de etileno, en formas primarias (exc. polietileno y copolímeros de etileno y acetato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</si>
  <si>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"Grupos electrógenos con motor de émbolo ""pistón"" de encendido por compresión ""motores diesel </t>
    </r>
    <r>
      <rPr>
        <b/>
        <sz val="8"/>
        <color rgb="FF002B54"/>
        <rFont val="Calibri"/>
        <family val="2"/>
        <scheme val="minor"/>
      </rPr>
      <t>...</t>
    </r>
  </si>
  <si>
    <t>Camisas de algodón, para hombres o niños (exc. de punto, así como camisones y camisetas)</t>
  </si>
  <si>
    <r>
      <t xml:space="preserve">Chocolate y demás preparaciones alimenticias que contengan cacao, bien en bloques o barras </t>
    </r>
    <r>
      <rPr>
        <b/>
        <sz val="8"/>
        <color rgb="FF002B54"/>
        <rFont val="Calibri"/>
        <family val="2"/>
        <scheme val="minor"/>
      </rPr>
      <t>...</t>
    </r>
  </si>
  <si>
    <t>Maíz (exc. ??las de siembra para siembra)</t>
  </si>
  <si>
    <r>
      <t xml:space="preserve">"Harina, sémola y polvo de sagú y de raíces de mandioca ""yuca"", arrurruz, salep, aguaturmas </t>
    </r>
    <r>
      <rPr>
        <b/>
        <sz val="8"/>
        <color rgb="FF002B54"/>
        <rFont val="Calibri"/>
        <family val="2"/>
        <scheme val="minor"/>
      </rPr>
      <t>...</t>
    </r>
  </si>
  <si>
    <t>Cacao en polvo sin adición de azúcar ni otro edulcorante</t>
  </si>
  <si>
    <r>
      <t xml:space="preserve">Desechos, desperdicios y recortes, de plástico (exc. de polímeros de etileno, de polímeros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</si>
  <si>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Desperdicios y desechos de platino, incl. chapados de platino y demás desperdicios y desechos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</si>
  <si>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"Camisones y pijamas, de punto, de fibras sintéticas o artificiales, para mujeres o niñas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</si>
  <si>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Productos de origen animal, n.c.o.p.; animales muertos , impropios para la alimentación humana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</si>
  <si>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Calcetines, de punto, de fibras sintéticas (exc. medias de mujer de título &lt; 67 decitex por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</si>
  <si>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"Filetes congelados de trucha ""Salmo trutta, Oncorhynchus mykiss, Oncorhynchus clarki, aguabonita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</si>
  <si>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Abrigos, abrigos, capas, capas, anoraks, para mujeres o niñas, incl. chaquetas de esquí, cortavientos, </t>
    </r>
    <r>
      <rPr>
        <b/>
        <sz val="8"/>
        <color rgb="FF002B54"/>
        <rFont val="Calibri"/>
        <family val="2"/>
        <scheme val="minor"/>
      </rPr>
      <t>...</t>
    </r>
  </si>
  <si>
    <t>"Róbalos de profundidad ""Dissostichus spp."", frescos o refrigerados"</t>
  </si>
  <si>
    <r>
      <t xml:space="preserve">Mármol, travertinos y alabastro, de cualquier forma (exc. losetas, cubos, dados y artículos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</si>
  <si>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Calzado con suela y parte superior de cuero natural, que cubra el tobillo (exc. con puntera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</si>
  <si>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"Bombonas ""damajuanas"" botellas, frascos y artículos simil. para transporte o envasado, de </t>
    </r>
    <r>
      <rPr>
        <b/>
        <sz val="8"/>
        <color rgb="FF002B54"/>
        <rFont val="Calibri"/>
        <family val="2"/>
        <scheme val="minor"/>
      </rPr>
      <t>...</t>
    </r>
  </si>
  <si>
    <t>Tapones, tapas, cápsulas y demás dispositivos de cierre, de plástico</t>
  </si>
  <si>
    <t>"Filetes congelados de tilapia ""Oreochromis spp."""</t>
  </si>
  <si>
    <t>Cerveza de malta</t>
  </si>
  <si>
    <r>
      <t xml:space="preserve">Invertebrados acuáticos, preparados o conservados (excepto ahumado, crustáceos, moluscos, pepinos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</si>
  <si>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Palmitos, preparados o conservados, incl. con adición de azúcar u otro edulcorante o alcohol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</si>
  <si>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"Batatas ""boniatos, camotes"", frescas, refrigeradas, congeladas o secas, incl. troceadas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</si>
  <si>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Semillas y frutos oleaginosos, incluso quebrantados (exc. ??frutos de cáscara comestibles, </t>
    </r>
    <r>
      <rPr>
        <b/>
        <sz val="8"/>
        <color rgb="FF002B54"/>
        <rFont val="Calibri"/>
        <family val="2"/>
        <scheme val="minor"/>
      </rPr>
      <t>...</t>
    </r>
  </si>
  <si>
    <t>Óxidos de boro; ácidos bóricos</t>
  </si>
  <si>
    <t>Aleaciones de estaño, en bruto</t>
  </si>
  <si>
    <r>
      <t xml:space="preserve">"Preparaciones y conservas de atún, de listado y de bonito ""Sarda spp."", enteros o en trozos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</si>
  <si>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Muebles de madera (exc. de los tipos utilizados en oficinas, cocinas o dormitorios, así como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</si>
  <si>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Cereales (excepto el trigo y morcajo, centeno, cebada, avena, maíz, arroz, sorgo, trigo sarraceno, </t>
    </r>
    <r>
      <rPr>
        <b/>
        <sz val="8"/>
        <color rgb="FF002B54"/>
        <rFont val="Calibri"/>
        <family val="2"/>
        <scheme val="minor"/>
      </rPr>
      <t>...</t>
    </r>
  </si>
  <si>
    <t>Toronjas o pomelos, frescos o secos</t>
  </si>
  <si>
    <t>Andalucita, cianita y silimanita</t>
  </si>
  <si>
    <t>Hígados, huevas y leche de pescado congelados</t>
  </si>
  <si>
    <r>
      <t xml:space="preserve">"Melocotones, incl. los griñones y nectarinas, peras, papayas, tamarindos y demás frutos comestibles, </t>
    </r>
    <r>
      <rPr>
        <b/>
        <sz val="8"/>
        <color rgb="FF002B54"/>
        <rFont val="Calibri"/>
        <family val="2"/>
        <scheme val="minor"/>
      </rPr>
      <t>...</t>
    </r>
  </si>
  <si>
    <t>"Sacos ""bolsas"", bolsitas y cucuruchos, de polímeros de etileno"</t>
  </si>
  <si>
    <r>
      <t xml:space="preserve">"Partes identificables como destinadas exclusiva o principalmente a motores de émbolo ""pistón""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</si>
  <si>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Vieiras y otros moluscos de la familia Pectinidae, ahumados, secos, salados o en salmuera,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</si>
  <si>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"Hortalizas, incl. ""silvestres"", y las mezclas de hortalizas, incl. ""silvestres"", preparadas </t>
    </r>
    <r>
      <rPr>
        <b/>
        <sz val="8"/>
        <color rgb="FF002B54"/>
        <rFont val="Calibri"/>
        <family val="2"/>
        <scheme val="minor"/>
      </rPr>
      <t>...</t>
    </r>
  </si>
  <si>
    <t>Desperdicios y desechos, de aluminio</t>
  </si>
  <si>
    <t>Materias pécticas, pectinatos y pectatos</t>
  </si>
  <si>
    <r>
      <t xml:space="preserve">"Artículos de joyería y sus partes, de plata, incl. revestida o chapada de metal precioso ""plaqué""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</si>
  <si>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"Saltos de cama, albornoces de baño, batas de casa y artículos simil., de punto, de algodón,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</si>
  <si>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"Madera tropical, aserrada o desbastada longitudinalmente, cortada o desenrollada, incluso </t>
    </r>
    <r>
      <rPr>
        <b/>
        <sz val="8"/>
        <color rgb="FF002B54"/>
        <rFont val="Calibri"/>
        <family val="2"/>
        <scheme val="minor"/>
      </rPr>
      <t>...</t>
    </r>
  </si>
  <si>
    <t>Camisas, blusas y blusas camiseras, de algodón, para mujeres o niñas (exc. de punto y camisetas)</t>
  </si>
  <si>
    <t>Estatuillas y demás artículos para adorno, de cerámica distinta de la porcelana, n.c.o.p.</t>
  </si>
  <si>
    <r>
      <t xml:space="preserve">"Abrigos, chaquetones, capas, anoraks, cazadoras y artículos simil., de punto de algodón, para </t>
    </r>
    <r>
      <rPr>
        <b/>
        <sz val="8"/>
        <color rgb="FF002B54"/>
        <rFont val="Calibri"/>
        <family val="2"/>
        <scheme val="minor"/>
      </rPr>
      <t>...</t>
    </r>
  </si>
  <si>
    <t>Partes de bombas para líquidos, n.c.o.p.</t>
  </si>
  <si>
    <t>Jugos y extractos vegetales (exc. de regaliz, lúpulo, así como de opio)</t>
  </si>
  <si>
    <r>
      <t xml:space="preserve">"Hortalizas, incl. ""silvestres"", mezclas de hortalizas, incl. ""silvestres"", secas, incl.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</si>
  <si>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"Generadores de CA ""alternadores"", de potencia&gt; 75 kVA pero &lt;= 375 kVA (exc. los generadores </t>
    </r>
    <r>
      <rPr>
        <b/>
        <sz val="8"/>
        <color rgb="FF002B54"/>
        <rFont val="Calibri"/>
        <family val="2"/>
        <scheme val="minor"/>
      </rPr>
      <t>...</t>
    </r>
  </si>
  <si>
    <t>"Barras y perfiles, de aleaciones a base de cobre-cinc ""latón"", n.c.o.p."</t>
  </si>
  <si>
    <r>
      <t xml:space="preserve">"Harina, sémola y polvo de los productos del capítulo 8 ""frutos comestibles; cortezas de agrios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</si>
  <si>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Colecciones y piezas de colección de interés zoológico, botánico, mineralógico, anatómico o </t>
    </r>
    <r>
      <rPr>
        <b/>
        <sz val="8"/>
        <color rgb="FF002B54"/>
        <rFont val="Calibri"/>
        <family val="2"/>
        <scheme val="minor"/>
      </rPr>
      <t>...</t>
    </r>
  </si>
  <si>
    <t>Vestidos de punto, de fibras sintéticas, para mujeres o niñas (exc. combinaciones)</t>
  </si>
  <si>
    <r>
      <t xml:space="preserve">Vidrio templado, de dimensiones y formatos que permitan su empleo en automóviles, aeronaves,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</si>
  <si>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entorchados, tiras y formas similares de las partidas 5404 ó 5405, entorchadas (excepto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</si>
  <si>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"Manufacturas de piedras preciosas o semipreciosas ""naturales, sintéticas o reconstituidas"", </t>
    </r>
    <r>
      <rPr>
        <b/>
        <sz val="8"/>
        <color rgb="FF002B54"/>
        <rFont val="Calibri"/>
        <family val="2"/>
        <scheme val="minor"/>
      </rPr>
      <t>...</t>
    </r>
  </si>
  <si>
    <t>Higos, frescos o secos</t>
  </si>
  <si>
    <t>Hígados, huevas y lechas, secos, salados, en salmuera o ahumados</t>
  </si>
  <si>
    <t>Artículos de materia textil, confeccionados, incl. los patrones para prendas de vestir, n.c.o.p.</t>
  </si>
  <si>
    <r>
      <t xml:space="preserve">Calzado con suela de caucho, plástico, cuero regenerado y parte superior de cuero natural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</si>
  <si>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Redes de mallas anudadas, confeccionadas para la pesca, de materia textil sintética o artificial </t>
    </r>
    <r>
      <rPr>
        <b/>
        <sz val="8"/>
        <color rgb="FF002B54"/>
        <rFont val="Calibri"/>
        <family val="2"/>
        <scheme val="minor"/>
      </rPr>
      <t>...</t>
    </r>
  </si>
  <si>
    <t>Faldas y faldas pantalón de punto, de algodón, para mujeres o niñas (exc. enaguas)</t>
  </si>
  <si>
    <t>Preparaciones y conservas de pescado (exc. entero o en trozos)</t>
  </si>
  <si>
    <r>
      <t xml:space="preserve">Mezclas y pastas de harina, grañones, sémola, almidón, fécula o extracto de malta, sin cacao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</si>
  <si>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Abonos de origen animal o vegetal, incluso mezclados entre sí o tratados químicamente; abonos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</si>
  <si>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de lana peinada, con un contenido de lana &gt;= 85% en peso (exc. acondicionados para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</si>
  <si>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Mantas de algodón (exc. mantas eléctricas, manteles y colchas, así como artículos de cama y </t>
    </r>
    <r>
      <rPr>
        <b/>
        <sz val="8"/>
        <color rgb="FF002B54"/>
        <rFont val="Calibri"/>
        <family val="2"/>
        <scheme val="minor"/>
      </rPr>
      <t>...</t>
    </r>
  </si>
  <si>
    <t>Pescado congelado, nep</t>
  </si>
  <si>
    <r>
      <t xml:space="preserve">"Acumuladores de plomo (exc. inservibles, así como los acumuladores de los tipos utilizados </t>
    </r>
    <r>
      <rPr>
        <b/>
        <sz val="8"/>
        <color rgb="FF002B54"/>
        <rFont val="Calibri"/>
        <family val="2"/>
        <scheme val="minor"/>
      </rPr>
      <t>...</t>
    </r>
  </si>
  <si>
    <t>Tomates, preparados o conservados sin vinagre ni ácido acético (exc. enteros o en trozos)</t>
  </si>
  <si>
    <t>Vajilla y demás artículos para servicio de mesa o de cocina, de plástico</t>
  </si>
  <si>
    <r>
      <t xml:space="preserve">Placas, láminas, hojas y tiras, de polímeros de cloruro de vinilo no celular, con un contenido </t>
    </r>
    <r>
      <rPr>
        <b/>
        <sz val="8"/>
        <color rgb="FF002B54"/>
        <rFont val="Calibri"/>
        <family val="2"/>
        <scheme val="minor"/>
      </rPr>
      <t>...</t>
    </r>
  </si>
  <si>
    <t>"Barquillos y obleas, incluso rellenos ""gaufrettes, wafers"" y ""waffles [gaufres]"""</t>
  </si>
  <si>
    <r>
      <t xml:space="preserve">"Bragas ""bombachas, calzones"" de punto, de fibras sintéticas o artificiales, para mujeres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</si>
  <si>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"Medias, calcetines y artículos simil., incl. para varices, de punto, de lana o pelo fino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</si>
  <si>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"Peces planos ""Pleuronectidae, Bótidos, Cynoglósidos, Soleidae, Escoftálmidos y Citáridos""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</si>
  <si>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Pantalones, pantalones con peto, calzones y pantalones cortos de punto, de fibras sintéticas, </t>
    </r>
    <r>
      <rPr>
        <b/>
        <sz val="8"/>
        <color rgb="FF002B54"/>
        <rFont val="Calibri"/>
        <family val="2"/>
        <scheme val="minor"/>
      </rPr>
      <t>...</t>
    </r>
  </si>
  <si>
    <t>"Alambre de aleaciones a base de cobre-níquel ""cuproníquel"" o de cobre-níquel-cinc ""alpaca"""</t>
  </si>
  <si>
    <t>Desperdicios y desechos, de cobre</t>
  </si>
  <si>
    <r>
      <t xml:space="preserve">Tejidos de hilados de alta tenacidad, de nailon o demás poliamidas o de poliésteres, incl.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</si>
  <si>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Chales, pañuelos de cuello, pasamontañas, bufandas, mantillas, velos y artículos simil., de </t>
    </r>
    <r>
      <rPr>
        <b/>
        <sz val="8"/>
        <color rgb="FF002B54"/>
        <rFont val="Calibri"/>
        <family val="2"/>
        <scheme val="minor"/>
      </rPr>
      <t>...</t>
    </r>
  </si>
  <si>
    <t>Agarbatti y demás preparaciones odoríferas que actúen por combustión</t>
  </si>
  <si>
    <t>Chales, pañuelos para de cuello, bufandas, mantillas, velos y artículos simil., de punto</t>
  </si>
  <si>
    <r>
      <t xml:space="preserve">Hilados de algodón, con un contenido de algodón &gt;= 85%, acondicionados para la venta al por </t>
    </r>
    <r>
      <rPr>
        <b/>
        <sz val="8"/>
        <color rgb="FF002B54"/>
        <rFont val="Calibri"/>
        <family val="2"/>
        <scheme val="minor"/>
      </rPr>
      <t>...</t>
    </r>
  </si>
  <si>
    <t>Jengibre, triturados o pulverizados</t>
  </si>
  <si>
    <r>
      <t xml:space="preserve">"Filetes de salmones del Pacífico ""Oncorhynchus nerka"", ""Oncorhynchus gorbuscha"", ""Oncorhynchus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</si>
  <si>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"Guisantes ""arvejas, chícharos"" ""Pisum sativum"", preparados o conservados sin vinagre ni </t>
    </r>
    <r>
      <rPr>
        <b/>
        <sz val="8"/>
        <color rgb="FF002B54"/>
        <rFont val="Calibri"/>
        <family val="2"/>
        <scheme val="minor"/>
      </rPr>
      <t>...</t>
    </r>
  </si>
  <si>
    <t>Vestidos de punto, de fibras artificiales, para mujeres o niñas (exc. combinaciones)</t>
  </si>
  <si>
    <t>Galletas dulces (con adición de edulcorante)</t>
  </si>
  <si>
    <r>
      <t xml:space="preserve">"Heterósidos, naturales o reproducidos por síntesis; sus sales, éteres, ésteres y demás derivados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</si>
  <si>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"Habas ""Vicia faba var. major"", haba caballar ""Vicia faba var. equina"" y haba menor ""Vicia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</si>
  <si>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"Abrigos, chaquetones, capas, anoraks, cazadoras y artículos simil., de punto de lana o pelo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</si>
  <si>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con un alto contenido de lana peinada o pelo fino peinado, pero &lt; 85% en peso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</si>
  <si>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Libros, folletos e impresos simil. (exc. en hojas sueltas, así como diccionarios, enciclopedias,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</si>
  <si>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Camisones y pijamas, de algodón, para mujeres o niñas (exc. de punto, así como camisetas y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</si>
  <si>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"Sacos ""bolsas"" de papel, cartón, guata de celulosa o napa de fibra de celulosa, con una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</si>
  <si>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Prendas y complementos de vestir de algodón (exc. ??de punto y sombreros, pañales y servilletas </t>
    </r>
    <r>
      <rPr>
        <b/>
        <sz val="8"/>
        <color rgb="FF002B54"/>
        <rFont val="Calibri"/>
        <family val="2"/>
        <scheme val="minor"/>
      </rPr>
      <t>...</t>
    </r>
  </si>
  <si>
    <t>"Harina de semillas o de frutos oleaginosos (exc. harina de mostaza y de habas de soja ""soya"")"</t>
  </si>
  <si>
    <r>
      <t xml:space="preserve">"Pantalones largos, pantalones con peto, pantalones cortos ""calzones"" y ""shorts"", de fibras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</si>
  <si>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"Filetes congelados de pescado plano ""Pleuronectidae, Bótidos, Cynoglósidos, Soleidae, Escoftálmidos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</si>
  <si>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Guantes, manoplas y manoplas, de lana o de pelo fino, de punto (exc. ​​impregnados, recubiertos,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</si>
  <si>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Calzado con suela y parte superior de cuero natural (exc. el que cubra el tobillo o con puntera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</si>
  <si>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con un alto contenido de fibras sintéticas discontinuas, pero &lt; 85% en peso, acondicionados </t>
    </r>
    <r>
      <rPr>
        <b/>
        <sz val="8"/>
        <color rgb="FF002B54"/>
        <rFont val="Calibri"/>
        <family val="2"/>
        <scheme val="minor"/>
      </rPr>
      <t>...</t>
    </r>
  </si>
  <si>
    <t>Bombas de carburante, aceite o refrigerante, para motores de encendido por chispa o compresión</t>
  </si>
  <si>
    <r>
      <t xml:space="preserve">Cordeles, cuerdas y cordajes, estén o no trenzados, incl. impregnados, recubiertos, revestidos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</si>
  <si>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"Conjuntos de abrigo para entrenamiento o deporte ""chandales"", así como otras prendas de </t>
    </r>
    <r>
      <rPr>
        <b/>
        <sz val="8"/>
        <color rgb="FF002B54"/>
        <rFont val="Calibri"/>
        <family val="2"/>
        <scheme val="minor"/>
      </rPr>
      <t>...</t>
    </r>
  </si>
  <si>
    <t>bebidas no alcohólicas (exc. agua, jugos de frutas o vegetales, leche y cerveza)</t>
  </si>
  <si>
    <r>
      <t xml:space="preserve">Preparaciones capilares (exc. champúes, preparaciones para ondulación o desrizado permanentes,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</si>
  <si>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"Aceite de oliva virgen extra ""UE cat. 1"" obtenido del fruto del olivo únicamente por medios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</si>
  <si>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Bisutería de metal común esmaltado o no con metales preciosos (excl.como gemelos y pasadores </t>
    </r>
    <r>
      <rPr>
        <b/>
        <sz val="8"/>
        <color rgb="FF002B54"/>
        <rFont val="Calibri"/>
        <family val="2"/>
        <scheme val="minor"/>
      </rPr>
      <t>...</t>
    </r>
  </si>
  <si>
    <t>Pasta de cacao, sin desgrasar</t>
  </si>
  <si>
    <t>Café tostado sin descafeinar</t>
  </si>
  <si>
    <r>
      <t xml:space="preserve">"Artículos de ropa de cama y artículos análogos, provistos de muelles o rellenos o rellenos </t>
    </r>
    <r>
      <rPr>
        <b/>
        <sz val="8"/>
        <color rgb="FF002B54"/>
        <rFont val="Calibri"/>
        <family val="2"/>
        <scheme val="minor"/>
      </rPr>
      <t>...</t>
    </r>
  </si>
  <si>
    <t>Óxidos e hidróxidos de cobre</t>
  </si>
  <si>
    <r>
      <t xml:space="preserve">Fibras discontinuas acrílicas o modacrílicas, cardadas, peinadas o transformadas de otro modo </t>
    </r>
    <r>
      <rPr>
        <b/>
        <sz val="8"/>
        <color rgb="FF002B54"/>
        <rFont val="Calibri"/>
        <family val="2"/>
        <scheme val="minor"/>
      </rPr>
      <t>...</t>
    </r>
  </si>
  <si>
    <t>Minerales de molibdeno y sus concentrados, tostados</t>
  </si>
  <si>
    <t>Productos a base de cereales obtenidos por inflado o tostado, p.ej. hojuelas, copos de maíz</t>
  </si>
  <si>
    <r>
      <t xml:space="preserve">Extracto de malta; preparaciones alimenticias de harina, grañones, sémola, almidón, fécula </t>
    </r>
    <r>
      <rPr>
        <b/>
        <sz val="8"/>
        <color rgb="FF002B54"/>
        <rFont val="Calibri"/>
        <family val="2"/>
        <scheme val="minor"/>
      </rPr>
      <t>...</t>
    </r>
  </si>
  <si>
    <t>Bisutería (exc. de metal común, incl. plateado, dorado o platinado)</t>
  </si>
  <si>
    <r>
      <t xml:space="preserve">"Corsés, tirantes ""tiradores"", ligas y artículos simil. y sus partes, incl. las partes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</si>
  <si>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Granos de maíz mondados, perlados, troceados, quebrantados o trabajados de otro modo (excepto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</si>
  <si>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"Artículos de peletería (exc. prendas y complementos ""accesorios"" de vestir, así como juegos,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</si>
  <si>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"Abrigos, chaquetones, capas, anoraks, cazadoras y artículos simil., de punto de fibras sintéticas </t>
    </r>
    <r>
      <rPr>
        <b/>
        <sz val="8"/>
        <color rgb="FF002B54"/>
        <rFont val="Calibri"/>
        <family val="2"/>
        <scheme val="minor"/>
      </rPr>
      <t>...</t>
    </r>
  </si>
  <si>
    <t>Harinas de cereales (excepto el trigo, el morcajo y el maíz)</t>
  </si>
  <si>
    <r>
      <t xml:space="preserve">Insecticidas, presentados en formas o envases para la venta al por menor, o como preparaciones </t>
    </r>
    <r>
      <rPr>
        <b/>
        <sz val="8"/>
        <color rgb="FF002B54"/>
        <rFont val="Calibri"/>
        <family val="2"/>
        <scheme val="minor"/>
      </rPr>
      <t>...</t>
    </r>
  </si>
  <si>
    <t>Extrusoras, para trabajar caucho o plástico</t>
  </si>
  <si>
    <t>"Bragas ""bombachas, calzones"" de punto, de algodón, para mujeres o niñas"</t>
  </si>
  <si>
    <r>
      <t xml:space="preserve">"Sacos ""bolsas"" de viaje, sacos ""bolsas"" aislantes para alimentos y bebidas, bolsas de </t>
    </r>
    <r>
      <rPr>
        <b/>
        <sz val="8"/>
        <color rgb="FF002B54"/>
        <rFont val="Calibri"/>
        <family val="2"/>
        <scheme val="minor"/>
      </rPr>
      <t>...</t>
    </r>
  </si>
  <si>
    <t>"Boratos (exc. tetraborato de disodio ""bórax refinado"")"</t>
  </si>
  <si>
    <t>Vajilla y demás artículos de uso doméstico, higiene o tocador, de cerámica (excepto de porcelana)</t>
  </si>
  <si>
    <r>
      <t xml:space="preserve">Vino de uvas frescas, incl. encabezado; mosto de uva, en el que la fermentación se ha impedido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</si>
  <si>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Agua, incl. el agua mineral y la gaseada, con adición de azúcar u otro edulcorante o aromatizada,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</si>
  <si>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Artículos de cestería obtenidos directamente en su forma con materia trenzable vegetal (exc. </t>
    </r>
    <r>
      <rPr>
        <b/>
        <sz val="8"/>
        <color rgb="FF002B54"/>
        <rFont val="Calibri"/>
        <family val="2"/>
        <scheme val="minor"/>
      </rPr>
      <t>...</t>
    </r>
  </si>
  <si>
    <t>Glicerol</t>
  </si>
  <si>
    <t>Hojas de coca, frescas o secas, incl. cortadas, trituradas o pulverizadas</t>
  </si>
  <si>
    <r>
      <t xml:space="preserve">Máquinas de sondeo o perforación, de extraer o perforar tierra o minerales, autopropulsadas </t>
    </r>
    <r>
      <rPr>
        <b/>
        <sz val="8"/>
        <color rgb="FF002B54"/>
        <rFont val="Calibri"/>
        <family val="2"/>
        <scheme val="minor"/>
      </rPr>
      <t>...</t>
    </r>
  </si>
  <si>
    <t>Productos vegetales, n.c.o.p.</t>
  </si>
  <si>
    <r>
      <t xml:space="preserve">Artículos para fiestas de Navidad (exc. velas y guirnaldas eléctricas, árboles de Navidad naturales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</si>
  <si>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Moluscos, preparados o conservados (excepto los ahumados, ostras, vieiras, mejillones, sepias,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</si>
  <si>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"Judías ""porotos, alubias, frijoles, fréjoles"" ""Vigna spp."", ""Phaseolus spp."", frescas </t>
    </r>
    <r>
      <rPr>
        <b/>
        <sz val="8"/>
        <color rgb="FF002B54"/>
        <rFont val="Calibri"/>
        <family val="2"/>
        <scheme val="minor"/>
      </rPr>
      <t>...</t>
    </r>
  </si>
  <si>
    <t>Ácido glutámico y sus sales</t>
  </si>
  <si>
    <t>"Sacos ""bolsas"", bolsitas y cucuruchos, de plástico (exc. de polímeros de etileno)"</t>
  </si>
  <si>
    <r>
      <t xml:space="preserve">Ebanistería y carpintería para la construcción, de madera (exc. bambú, ventanas, contraventanas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</si>
  <si>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Mármol, travertinos, alabastro y sus manufacturas, simplemente talladas o aserradas, con superficie </t>
    </r>
    <r>
      <rPr>
        <b/>
        <sz val="8"/>
        <color rgb="FF002B54"/>
        <rFont val="Calibri"/>
        <family val="2"/>
        <scheme val="minor"/>
      </rPr>
      <t>...</t>
    </r>
  </si>
  <si>
    <t>Calzoncillos de punto, de algodón, para hombres o niños</t>
  </si>
  <si>
    <t>"Sostenes ""corpiños"" de todo tipo de materia textil, incl. elásticas y de punto"</t>
  </si>
  <si>
    <t>Cermet y sus manufacturas, incluidos los desperdicios y desechos</t>
  </si>
  <si>
    <r>
      <t xml:space="preserve">"Complementos ""accesorios"" de vestir confeccionados, de punto, n.c.o.p. (exc. chales, pañuelos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</si>
  <si>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"Truchas ""Salmo trutta"", ""Oncorhynchus mykiss"", ""Oncorhynchus clarki"", ""Oncorhynchus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</si>
  <si>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"Barras y perfiles, de aleaciones de cobre, n.c.o.p. (exc. de aleaciones a base de cobre-cinc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</si>
  <si>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"Jugo de piña ""ananá"", sin fermentar y sin adición de alcohol, incl. con adición de azúcar </t>
    </r>
    <r>
      <rPr>
        <b/>
        <sz val="8"/>
        <color rgb="FF002B54"/>
        <rFont val="Calibri"/>
        <family val="2"/>
        <scheme val="minor"/>
      </rPr>
      <t>...</t>
    </r>
  </si>
  <si>
    <t>Plata, incl. la plata dorada y la platinada, semi manufacturada.</t>
  </si>
  <si>
    <t>Cordones detonantes</t>
  </si>
  <si>
    <t>Volantes y poleas, incl. los motones</t>
  </si>
  <si>
    <t>Transformadores de tipo seco de potencia &gt; 16 kVA pero &lt;= 500 kVA</t>
  </si>
  <si>
    <r>
      <t xml:space="preserve">Máquinas automáticas para tratamiento o procesamiento de datos, digitales, portátiles, de peso </t>
    </r>
    <r>
      <rPr>
        <b/>
        <sz val="8"/>
        <color rgb="FF002B54"/>
        <rFont val="Calibri"/>
        <family val="2"/>
        <scheme val="minor"/>
      </rPr>
      <t>...</t>
    </r>
  </si>
  <si>
    <t>Congelados de carne de pescado ncop (exc. ??filetes)</t>
  </si>
  <si>
    <r>
      <t xml:space="preserve">Preparaciones tensoactivas, preparaciones para lavar, incl. las preparaciones auxiliares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</si>
  <si>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"Moluscos, incluso con cáscara, ahumados, secos, salados o en salmuera (exc. ​​Ostras, vieiras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</si>
  <si>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de algodón, con un alto contenido de algodón, pero &lt; 85% en peso, acondicionados para </t>
    </r>
    <r>
      <rPr>
        <b/>
        <sz val="8"/>
        <color rgb="FF002B54"/>
        <rFont val="Calibri"/>
        <family val="2"/>
        <scheme val="minor"/>
      </rPr>
      <t>...</t>
    </r>
  </si>
  <si>
    <t>Esculturas y estatuas originales, en cualquier material (exc. de antigüedad de más de 100 años)</t>
  </si>
  <si>
    <r>
      <t xml:space="preserve">Piedras preciosas o semipreciosas, naturales, en bruto o simplemente aserradas o desbastadas, </t>
    </r>
    <r>
      <rPr>
        <b/>
        <sz val="8"/>
        <color rgb="FF002B54"/>
        <rFont val="Calibri"/>
        <family val="2"/>
        <scheme val="minor"/>
      </rPr>
      <t>...</t>
    </r>
  </si>
  <si>
    <t>Helados, incluso con cacao</t>
  </si>
  <si>
    <r>
      <t xml:space="preserve">Hilados de lana peinada, con un alto contenido en lana, pero &lt; 85% en peso (exc. acondicionados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</si>
  <si>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lana peinada o pelo fino peinado, con un contenido de lana o pelo fino &gt;= 85% y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</si>
  <si>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Artículos de moblaje de materia textil (exc. de algodón, de fibras sintéticas y de punto, así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</si>
  <si>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Filetes, secos, salados o en salmuera, sin ahumar, de peces de las familias Bregmacerotidae,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</si>
  <si>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Tela sin tejer, incl. impregnada, recubierta, revestida o estratificada, n.c.o.p., de filamentos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</si>
  <si>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para la recepción, conversación y transmisión o regeneradores de voz, imagenes, incl. </t>
    </r>
    <r>
      <rPr>
        <b/>
        <sz val="8"/>
        <color rgb="FF002B54"/>
        <rFont val="Calibri"/>
        <family val="2"/>
        <scheme val="minor"/>
      </rPr>
      <t>...</t>
    </r>
  </si>
  <si>
    <t>"Aceites esenciales de limón, desterpenados o no, incl. los ""concretos"" o ""absolutos"""</t>
  </si>
  <si>
    <r>
      <t xml:space="preserve">Aceitunas conservadas provisionalmente, p.ej., con gas sulfuroso o con agua salada, sulfurosa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</si>
  <si>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Guarniciones para frenos, a base de substancias minerales o de celulosa, incl. combinadas con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</si>
  <si>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Bombas de aire, compresores de aire u otros gases; campanas aspirantes para extracción o reciclado, </t>
    </r>
    <r>
      <rPr>
        <b/>
        <sz val="8"/>
        <color rgb="FF002B54"/>
        <rFont val="Calibri"/>
        <family val="2"/>
        <scheme val="minor"/>
      </rPr>
      <t>...</t>
    </r>
  </si>
  <si>
    <t>Partes de máquinas de sondeo o perforación de las subpartidas 8430.41 u 8430.49, n.c.o.p.</t>
  </si>
  <si>
    <t>Ropa de cama, de algodón (exc. estampada y de punto)</t>
  </si>
  <si>
    <t>"Lechugas ""Lactuca sativa"", frescas o refrigeradas (exc. lechugas repolladas)"</t>
  </si>
  <si>
    <r>
      <t xml:space="preserve">Pantalones, pantalones con peto, calzones y pantalones cortos de punto, de materia textil,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</si>
  <si>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Artículos de grifería y órganos reguladores simil. para tuberías (exc. válvulas reductoras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</si>
  <si>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Semillas, frutos y esporas, para siembra (exc. legumbres, maíz dulce, café, té, yerba mate </t>
    </r>
    <r>
      <rPr>
        <b/>
        <sz val="8"/>
        <color rgb="FF002B54"/>
        <rFont val="Calibri"/>
        <family val="2"/>
        <scheme val="minor"/>
      </rPr>
      <t>...</t>
    </r>
  </si>
  <si>
    <t>Aleaciones de cinc, en bruto</t>
  </si>
  <si>
    <r>
      <t xml:space="preserve">Hojas y tiras delgadas, de aleaciones de cobre, sin soporte, de espesor &lt;= 0,15 mm (exc. hojas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</si>
  <si>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Surtidos de juntas o empaquetaduras de distinta composición presentados en bolsitas, sobres </t>
    </r>
    <r>
      <rPr>
        <b/>
        <sz val="8"/>
        <color rgb="FF002B54"/>
        <rFont val="Calibri"/>
        <family val="2"/>
        <scheme val="minor"/>
      </rPr>
      <t>...</t>
    </r>
  </si>
  <si>
    <t>"Habas secas y peladas ""Cajanus cajan"", aunque estén mondadas o partidas"</t>
  </si>
  <si>
    <r>
      <t xml:space="preserve">Láminas, cintas, tiras y demás formas planas, autoadhesivas, de plástico, en rollos de anchura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</si>
  <si>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"Moluscos, incluso con cáscara, congelados (exc. ​​Ostras, vieiras de los géneros Pecten, Chlamys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</si>
  <si>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"Erizos de mar vivos, frescos o refrigerados ""Strongylocentrotus spp., Paracentrotus lividus, </t>
    </r>
    <r>
      <rPr>
        <b/>
        <sz val="8"/>
        <color rgb="FF002B54"/>
        <rFont val="Calibri"/>
        <family val="2"/>
        <scheme val="minor"/>
      </rPr>
      <t>...</t>
    </r>
  </si>
  <si>
    <t>Vestidos de punto, de lana o pelo fino, para mujeres o niñas (exc. combinaciones)</t>
  </si>
  <si>
    <t>Faldas y faldas pantalón, de algodón, para mujeres o niñas (exc. de punto, así como las enaguas)</t>
  </si>
  <si>
    <r>
      <t xml:space="preserve">Abrigos, chalecos, capas, capas, anoraks, para hombres o niños, incl. chaquetas de esquí, cortavientos, </t>
    </r>
    <r>
      <rPr>
        <b/>
        <sz val="8"/>
        <color rgb="FF002B54"/>
        <rFont val="Calibri"/>
        <family val="2"/>
        <scheme val="minor"/>
      </rPr>
      <t>...</t>
    </r>
  </si>
  <si>
    <t>Hornos, que no sean eléctricos, de panadería, pastelería o galletería</t>
  </si>
  <si>
    <t>la cerámica de acabado (excl. refractario)</t>
  </si>
  <si>
    <r>
      <t xml:space="preserve">Grasas y aceites, animales o vegetales, y sus fracciones, cocidos, oxidados, deshidratados, </t>
    </r>
    <r>
      <rPr>
        <b/>
        <sz val="8"/>
        <color rgb="FF002B54"/>
        <rFont val="Calibri"/>
        <family val="2"/>
        <scheme val="minor"/>
      </rPr>
      <t>...</t>
    </r>
  </si>
  <si>
    <t>Brotes de bambú, preparados o conservados sin vinagre ni ácido acético (exc. congelados)</t>
  </si>
  <si>
    <r>
      <t xml:space="preserve">Tejidos de algodón, con un contenido de algodón &gt;= 85% en peso, de peso &gt; 200 g/m², estampados </t>
    </r>
    <r>
      <rPr>
        <b/>
        <sz val="8"/>
        <color rgb="FF002B54"/>
        <rFont val="Calibri"/>
        <family val="2"/>
        <scheme val="minor"/>
      </rPr>
      <t>...</t>
    </r>
  </si>
  <si>
    <t>Artículos de confitería sin cacao, incl. el chocolate blanco (exc. chicle)</t>
  </si>
  <si>
    <r>
      <t xml:space="preserve">Placas, láminas, hojas y tiras, de plástico no celular, n.c.o.p. y sin esfuerzo, estratificación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</si>
  <si>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Pinturas, p. ej. pinturas al óleo, acuarelas y pasteles y dibujos ejecutados íntegramente a </t>
    </r>
    <r>
      <rPr>
        <b/>
        <sz val="8"/>
        <color rgb="FF002B54"/>
        <rFont val="Calibri"/>
        <family val="2"/>
        <scheme val="minor"/>
      </rPr>
      <t>...</t>
    </r>
  </si>
  <si>
    <t>Peces ornamentales, de agua dulce, vivos</t>
  </si>
  <si>
    <r>
      <t xml:space="preserve">Albornoces de baño, batas de casa y artículos simil., de punto, de algodón, para hombres o </t>
    </r>
    <r>
      <rPr>
        <b/>
        <sz val="8"/>
        <color rgb="FF002B54"/>
        <rFont val="Calibri"/>
        <family val="2"/>
        <scheme val="minor"/>
      </rPr>
      <t>...</t>
    </r>
  </si>
  <si>
    <t>Oxicloruros e hidroxicloruros de cobre</t>
  </si>
  <si>
    <t>Partes de aviones, helicópteros o aeronaves no tripuladas, n.c.o.p. (exc. para planeadores)</t>
  </si>
  <si>
    <r>
      <t xml:space="preserve">Artículos de talabartería o guarnicionería para todos los animales, incluidos los tiros, traíllas, </t>
    </r>
    <r>
      <rPr>
        <b/>
        <sz val="8"/>
        <color rgb="FF002B54"/>
        <rFont val="Calibri"/>
        <family val="2"/>
        <scheme val="minor"/>
      </rPr>
      <t>...</t>
    </r>
  </si>
  <si>
    <t>Sulfatos (exc. de sodio, magnesio, aluminio, cromo, níquel, cobre, cinc y bario)</t>
  </si>
  <si>
    <t>Naranjas, frescas o secas</t>
  </si>
  <si>
    <r>
      <t xml:space="preserve">"Alfombras y demás revestimientos para el suelo, de lana o pelo fino, tejidos, distintos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</si>
  <si>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Catguts estériles y ligaduras estériles simil., para suturas quirúrgicas y adhesivos estériles </t>
    </r>
    <r>
      <rPr>
        <b/>
        <sz val="8"/>
        <color rgb="FF002B54"/>
        <rFont val="Calibri"/>
        <family val="2"/>
        <scheme val="minor"/>
      </rPr>
      <t>...</t>
    </r>
  </si>
  <si>
    <t>Pastas alimenticias sin cocer, rellenar ni preparar de otra forma, que no contengan huevo</t>
  </si>
  <si>
    <r>
      <t xml:space="preserve">Pescado salado o en salmuera (exc. ??filetes, despojos, el arenque, el bacalao, las anchoas,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</si>
  <si>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Aparatos y dispositivos para la preparación de bebidas calientes o la cocción o calentamiento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</si>
  <si>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"Madera aserrada o desbastada longitudinalmente, cortada o desenrollada, incl. cepillada, lijada </t>
    </r>
    <r>
      <rPr>
        <b/>
        <sz val="8"/>
        <color rgb="FF002B54"/>
        <rFont val="Calibri"/>
        <family val="2"/>
        <scheme val="minor"/>
      </rPr>
      <t>...</t>
    </r>
  </si>
  <si>
    <t>Instrumentos, máquinas y aparatos, no ópticos, para medida o control, n.c.o.p. de este capítulo</t>
  </si>
  <si>
    <t>"Patatas ""papas"", aunque estén cocidas en agua o vapor, congeladas"</t>
  </si>
  <si>
    <t>"Filetes congelados de merluza ""Merluccius spp., Urophycis spp."""</t>
  </si>
  <si>
    <r>
      <t xml:space="preserve">"Saltos de cama, albornoces de baño, batas de casa y artículos simil., de punto, de fibras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</si>
  <si>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 y cartón, coloreados o decorados en la superficie o impresos, recubiertos, impregnados </t>
    </r>
    <r>
      <rPr>
        <b/>
        <sz val="8"/>
        <color rgb="FF002B54"/>
        <rFont val="Calibri"/>
        <family val="2"/>
        <scheme val="minor"/>
      </rPr>
      <t>...</t>
    </r>
  </si>
  <si>
    <t>Juntas o empaquetaduras metaloplásticas</t>
  </si>
  <si>
    <r>
      <t xml:space="preserve">Metálicas, redes y rejas, de alambre de hierro o acero, sin soldadura, en la intersección,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</si>
  <si>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Artículos para fiestas, carnaval u otras diversiones, incl. los de magia y los artículos sorpresa,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</si>
  <si>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Follaje, hojas, ramas y demás partes de plantas, sin flores ni capullos y hierbas, musgos y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</si>
  <si>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"Artículos para transporte o envasado, de plástico (exc. cajas, jaulas y artículos simil.; </t>
    </r>
    <r>
      <rPr>
        <b/>
        <sz val="8"/>
        <color rgb="FF002B54"/>
        <rFont val="Calibri"/>
        <family val="2"/>
        <scheme val="minor"/>
      </rPr>
      <t>...</t>
    </r>
  </si>
  <si>
    <t>Faldas y faldas pantalón de punto, de lana o pelo fino, para mujeres o niñas (exc. enaguas)</t>
  </si>
  <si>
    <t>Piritas de hierro sin tostar</t>
  </si>
  <si>
    <r>
      <t xml:space="preserve">Preparaciones de los tipos utilizados para la alimentación de los animales (exc. alimentos </t>
    </r>
    <r>
      <rPr>
        <b/>
        <sz val="8"/>
        <color rgb="FF002B54"/>
        <rFont val="Calibri"/>
        <family val="2"/>
        <scheme val="minor"/>
      </rPr>
      <t>...</t>
    </r>
  </si>
  <si>
    <t>Partes de máquinas de volteadores de la partida 8428 n.c.o.p</t>
  </si>
  <si>
    <r>
      <t xml:space="preserve">"Bolsos de mano ""carteras"", incl. con bandolera o sin asas, con la superficie exterior de </t>
    </r>
    <r>
      <rPr>
        <b/>
        <sz val="8"/>
        <color rgb="FF002B54"/>
        <rFont val="Calibri"/>
        <family val="2"/>
        <scheme val="minor"/>
      </rPr>
      <t>...</t>
    </r>
  </si>
  <si>
    <t>Cloruro de aluminio</t>
  </si>
  <si>
    <r>
      <t xml:space="preserve">Partes y accesorios de tractores, vehículos automóviles para transporte de &gt;= 10 personas,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</si>
  <si>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y aparatos para filtrar o depurar gases (exc. ​​Separadores de isótopos y filtros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</si>
  <si>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"Jugo de arándano ""Vaccinium macrocarpon, Vaccinium oxycoccos, Vaccinium vitis-idaea"" sin </t>
    </r>
    <r>
      <rPr>
        <b/>
        <sz val="8"/>
        <color rgb="FF002B54"/>
        <rFont val="Calibri"/>
        <family val="2"/>
        <scheme val="minor"/>
      </rPr>
      <t>...</t>
    </r>
  </si>
  <si>
    <t>Aceites de hígado de pescado y sus fracciones, incl. refinados, sin modificar químicamente</t>
  </si>
  <si>
    <t>Manufacturas de piedra o de otras materias minerales, n.c.o.p.</t>
  </si>
  <si>
    <r>
      <t xml:space="preserve">"Neumáticos ""llantas neumáticas"" nuevos de caucho, de los tipos utilizados en automóviles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</si>
  <si>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Intercambiadores de calor (exc. calentadores de agua de calentamiento instantáneo o de acumulación,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</si>
  <si>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"Judías ""porotos, alubias, frijoles, fréjoles"" ""Vigna spp."", ""Phaseolus spp."", preparadas </t>
    </r>
    <r>
      <rPr>
        <b/>
        <sz val="8"/>
        <color rgb="FF002B54"/>
        <rFont val="Calibri"/>
        <family val="2"/>
        <scheme val="minor"/>
      </rPr>
      <t>...</t>
    </r>
  </si>
  <si>
    <t>Ropa de cama, de punto</t>
  </si>
  <si>
    <t>Herramientas de mano, incl. los diamantes de vidriero, de metal común, n.c.o.p.</t>
  </si>
  <si>
    <r>
      <t xml:space="preserve">"Harina, polvo y ""pellets"", de pescado o de crustáceos, de moluscos o demás invertebrados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</si>
  <si>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"Preparaciones para perfumar o desodorizar locales, incl. las preparaciones odoríferas para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</si>
  <si>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"Chaquetas ""sacos"" de lana o pelo fino, para mujeres o niñas (exc. de punto, así como cazadoras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</si>
  <si>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Bombas volumétricas alternativas, accionadas mecánicamente (exc. bombas de las subpartidas </t>
    </r>
    <r>
      <rPr>
        <b/>
        <sz val="8"/>
        <color rgb="FF002B54"/>
        <rFont val="Calibri"/>
        <family val="2"/>
        <scheme val="minor"/>
      </rPr>
      <t>...</t>
    </r>
  </si>
  <si>
    <t>Arroz semiblanqueado o blanqueado, incl. pulido o glaseado</t>
  </si>
  <si>
    <r>
      <t xml:space="preserve">"Chaquetas ""sacos"" de punto, de algodón, para mujeres o niñas (exc. cazadoras y artículos </t>
    </r>
    <r>
      <rPr>
        <b/>
        <sz val="8"/>
        <color rgb="FF002B54"/>
        <rFont val="Calibri"/>
        <family val="2"/>
        <scheme val="minor"/>
      </rPr>
      <t>...</t>
    </r>
  </si>
  <si>
    <t>Artículos y material para deportes o juegos al aire libre, n.c.o.p.; piscinas y piscinas infantiles</t>
  </si>
  <si>
    <r>
      <t xml:space="preserve">Cuadros y armarios de interruptores y combinaciones simil. de aparatos, para control o distribución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</si>
  <si>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"Desperdicios y desechos ""chatarra"", de acero inoxidable (exc. radiactivos, así como desperdicios </t>
    </r>
    <r>
      <rPr>
        <b/>
        <sz val="8"/>
        <color rgb="FF002B54"/>
        <rFont val="Calibri"/>
        <family val="2"/>
        <scheme val="minor"/>
      </rPr>
      <t>...</t>
    </r>
  </si>
  <si>
    <t>Muebles de madera de los tipos utilizados en dormitorios (exc. asientos)</t>
  </si>
  <si>
    <t>Árboles de transmisión, incl. los de levas y los cigüeñales, y manivelas</t>
  </si>
  <si>
    <t>"Congelados de merluza ""Merluccius spp., Urophycis spp."""</t>
  </si>
  <si>
    <t>Faldas y faldas pantalón de punto, de fibras sintéticas, para mujeres o niñas (exc. enaguas)</t>
  </si>
  <si>
    <r>
      <t xml:space="preserve">"Frutos de cáscara y demás semillas, incl. mezclados entre sí, preparados o conservados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</si>
  <si>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Jugo de naranja, sin fermentar y sin adición de alcohol, incl. con adición de azúcar u otro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</si>
  <si>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Granos de cereales, mondados, perlados, troceados, quebrantados o trabajados de otra forma </t>
    </r>
    <r>
      <rPr>
        <b/>
        <sz val="8"/>
        <color rgb="FF002B54"/>
        <rFont val="Calibri"/>
        <family val="2"/>
        <scheme val="minor"/>
      </rPr>
      <t>...</t>
    </r>
  </si>
  <si>
    <t>Calzoncillos de punto, de fibras sintéticas o artificiales, para hombres o niños</t>
  </si>
  <si>
    <r>
      <t xml:space="preserve">"Tejidos de punto, de anchura &gt; 30 cm, de fibras sintéticas, teñidos (exc. tejidos de punto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</si>
  <si>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Materias vegetales o minerales para tallar, trabajadas, y manufacturas de estas materias; manufacturas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</si>
  <si>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y aparatos para preparar alimentos o piensos para animales, en explotaciones agrícolas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</si>
  <si>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"Desperdicios y desechos de volframio ""tungsteno"" (exc. cenizas y residuos que contengan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</si>
  <si>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Esquís acuáticos, tablas y demás artículos para la práctica de deportes acuíticos (exc. deslizadores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</si>
  <si>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Camisas, blusas y blusas camiseras, de fibras sintéticas o artificiales, para mujeres o niñas </t>
    </r>
    <r>
      <rPr>
        <b/>
        <sz val="8"/>
        <color rgb="FF002B54"/>
        <rFont val="Calibri"/>
        <family val="2"/>
        <scheme val="minor"/>
      </rPr>
      <t>...</t>
    </r>
  </si>
  <si>
    <t>"Patatas ""papas"", preparadas o conservadas sin vinagre ni ácido acético, sin congelar"</t>
  </si>
  <si>
    <r>
      <t xml:space="preserve">Vestidos de punto, de materia textil, para mujeres o niñas (exc. de lana o pelo fino, de algodón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</si>
  <si>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Accesorios para bebés de material textil, de punto o fibras sintéticas (exc. de algodon,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</si>
  <si>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Manufacturas de hierro o acero, n.c.o.p. (exc. moldeadas, o forjadas o estampadas pero sin </t>
    </r>
    <r>
      <rPr>
        <b/>
        <sz val="8"/>
        <color rgb="FF002B54"/>
        <rFont val="Calibri"/>
        <family val="2"/>
        <scheme val="minor"/>
      </rPr>
      <t>...</t>
    </r>
  </si>
  <si>
    <t>Champúes</t>
  </si>
  <si>
    <r>
      <t xml:space="preserve">Cables, de hierro o acero (exc. artículos aislados para electricidad, así como alambre con </t>
    </r>
    <r>
      <rPr>
        <b/>
        <sz val="8"/>
        <color rgb="FF002B54"/>
        <rFont val="Calibri"/>
        <family val="2"/>
        <scheme val="minor"/>
      </rPr>
      <t>...</t>
    </r>
  </si>
  <si>
    <t>Whisky</t>
  </si>
  <si>
    <r>
      <t xml:space="preserve">"Leche y nata ""crema"", concentradas, con adición de azúcar u otro edulcorante (exc. en polvo, </t>
    </r>
    <r>
      <rPr>
        <b/>
        <sz val="8"/>
        <color rgb="FF002B54"/>
        <rFont val="Calibri"/>
        <family val="2"/>
        <scheme val="minor"/>
      </rPr>
      <t>...</t>
    </r>
  </si>
  <si>
    <t>Las demás manufacturas de plomo</t>
  </si>
  <si>
    <t>Tejidos de algodón, con un contenido de algodón &gt;= 85% en peso, de peso &lt;= 200 g/m²</t>
  </si>
  <si>
    <r>
      <t xml:space="preserve">"Judías ""porotos, alubias, frijoles, fréjoles"" de las especies ""Vigna mungo L. Hepper""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</si>
  <si>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Boratos naturales y sus concentrados (incluso calcinados), excepto los boratos extraídos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</si>
  <si>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Espejos de vidrio, enmarcados (exc. espejos retrovisores para vehículos, espejos de óptica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</si>
  <si>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"Judías ""porotos, alubias, frijoles, fréjoles"" ""Vigna spp."", ""Phaseolus spp."", aunque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</si>
  <si>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Grasas y aceites vegetales fijos, y sus fracciones, incluso refinados, pero sin modificar químicamente </t>
    </r>
    <r>
      <rPr>
        <b/>
        <sz val="8"/>
        <color rgb="FF002B54"/>
        <rFont val="Calibri"/>
        <family val="2"/>
        <scheme val="minor"/>
      </rPr>
      <t>...</t>
    </r>
  </si>
  <si>
    <t>Colecciones y piezas de colección de interés arqueológico, etnográfico o histórico</t>
  </si>
  <si>
    <r>
      <t xml:space="preserve">Partes deornos industriales o de laboratorio, incl. los incineradores, que no sean eléctricos, </t>
    </r>
    <r>
      <rPr>
        <b/>
        <sz val="8"/>
        <color rgb="FF002B54"/>
        <rFont val="Calibri"/>
        <family val="2"/>
        <scheme val="minor"/>
      </rPr>
      <t>...</t>
    </r>
  </si>
  <si>
    <t>Semillas de maíz para la siembra</t>
  </si>
  <si>
    <t>Ketchup y demás salsas de tomate</t>
  </si>
  <si>
    <r>
      <t xml:space="preserve">Accesorios de tubería, de hierro o acero (exc. moldeados o de acero inoxidable, así como codos, </t>
    </r>
    <r>
      <rPr>
        <b/>
        <sz val="8"/>
        <color rgb="FF002B54"/>
        <rFont val="Calibri"/>
        <family val="2"/>
        <scheme val="minor"/>
      </rPr>
      <t>...</t>
    </r>
  </si>
  <si>
    <t>Pelo fino, sin cardar ni peinar (exc. lana y pelo de cabra de Cachemira)</t>
  </si>
  <si>
    <r>
      <t xml:space="preserve">Bombas centrífugas, accionadas mecánicamente (exc. bombas de las subpartidas 8413.11 u 8413.19, </t>
    </r>
    <r>
      <rPr>
        <b/>
        <sz val="8"/>
        <color rgb="FF002B54"/>
        <rFont val="Calibri"/>
        <family val="2"/>
        <scheme val="minor"/>
      </rPr>
      <t>...</t>
    </r>
  </si>
  <si>
    <t>"Salsa de soja ""soya"""</t>
  </si>
  <si>
    <t>Partes de máquinas y de aparatos mecánicos, n.c.o.p.</t>
  </si>
  <si>
    <r>
      <t xml:space="preserve">Partes identificables como destinadas, exclusiva o principalmente, a las máquinas de las p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</si>
  <si>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de seda o de desperdicios de seda, acondicionados para la venta al por menor; «pelo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</si>
  <si>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"Papel, cartón, guata de celulosa y napa de fibras de celulosa, estucados, recubiertos, impregnados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</si>
  <si>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"Sacos ""bolsas"" y cucuruchos, de papel, cartón, guata de celulosa o napa de fibra de celulosa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</si>
  <si>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"Preparaciones y conservas de pescado, enteros o en trozos (exc. ??picados, ahumados simplemente,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</si>
  <si>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Ropa de cama de materia textil (exc. de algodón y de fibras sintéticas o artificiales, así </t>
    </r>
    <r>
      <rPr>
        <b/>
        <sz val="8"/>
        <color rgb="FF002B54"/>
        <rFont val="Calibri"/>
        <family val="2"/>
        <scheme val="minor"/>
      </rPr>
      <t>...</t>
    </r>
  </si>
  <si>
    <t>Etiquetas de todas clases, de papel o cartón, sin imprimir</t>
  </si>
  <si>
    <r>
      <t xml:space="preserve">"Camisones y pijamas, de punto, de materia textil, para mujeres o niñas (exc. de algodóno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</si>
  <si>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"Chapas y tiras, de aleaciones de cobre, de espesor &gt; 0,15 mm (exc. de aleaciones a base de </t>
    </r>
    <r>
      <rPr>
        <b/>
        <sz val="8"/>
        <color rgb="FF002B54"/>
        <rFont val="Calibri"/>
        <family val="2"/>
        <scheme val="minor"/>
      </rPr>
      <t>...</t>
    </r>
  </si>
  <si>
    <t>"Pulpo ""Octopus spp."", Congelado"</t>
  </si>
  <si>
    <r>
      <t xml:space="preserve">"Judías ""porotos, alubias, frijoles, fréjoles"" común ""Phaseolus vulgaris"", seca y desvainada, </t>
    </r>
    <r>
      <rPr>
        <b/>
        <sz val="8"/>
        <color rgb="FF002B54"/>
        <rFont val="Calibri"/>
        <family val="2"/>
        <scheme val="minor"/>
      </rPr>
      <t>...</t>
    </r>
  </si>
  <si>
    <t>Platino, en bruto o en polvo</t>
  </si>
  <si>
    <t>Peletería facticia o artificial y artículos de peletería facticia o artificial</t>
  </si>
  <si>
    <r>
      <t xml:space="preserve">"Piedras preciosas o semipreciosas ""naturales"", trabajadas, incl. clasificadas, pero sin </t>
    </r>
    <r>
      <rPr>
        <b/>
        <sz val="8"/>
        <color rgb="FF002B54"/>
        <rFont val="Calibri"/>
        <family val="2"/>
        <scheme val="minor"/>
      </rPr>
      <t>...</t>
    </r>
  </si>
  <si>
    <t>Estatuillas y demás artículos de adorno, de plástico</t>
  </si>
  <si>
    <r>
      <t xml:space="preserve">"Complementos ""accesorios"" de vestir confeccionados, de todo tipo de materia textil, n.c.o.p.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</si>
  <si>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"Camarones y langostinos congelados""Pandalus spp. Crangon crangon"", incluso ahumado, incluso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</si>
  <si>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"de punto por urdimbre tejidos teñidos de fibras sintéticas ""incl. los obtenidos en telares </t>
    </r>
    <r>
      <rPr>
        <b/>
        <sz val="8"/>
        <color rgb="FF002B54"/>
        <rFont val="Calibri"/>
        <family val="2"/>
        <scheme val="minor"/>
      </rPr>
      <t>...</t>
    </r>
  </si>
  <si>
    <t>Vinagre y sucedáneos del vinagre obtenidos a partir del ácido acético</t>
  </si>
  <si>
    <t>Manufacturas de caucho vulcanizado sin endurecer, n.c.o.p.</t>
  </si>
  <si>
    <t>Agua mineral y agua gaseada, sin adición de azúcar u otro edulcorante ni aromatizados</t>
  </si>
  <si>
    <r>
      <t xml:space="preserve">Desperdicios y desechos de plata, incl. chapados de plata y demás desperdicios y desechos que </t>
    </r>
    <r>
      <rPr>
        <b/>
        <sz val="8"/>
        <color rgb="FF002B54"/>
        <rFont val="Calibri"/>
        <family val="2"/>
        <scheme val="minor"/>
      </rPr>
      <t>...</t>
    </r>
  </si>
  <si>
    <t>Preparaciones y conservas de caballa, enteros o en trozos (exc. picados)</t>
  </si>
  <si>
    <t>Bañadores de punto, de fibras sintéticas, para mujeres o niñas</t>
  </si>
  <si>
    <t>Tubos rígidos, de polímeros de etileno, incl. con accesorios</t>
  </si>
  <si>
    <r>
      <t xml:space="preserve">Piedras calizas de cualquier forma (exc. mármol, travertinos y alabastro, losetas, cubos,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</si>
  <si>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"Camisas de punto, de materia textil, para hombres o niños (exc. de algodón o de fibras sintéticas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</si>
  <si>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Instrumentos y aparatos para regulación o control (exc. los hidráulicos o neumáticos, manostatos, </t>
    </r>
    <r>
      <rPr>
        <b/>
        <sz val="8"/>
        <color rgb="FF002B54"/>
        <rFont val="Calibri"/>
        <family val="2"/>
        <scheme val="minor"/>
      </rPr>
      <t>...</t>
    </r>
  </si>
  <si>
    <t>Chapas, hojas y tiras, de cinc</t>
  </si>
  <si>
    <t>Pasta de cacao, desgrasada total o parcialmente</t>
  </si>
  <si>
    <r>
      <t xml:space="preserve">Virola, imbuia y balsa, cortadas o desenrolladas, de espesor &gt; 6 mm (exc. cepilladas, lijadas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</si>
  <si>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"Hueso, concha ""caparazón"" de tortuga, cuerno, asta, nácar y demás materias animales para </t>
    </r>
    <r>
      <rPr>
        <b/>
        <sz val="8"/>
        <color rgb="FF002B54"/>
        <rFont val="Calibri"/>
        <family val="2"/>
        <scheme val="minor"/>
      </rPr>
      <t>...</t>
    </r>
  </si>
  <si>
    <t>Asientos con armazón de madera, no con relleno</t>
  </si>
  <si>
    <r>
      <t xml:space="preserve">"Judías ""porotos, alubias, frijoles, fréjoles"" ""Vigna spp."", ""Phaseolus spp."", desvainadas,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</si>
  <si>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Cortezas de agrios (cítricos), melones o sandías, frescas, congeladas, secas o presentadas </t>
    </r>
    <r>
      <rPr>
        <b/>
        <sz val="8"/>
        <color rgb="FF002B54"/>
        <rFont val="Calibri"/>
        <family val="2"/>
        <scheme val="minor"/>
      </rPr>
      <t>...</t>
    </r>
  </si>
  <si>
    <t>Alfombras de nudo, de lana o pelo fino, incl. confeccionadas</t>
  </si>
  <si>
    <t>Juntas o empaquetaduras, de caucho vulcanizado sin endurecer (exc. de caucho celular)</t>
  </si>
  <si>
    <r>
      <t xml:space="preserve">"Aceites esenciales, desterpenados o no, incl. los ""concretos"" o ""absolutos"" (exc. de agrios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</si>
  <si>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Jabón, productos y preparaciones orgánicos tensoactivos usados como jabón, en barras, panes, </t>
    </r>
    <r>
      <rPr>
        <b/>
        <sz val="8"/>
        <color rgb="FF002B54"/>
        <rFont val="Calibri"/>
        <family val="2"/>
        <scheme val="minor"/>
      </rPr>
      <t>...</t>
    </r>
  </si>
  <si>
    <t>Reptiles, incl. las serpientes y las tortugas de mar, vivos</t>
  </si>
  <si>
    <r>
      <t xml:space="preserve">"Motores de émbolo ""pistón"" de encendido por compresión ""motores diesel o semi-diesel""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</si>
  <si>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Contenedores, incluidos los contenedores cisterna y los contenedores depósito, especialmente </t>
    </r>
    <r>
      <rPr>
        <b/>
        <sz val="8"/>
        <color rgb="FF002B54"/>
        <rFont val="Calibri"/>
        <family val="2"/>
        <scheme val="minor"/>
      </rPr>
      <t>...</t>
    </r>
  </si>
  <si>
    <t>Asientos con armazón de madera, con relleno (exc. los transformables en cama)</t>
  </si>
  <si>
    <r>
      <t xml:space="preserve">Partes de muebles que no sean de madera, n.c.o.p. (exc. asientos o mobiliario médico, quirúrgico,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</si>
  <si>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Cajas de cambio para tractores, vehículos automóviles para transporte de &gt;= 10 personas, automóviles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</si>
  <si>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Camisones y pijamas, de punto, de materia textil, para hombres o niños (exc. de algodón o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</si>
  <si>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Mantas de materia textil (exc. de lana o pelo fino, de algodón, de fibras sintéticas, mantas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</si>
  <si>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Artículos de plástico y manufacturas de las demás materias de las partidas 3901 a 3914, ncop </t>
    </r>
    <r>
      <rPr>
        <b/>
        <sz val="8"/>
        <color rgb="FF002B54"/>
        <rFont val="Calibri"/>
        <family val="2"/>
        <scheme val="minor"/>
      </rPr>
      <t>...</t>
    </r>
  </si>
  <si>
    <t>Concentrados de proteínas y sustancias proteicas texturadas</t>
  </si>
  <si>
    <r>
      <t xml:space="preserve">"Muebles de otras materias, incluyendo de roten, mimbre o materiales similares (exc. de bambú, </t>
    </r>
    <r>
      <rPr>
        <b/>
        <sz val="8"/>
        <color rgb="FF002B54"/>
        <rFont val="Calibri"/>
        <family val="2"/>
        <scheme val="minor"/>
      </rPr>
      <t>...</t>
    </r>
  </si>
  <si>
    <t>Telas metálicas tejidas, continuas o sin fin, de acero inoxidable, para máquinas</t>
  </si>
  <si>
    <t>Pescado fresco o refrigerado, nep</t>
  </si>
  <si>
    <r>
      <t xml:space="preserve">Placas, láminas, hojas y tiras, de policarbonatos no celulares y sin esfuerzo, estratificación </t>
    </r>
    <r>
      <rPr>
        <b/>
        <sz val="8"/>
        <color rgb="FF002B54"/>
        <rFont val="Calibri"/>
        <family val="2"/>
        <scheme val="minor"/>
      </rPr>
      <t>...</t>
    </r>
  </si>
  <si>
    <t>Sombreros y demás tocados, incl. guarnecidos, n.c.o.p.</t>
  </si>
  <si>
    <r>
      <t xml:space="preserve">"Judias secas y peladas ""Vigna subterranea o subterranea Voandzeia"", aunque estén mondadas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</si>
  <si>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"Desperdicios y desechos ""chatarra"", de hierro o acero (exc. escorias, batiduras y otros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</si>
  <si>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"Arrurruz, salep, aguaturmas y las raíces y tubérculos similares ricos en fécula o en inulina,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</si>
  <si>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Arenisca, sin ser asperamente arreglado o simplemente troceada, por aserrado o de otro modo,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</si>
  <si>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Sulfuros de arsénico, alunita, tierra de puzolana, tierras colorantes y demás materias minerales,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</si>
  <si>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Material de andamiaje, encofrado, apeo o apuntalamiento, (exc. ??compuestos sheetpiling y paneles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</si>
  <si>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Abrigos, abrigos, capas, capas, anoraks, para hombres o niños, incl. chaquetas de esquí, cortavientos,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</si>
  <si>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Sombreros y demás tocados, trenzados o fabricados por unión de tiras de cualquier materia,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</si>
  <si>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"Artículos de joyería y sus partes, de chapado de metal precioso ""plaqué"" sobre metal común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</si>
  <si>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 para copiar o transferir, en bobinas ""rollos"" de anchura &lt;= 36 cm o en hojas cuadradas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</si>
  <si>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Ácidos policarboxílicos aromáticos, sus anhídridos, halogenuros, peróxidos, peroxiácidos y </t>
    </r>
    <r>
      <rPr>
        <b/>
        <sz val="8"/>
        <color rgb="FF002B54"/>
        <rFont val="Calibri"/>
        <family val="2"/>
        <scheme val="minor"/>
      </rPr>
      <t>...</t>
    </r>
  </si>
  <si>
    <t>"Conjuntos de abrigo para entrenamiento o deporte ""chandales"", de punto, de fibras sintéticas"</t>
  </si>
  <si>
    <t>Ácido clorosulfúrico</t>
  </si>
  <si>
    <r>
      <t xml:space="preserve">Partes de: bombas de aire o de vacío, compresores de aire u otros gases, ventiladores y campanas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</si>
  <si>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Unidades de máquinas automáticas para tratamiento o procesamiento de datos, digitales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</si>
  <si>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Preparaciones de belleza, maquillaje y para el cuidado de la piel, incl. las preparaciones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</si>
  <si>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Alambres, varillas, tubos, placas, electrodos y artículos simil., de metal común o de carburo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</si>
  <si>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Lectores magnéticos y ópticos, máquinas para registro de datos sobre soporte en forma codificada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</si>
  <si>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Los demás azúcares, incl. el azúcar invertido y la maltosa químicamente pura, en estado sólido, </t>
    </r>
    <r>
      <rPr>
        <b/>
        <sz val="8"/>
        <color rgb="FF002B54"/>
        <rFont val="Calibri"/>
        <family val="2"/>
        <scheme val="minor"/>
      </rPr>
      <t>...</t>
    </r>
  </si>
  <si>
    <t>Artículos de hierro o acero, nep</t>
  </si>
  <si>
    <t>Resistencias fijas de potencia &gt; 20 W (exc. resistencias de calentamiento)</t>
  </si>
  <si>
    <t>Partes y accesorios de brújulas u otros instrumentos y aparatos para navegación, n.c.o.p.</t>
  </si>
  <si>
    <r>
      <t xml:space="preserve">Partes de aparatos telefónicos, los telefonos celulares y los de otras redes inalámbricas y </t>
    </r>
    <r>
      <rPr>
        <b/>
        <sz val="8"/>
        <color rgb="FF002B54"/>
        <rFont val="Calibri"/>
        <family val="2"/>
        <scheme val="minor"/>
      </rPr>
      <t>...</t>
    </r>
  </si>
  <si>
    <t>"Cierres de cremallera ""cierres relámpago"" (exc. con dientes de metal común)"</t>
  </si>
  <si>
    <t>Colecciones y piezas de colección de interés numismático con antigüedad de más de 100 años</t>
  </si>
  <si>
    <t>"Fresas ""frutillas"", frescas"</t>
  </si>
  <si>
    <r>
      <t xml:space="preserve">"Camisas, blusas y blusas camiseras, de punto, de materia textil, para mujeres o niñas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</si>
  <si>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"Tejidos de punto, de anchura &gt; 30 cm, de algodón, crudos o blanqueados (exc. tejidos de punto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</si>
  <si>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Piedras preciosas o semipreciosas, sintéticas o reconstituidas, trabajadas, incl. clasificadas,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</si>
  <si>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"Pantalones largos, pantalones con peto, pantalones cortos ""calzones"" y ""shorts"", de lana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</si>
  <si>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productos químicos y preparaciones de las industrias químicas o afines, incl. las mezclas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</si>
  <si>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Madera, incl, frisos para parqués, sin ensamblar, perfilados longitudinalmente con lengüetas,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</si>
  <si>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Camisones y pijamas, de algodón, para hombres o niños (exc. de punto, así como camisetas y </t>
    </r>
    <r>
      <rPr>
        <b/>
        <sz val="8"/>
        <color rgb="FF002B54"/>
        <rFont val="Calibri"/>
        <family val="2"/>
        <scheme val="minor"/>
      </rPr>
      <t>...</t>
    </r>
  </si>
  <si>
    <t>Papel higiénico, en rollos, de anchura &lt;= 36 cm</t>
  </si>
  <si>
    <t>"Filetes congelados de bacalao ""Gadus morhua, Gadus ogac, Gadus macrocephalus"""</t>
  </si>
  <si>
    <t>"Partes de cierres de cremalleras ""cierres relámpago"""</t>
  </si>
  <si>
    <r>
      <t xml:space="preserve">Productos de pescado o de crustáceos, moluscos u otros invertebrados acúaticos; pescados, crustáceos,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</si>
  <si>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Construcciones y partes de construcciones, de fundición, hierro o acero (exc. puentes y partes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</si>
  <si>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Mujeres o niñas y otras prendas de vestir, ncop de materiales textiles (excepto de lana, pelo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</si>
  <si>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"Aprestos y productos de acabado, aceleradores de tintura o de fijación de materias colorantes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</si>
  <si>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"Motores hidráulicos (exc. turbinas hidráulicas o ruedas hidráulicas de la partida 8410, turbinas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</si>
  <si>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Hojas y tiras, delgadas, de aluminio, con soporte, de espesor &lt;= 0,2 mm, sin incluir el soporte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</si>
  <si>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Instrumentos musicales de percusión (por ejemplo: tambores, cajas, xilófonos, platillos, castañuelas,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</si>
  <si>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Aparatos de cocción y calientaplatos, de uso doméstico, de fundición, hierro o acero, de combustibles </t>
    </r>
    <r>
      <rPr>
        <b/>
        <sz val="8"/>
        <color rgb="FF002B54"/>
        <rFont val="Calibri"/>
        <family val="2"/>
        <scheme val="minor"/>
      </rPr>
      <t>...</t>
    </r>
  </si>
  <si>
    <t>"Tetraborato de disodio ""bórax refinado"" (exc. anhidro)"</t>
  </si>
  <si>
    <t>Cúrcuma</t>
  </si>
  <si>
    <t>Anguilas, preparadas o conservadas, enteras o en trozos (exc. ??picados)</t>
  </si>
  <si>
    <t>Rotuladores y marcadores con punta de fieltro u otra punta porosa</t>
  </si>
  <si>
    <r>
      <t xml:space="preserve">"Prendas y complementos ""accesorios"" de vestir, de punto, de fibras sintéticas, para bebés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</si>
  <si>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y aparatos de trabajar caucho o plástico o para fabricar productos de estas materias,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</si>
  <si>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"Alcohol etílico sin desnaturalizar con un grado alcohólico volumétrico &lt; 80% vol; aguardientes </t>
    </r>
    <r>
      <rPr>
        <b/>
        <sz val="8"/>
        <color rgb="FF002B54"/>
        <rFont val="Calibri"/>
        <family val="2"/>
        <scheme val="minor"/>
      </rPr>
      <t>...</t>
    </r>
  </si>
  <si>
    <t>Tapas corona de metal común</t>
  </si>
  <si>
    <t>Las demás manufacturas de cuero natural o cuero regenerado</t>
  </si>
  <si>
    <r>
      <t xml:space="preserve">Madera tropical en bruto, incluso descortezada o de albura, o desbastada (exc. ​​Teca, meranti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</si>
  <si>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"Carbonatos y peroxocarbonatos ""percarbonatos"" (exc. carbonato de amonio, incl. el carbonato </t>
    </r>
    <r>
      <rPr>
        <b/>
        <sz val="8"/>
        <color rgb="FF002B54"/>
        <rFont val="Calibri"/>
        <family val="2"/>
        <scheme val="minor"/>
      </rPr>
      <t>...</t>
    </r>
  </si>
  <si>
    <t>Granos de cereales aplastados o en copos (exc. de cebada y avena)</t>
  </si>
  <si>
    <t>Grañones y sémola, de maíz</t>
  </si>
  <si>
    <r>
      <t xml:space="preserve">Calzado con parte superior de materia textil (exc. con suela de caucho, plástico o cuero natural </t>
    </r>
    <r>
      <rPr>
        <b/>
        <sz val="8"/>
        <color rgb="FF002B54"/>
        <rFont val="Calibri"/>
        <family val="2"/>
        <scheme val="minor"/>
      </rPr>
      <t>...</t>
    </r>
  </si>
  <si>
    <t>Convertidores estáticos</t>
  </si>
  <si>
    <r>
      <t xml:space="preserve">Plantas vivas, incl. sus raíces, y micelios (exc. bulbos, cebollas, tubérculos, raíces y bulbos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</si>
  <si>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"Sacos de viaje, bolsas de aseo, mochilas y bolsas para artículos de deporte, bolsas para la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</si>
  <si>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Guarniciones, herrajes y artículos simil., de metal común, para vehículos automóviles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</si>
  <si>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"Guisantes ""arvejas, chícharos"" ""Pisum sativum"", secos, desvainados, aunque estén mondados </t>
    </r>
    <r>
      <rPr>
        <b/>
        <sz val="8"/>
        <color rgb="FF002B54"/>
        <rFont val="Calibri"/>
        <family val="2"/>
        <scheme val="minor"/>
      </rPr>
      <t>...</t>
    </r>
  </si>
  <si>
    <t>Perfumes y aguas de tocador</t>
  </si>
  <si>
    <t>Ejes con diferencial, incl. provistos con otros órganos de transmisión, para vehículos automóviles</t>
  </si>
  <si>
    <t>Cajas de papel o cartón corrugado</t>
  </si>
  <si>
    <t>Tintas, incl. concentradas o sólidas (exc. para dibujar)</t>
  </si>
  <si>
    <t>Desperdicios y desechos de cadmio (exc. ​​Cenizas y residuos)</t>
  </si>
  <si>
    <t>Transformadores de tipo seco de potencia &gt; 500 kVA</t>
  </si>
  <si>
    <t>Instrumentos musicales de viento</t>
  </si>
  <si>
    <r>
      <t xml:space="preserve">Tejidos de algodón, con un contenido de algodón &gt;= 85% en peso, de peso &gt; 100 g/m² pero &lt;= </t>
    </r>
    <r>
      <rPr>
        <b/>
        <sz val="8"/>
        <color rgb="FF002B54"/>
        <rFont val="Calibri"/>
        <family val="2"/>
        <scheme val="minor"/>
      </rPr>
      <t>...</t>
    </r>
  </si>
  <si>
    <t>"Polímeros acrílicos, en formas primarias (exc. poli""metacrilato de metilo"")"</t>
  </si>
  <si>
    <t>Inflamadores</t>
  </si>
  <si>
    <r>
      <t xml:space="preserve">"Camisetas interiores, bragas ""bombachas, calzones"", incl. las que no llegan hasta la cintura,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</si>
  <si>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Estatuillas y demás objetos de adorno, de madera (exc. ​​de madera tropical y marquetería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</si>
  <si>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"Pieles curtidas o adobadas, enteras, incl. sin la cabeza, cola o patas, sin ensamblar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</si>
  <si>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de extintores, de pistolas aerográficas y de aparatos simil.; partes de máquinas y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</si>
  <si>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"Harina, sémola y polvo de guisantes ""arvejas, chícharos"", garbanzos, judías, lentejas y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</si>
  <si>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"Bandajes ""llantas macizas o huecas"", tiras de rodadura intercambiables para neumáticos ""llantas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</si>
  <si>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Cangilones, cucharas, cucharas de almeja, palas y garras o pinzas, para máquinas o aparatos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</si>
  <si>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Vieiras y otros moluscos de la familia Pectinidae, vivos, frescos o refrigerados, incluso con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</si>
  <si>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Lanchas fueraborda, de recreo o deporte, y botes de remos y canoas, de eslora&gt; 7,5 m (exc. </t>
    </r>
    <r>
      <rPr>
        <b/>
        <sz val="8"/>
        <color rgb="FF002B54"/>
        <rFont val="Calibri"/>
        <family val="2"/>
        <scheme val="minor"/>
      </rPr>
      <t>...</t>
    </r>
  </si>
  <si>
    <t>Asientos, n.c.o.p.</t>
  </si>
  <si>
    <r>
      <t xml:space="preserve">"Carne y despojos comestibles frescos, refrigerados o congelados de palomas, caza, renos y </t>
    </r>
    <r>
      <rPr>
        <b/>
        <sz val="8"/>
        <color rgb="FF002B54"/>
        <rFont val="Calibri"/>
        <family val="2"/>
        <scheme val="minor"/>
      </rPr>
      <t>...</t>
    </r>
  </si>
  <si>
    <t>Sales y ésteres del ácido cítrico (exc. compuestos inorgánicos u orgánicos de mercurio)</t>
  </si>
  <si>
    <t>Vestidos de fibras sintéticas, para mujeres o niñas (exc. de punto, así como combinaciones)</t>
  </si>
  <si>
    <t>"Algarrobas ""algarrobo"", frescas, refrigeradas, congeladas o secas, incluso pulverizadas"</t>
  </si>
  <si>
    <t>Grupos electrógenos con motor distinto de los de émbolo (exc. de energía eólica)</t>
  </si>
  <si>
    <t>Balsas inflables</t>
  </si>
  <si>
    <t>"Cloruro de hidrógeno ""ácido clorhídrico"""</t>
  </si>
  <si>
    <t>"Nueces de marañón [merey, cajuil, anacardo, ""cajú""], frescas o secas, sin cáscara"</t>
  </si>
  <si>
    <r>
      <t xml:space="preserve">Paracaídas, incluidos los dirigibles, planeadores (parapentes) o de aspas giratorias; sus partes </t>
    </r>
    <r>
      <rPr>
        <b/>
        <sz val="8"/>
        <color rgb="FF002B54"/>
        <rFont val="Calibri"/>
        <family val="2"/>
        <scheme val="minor"/>
      </rPr>
      <t>...</t>
    </r>
  </si>
  <si>
    <t>Cintos, cinturones y bandoleras, de cuero natural cuero regenerado</t>
  </si>
  <si>
    <r>
      <t xml:space="preserve">Horquillas, rizadores, bigudíes y artículos simil. para el peinado, y sus partes, n.c.o.p.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</si>
  <si>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Tubos rígidos, de polímeros de plástico (exc. de polímeros de etileno, de propileno y de cloruro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</si>
  <si>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Faldas y faldas pantalón de punto, de materia textil, para mujeres o niñas (exc. de lana 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</si>
  <si>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"Motores de émbolo ""pistón"" de encendido por compresión ""motores diesel o semi-diesel"", </t>
    </r>
    <r>
      <rPr>
        <b/>
        <sz val="8"/>
        <color rgb="FF002B54"/>
        <rFont val="Calibri"/>
        <family val="2"/>
        <scheme val="minor"/>
      </rPr>
      <t>...</t>
    </r>
  </si>
  <si>
    <t>Algodón cardado o peinado</t>
  </si>
  <si>
    <r>
      <t xml:space="preserve">Calzado con suela de cuero natural o regenerado y parte superior de materia textil (exc. calzado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</si>
  <si>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Vestidos de materia textil, para mujeres o niñas (exc. de lana o pelo fino, de algodón,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</si>
  <si>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"Saltos de cama, albornoces de baño, batas de casa y artículos simil., de punto, de materia </t>
    </r>
    <r>
      <rPr>
        <b/>
        <sz val="8"/>
        <color rgb="FF002B54"/>
        <rFont val="Calibri"/>
        <family val="2"/>
        <scheme val="minor"/>
      </rPr>
      <t>...</t>
    </r>
  </si>
  <si>
    <t>Motores de CC y generadores de CC de potencia&gt; 375 kW (exc. los generadores fotovoltaicos)</t>
  </si>
  <si>
    <r>
      <t xml:space="preserve">Ropa de tocador o cocina, de tejido con bucles, del tipo toalla, de algodón (exc. bayetas,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</si>
  <si>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Útiles de perforación o sondeo, intercambiables, con parte operante de carburo metálico sinterizados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</si>
  <si>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de calzado; extraíble plantillas, taloneras y artículos similares, polainas, botines </t>
    </r>
    <r>
      <rPr>
        <b/>
        <sz val="8"/>
        <color rgb="FF002B54"/>
        <rFont val="Calibri"/>
        <family val="2"/>
        <scheme val="minor"/>
      </rPr>
      <t>...</t>
    </r>
  </si>
  <si>
    <t>Policarbonatos, en formas primarias</t>
  </si>
  <si>
    <t>"Lana peinada (exc. ""a granel"" [""open tops""])"</t>
  </si>
  <si>
    <r>
      <t xml:space="preserve">Calzado con suela de caucho, plástico, cuero regenerado y parte superior de cuero natural, </t>
    </r>
    <r>
      <rPr>
        <b/>
        <sz val="8"/>
        <color rgb="FF002B54"/>
        <rFont val="Calibri"/>
        <family val="2"/>
        <scheme val="minor"/>
      </rPr>
      <t>...</t>
    </r>
  </si>
  <si>
    <t>Partes de máquinas y de aparatos eléctricos, con función propia, n.c.o.p. del capítulo 85</t>
  </si>
  <si>
    <r>
      <t xml:space="preserve">"Luminarias eléctricas de mesa, escritorio, mesitas de noche o de pie (exc. las destinadas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</si>
  <si>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Vajilla y utensilios de cocina, de madera (exc. bambú o madera tropical, y adornos de interior,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</si>
  <si>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"Chaquetas ""sacos"" de punto, de lana o pelo fino, para mujeres o niñas (exc. cazadoras y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</si>
  <si>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"Prendas y complementos ""accesorios"", de vestir, de peletería (exc. guantes mixtos de cuero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</si>
  <si>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Camisas de fibras sintéticas o artificiales, para hombres o niños (exc. de punto, así como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</si>
  <si>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Estatuillas y demás artículos de adorno, de metal común distintos del cobre, sin bañar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</si>
  <si>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Motores de arranque eléctricos, aunque funcionen también como generadores, para motores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</si>
  <si>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Marquetería y taracea; cofrecillos y estuches para joyería u orfebrería y manufacturas simil.,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</si>
  <si>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Mesas para juegos de casino, juegos de bolos automáticos, y otros juegos de feria, de mesa </t>
    </r>
    <r>
      <rPr>
        <b/>
        <sz val="8"/>
        <color rgb="FF002B54"/>
        <rFont val="Calibri"/>
        <family val="2"/>
        <scheme val="minor"/>
      </rPr>
      <t>...</t>
    </r>
  </si>
  <si>
    <t>Estampas, grabados y fotografías, n.c.o.p.</t>
  </si>
  <si>
    <r>
      <t xml:space="preserve">"Especias (exc. pimienta del género ""Piper""; pimientos de los géneros ""Capsicum"" o ""Pimenta"";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</si>
  <si>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Calzado con suela de caucho o plástico y parte superior de materia textil (exc. calzado de </t>
    </r>
    <r>
      <rPr>
        <b/>
        <sz val="8"/>
        <color rgb="FF002B54"/>
        <rFont val="Calibri"/>
        <family val="2"/>
        <scheme val="minor"/>
      </rPr>
      <t>...</t>
    </r>
  </si>
  <si>
    <t>Peces ornamentales vivos (agua dulce excl.)</t>
  </si>
  <si>
    <r>
      <t xml:space="preserve">"Judías ""porotos, alubias, frijoles, fréjoles"" Adzuki ""Phaseolus"", ""Vigna angularis"", </t>
    </r>
    <r>
      <rPr>
        <b/>
        <sz val="8"/>
        <color rgb="FF002B54"/>
        <rFont val="Calibri"/>
        <family val="2"/>
        <scheme val="minor"/>
      </rPr>
      <t>...</t>
    </r>
  </si>
  <si>
    <t>Hortalizas frescas o refrigeradas ncop</t>
  </si>
  <si>
    <t>Marcos de madera para cuadros, fotografías, espejos u objetos similares, de madera tropical</t>
  </si>
  <si>
    <r>
      <t xml:space="preserve">"Guisantes ""arvejas, chícharos"" ""Pisum sativum"", aunque estén cocidas en agua o vapor,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</si>
  <si>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Madera en plaquitas o escamillas (exc. de las especies utilizadas principalmente como tintóreas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</si>
  <si>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y aparatos de chorro de arena o de vapor y aparatos de chorro simil., incl. aparatos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</si>
  <si>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Faldas y faldas pantalón, de fibras sintéticas, para mujeres o niñas (exc. de punto, así como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</si>
  <si>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Aparatos y artículos de cerámica, para usos químicos o demás usos técnicos (exc. de porcelana, </t>
    </r>
    <r>
      <rPr>
        <b/>
        <sz val="8"/>
        <color rgb="FF002B54"/>
        <rFont val="Calibri"/>
        <family val="2"/>
        <scheme val="minor"/>
      </rPr>
      <t>...</t>
    </r>
  </si>
  <si>
    <t>Manufacturas de cerámica (excl. porcelamica o china)</t>
  </si>
  <si>
    <t>Detonadores eléctricos (exc. detonadores de granadas)</t>
  </si>
  <si>
    <r>
      <t xml:space="preserve">"Trajes ""ambos o ternos"", de punto, de materia textil, para mujeres o niñas (exc. de fibras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</si>
  <si>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"Neumáticos ""llantas neumáticas"" nuevos de caucho, de los tipos utilizados en autobuses o </t>
    </r>
    <r>
      <rPr>
        <b/>
        <sz val="8"/>
        <color rgb="FF002B54"/>
        <rFont val="Calibri"/>
        <family val="2"/>
        <scheme val="minor"/>
      </rPr>
      <t>...</t>
    </r>
  </si>
  <si>
    <t>Extractos, esencias y concentrados de café</t>
  </si>
  <si>
    <r>
      <t xml:space="preserve">Mezclas de sustancias odoríferas y mezclas, incl. las disoluciones alcohólicas, a base de una </t>
    </r>
    <r>
      <rPr>
        <b/>
        <sz val="8"/>
        <color rgb="FF002B54"/>
        <rFont val="Calibri"/>
        <family val="2"/>
        <scheme val="minor"/>
      </rPr>
      <t>...</t>
    </r>
  </si>
  <si>
    <t>Aparatos de filtrar lubricantes o carburantes en los motores de encendido por chispa o compresión</t>
  </si>
  <si>
    <t>Puertas y sus marcos y umbrales, de madera tropical</t>
  </si>
  <si>
    <r>
      <t xml:space="preserve">"Guarniciones de fricción ""p.ej. placas, rollos, tiras, segmentos, discos, arandelas o plaquitas"", </t>
    </r>
    <r>
      <rPr>
        <b/>
        <sz val="8"/>
        <color rgb="FF002B54"/>
        <rFont val="Calibri"/>
        <family val="2"/>
        <scheme val="minor"/>
      </rPr>
      <t>...</t>
    </r>
  </si>
  <si>
    <t>Muebles de madera de los tipos utilizados en cocinas (exc. asientos)</t>
  </si>
  <si>
    <r>
      <t xml:space="preserve">"Maíz dulce ""Zea mays var. saccharata"", preparado o conservado sin vinagre ni ácido acético,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</si>
  <si>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 y cartón, autoadhesivos, coloreados o decorados en la superficie o impresos, en bobinas </t>
    </r>
    <r>
      <rPr>
        <b/>
        <sz val="8"/>
        <color rgb="FF002B54"/>
        <rFont val="Calibri"/>
        <family val="2"/>
        <scheme val="minor"/>
      </rPr>
      <t>...</t>
    </r>
  </si>
  <si>
    <t>Harina de maíz</t>
  </si>
  <si>
    <t>Partes y accesorios de instrumentos, máquinas y aparatos para medida o control, n.c.o.p.</t>
  </si>
  <si>
    <t>Cadenas de eslabones articulados, de fundición, hierro o acero (exc. las de rodillos)</t>
  </si>
  <si>
    <t>Tubos flexibles, de plástico, sin reforzar ni combinar con otras materias, sin accesorios</t>
  </si>
  <si>
    <t>Divisores y demás dispositivos especiales para montar en máquinas herramienta, n.c.o.p.</t>
  </si>
  <si>
    <r>
      <t xml:space="preserve">Engranajes y ruedas de fricción (exc. ruedas dentadas y demás órganos elementales de transmisión </t>
    </r>
    <r>
      <rPr>
        <b/>
        <sz val="8"/>
        <color rgb="FF002B54"/>
        <rFont val="Calibri"/>
        <family val="2"/>
        <scheme val="minor"/>
      </rPr>
      <t>...</t>
    </r>
  </si>
  <si>
    <t>Partes de artículos de grifería y de órganos de regulación simil., para tuberías, etc., n.c.o.p.</t>
  </si>
  <si>
    <r>
      <t xml:space="preserve">Asientos con armazón de metal, no con relleno (exc. asientos giratorios de altura ajustable,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</si>
  <si>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"Chaquetas ""sacos"" de algodón, para mujeres o niñas (exc. de punto, así como cazadoras y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</si>
  <si>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Mantas de fibras sintéticas (exc. mantas eléctricas, manteles y colchas, así como artículos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</si>
  <si>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"Prendas de vestir para entrenamiento o deporte ""chandales"", así como otras prendas de vestir, </t>
    </r>
    <r>
      <rPr>
        <b/>
        <sz val="8"/>
        <color rgb="FF002B54"/>
        <rFont val="Calibri"/>
        <family val="2"/>
        <scheme val="minor"/>
      </rPr>
      <t>...</t>
    </r>
  </si>
  <si>
    <t>Aparatos de radionavegación</t>
  </si>
  <si>
    <r>
      <t xml:space="preserve">"Máquinas y aparatos para llenar, cerrar, tapar o etiquetar botellas, botes o latas, cajas,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</si>
  <si>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Bombas volumétricas rotativas, accionadas mecánicamente (exc. bombas de las subpartidas 8413.11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</si>
  <si>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y accesorios de densímetros, areómetros, pesalíquidos e instrumentos flotantes simil., </t>
    </r>
    <r>
      <rPr>
        <b/>
        <sz val="8"/>
        <color rgb="FF002B54"/>
        <rFont val="Calibri"/>
        <family val="2"/>
        <scheme val="minor"/>
      </rPr>
      <t>...</t>
    </r>
  </si>
  <si>
    <t>Semillas de plantas herbáceas utilizadas principalmente por sus flores, para siembra</t>
  </si>
  <si>
    <r>
      <t xml:space="preserve">"Juegos con pantalla, ""flippers"" y demás juegos activados con monedas, billetes de banco, </t>
    </r>
    <r>
      <rPr>
        <b/>
        <sz val="8"/>
        <color rgb="FF002B54"/>
        <rFont val="Calibri"/>
        <family val="2"/>
        <scheme val="minor"/>
      </rPr>
      <t>...</t>
    </r>
  </si>
  <si>
    <t>Tomates, preparados o conservados sin vinagre ni ácido acético, enteros o en trozos</t>
  </si>
  <si>
    <r>
      <t xml:space="preserve">Abrasivos naturales o artificiales en polvo o gránulos con soporte de tejidos de materia textil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</si>
  <si>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"Abrigos, chaquetones, capas, anoraks, cazadoras y artículos simil., de punto de materia textil,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</si>
  <si>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Unidades de proceso digitales, para máquinas automáticas para tratamiento o procesamiento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</si>
  <si>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Colecciones y piezas de colección de interés numismático (exc. de antigüedad de más de 100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</si>
  <si>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"Partes y accesorios ""tarjetas, discos y rollos para aparatos mecánicos"" de acordeones 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</si>
  <si>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Ropa de tocador o cocina, de fibras sintéticas o artificiales (exc. bayetas, franelas y artículos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</si>
  <si>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"Chaquetas ""sacos"" de punto, de materia textil, para hombres o niños (exc. de lana o pelo </t>
    </r>
    <r>
      <rPr>
        <b/>
        <sz val="8"/>
        <color rgb="FF002B54"/>
        <rFont val="Calibri"/>
        <family val="2"/>
        <scheme val="minor"/>
      </rPr>
      <t>...</t>
    </r>
  </si>
  <si>
    <t>Relés, para una tensión &gt; 60 V pero &lt;= 1.000 V</t>
  </si>
  <si>
    <r>
      <t xml:space="preserve">Camisetas interiores, albornoces de baño, batas de casa y artículos simil., de algodón, para </t>
    </r>
    <r>
      <rPr>
        <b/>
        <sz val="8"/>
        <color rgb="FF002B54"/>
        <rFont val="Calibri"/>
        <family val="2"/>
        <scheme val="minor"/>
      </rPr>
      <t>...</t>
    </r>
  </si>
  <si>
    <t>Bayas de enebro y las semillas de anís, badiana, hinojo o comino, triturada o pulverizada</t>
  </si>
  <si>
    <r>
      <t xml:space="preserve">Artículos de vidrio, de tocador, para oficina, de adorno de interiores o usos simil.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</si>
  <si>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Ropa de tocador o cocina, de algodón (exc. tejido con bucles, del tipo toalla, así como bayetas, </t>
    </r>
    <r>
      <rPr>
        <b/>
        <sz val="8"/>
        <color rgb="FF002B54"/>
        <rFont val="Calibri"/>
        <family val="2"/>
        <scheme val="minor"/>
      </rPr>
      <t>...</t>
    </r>
  </si>
  <si>
    <t>Sucedáneos de caviar, preparados con huevas de pescado</t>
  </si>
  <si>
    <t>Juntas o empaquetaduras mecánicas de estanqueidad</t>
  </si>
  <si>
    <t>Desperdicios y desechos, de cinc</t>
  </si>
  <si>
    <t>Artículos de madera, ncop</t>
  </si>
  <si>
    <r>
      <t xml:space="preserve">Aparatos de ozonoterapia, oxigenoterapia y aerosolterapia, aparatos respiratorios de reanimación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</si>
  <si>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"Billeteras, portamonedas, llaveros, petacas, pitilleras, bolsas para tabaco y demás artículos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</si>
  <si>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Cebollas secas, incl. las cortadas en trozos o en rodajas o las trituradas o pulverizadas,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</si>
  <si>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Ruedas dentadas y demás órganos elementales de transmisión presentados aisladamente; partes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</si>
  <si>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Depósitos, barriles, tambores, bidones, latas o botes, cajas y recipientes simil., de fundición, </t>
    </r>
    <r>
      <rPr>
        <b/>
        <sz val="8"/>
        <color rgb="FF002B54"/>
        <rFont val="Calibri"/>
        <family val="2"/>
        <scheme val="minor"/>
      </rPr>
      <t>...</t>
    </r>
  </si>
  <si>
    <t>"Melocotones ""duraznos"", incl. los griñones y las nectarinas, frescos"</t>
  </si>
  <si>
    <t>Estatuillas y demás objetos de adorno, de madera tropical (exc. ​​Marquetería de madera y taracea)</t>
  </si>
  <si>
    <t>Antigüedades, de más de 250 años</t>
  </si>
  <si>
    <r>
      <t xml:space="preserve">"Puntas, clavos, chinchetas ""chinches"", grapas apuntadas y artículos simil., de cobre o con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</si>
  <si>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"Luminarias eléctricas de mesa, escritorio, cabecera o suelo, exclusivamente para fuentes luminosas </t>
    </r>
    <r>
      <rPr>
        <b/>
        <sz val="8"/>
        <color rgb="FF002B54"/>
        <rFont val="Calibri"/>
        <family val="2"/>
        <scheme val="minor"/>
      </rPr>
      <t>...</t>
    </r>
  </si>
  <si>
    <t>Generadores, para motores de combustión (exc. los dinamomagnetos y los motores de arranque)</t>
  </si>
  <si>
    <r>
      <t xml:space="preserve">Polvo y escamillas, de cinc (exc. granallas de cinc, lentejuelas de la partida 8308 y polvo </t>
    </r>
    <r>
      <rPr>
        <b/>
        <sz val="8"/>
        <color rgb="FF002B54"/>
        <rFont val="Calibri"/>
        <family val="2"/>
        <scheme val="minor"/>
      </rPr>
      <t>...</t>
    </r>
  </si>
  <si>
    <t>"Frutos de las géneros ""Capsicum"" o ""Pimenta"", frescos o refrigerados"</t>
  </si>
  <si>
    <r>
      <t xml:space="preserve">Micrómetros, calibradores, pies de rey y galgas (exc. galgas sin órganos regulables de la partida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</si>
  <si>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"Generadores de corriente alterna ""alternadores"", de potencia &lt;= 75 kVA (exc. ​​Generadores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</si>
  <si>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"Prendas de vestir confeccionadas con fieltro y tela sin tejer, incl. impregnadas, recubiertas,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</si>
  <si>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"Parachoques ""paragolpes, defensas"" y sus partes, de tractores, vehículos automóviles para </t>
    </r>
    <r>
      <rPr>
        <b/>
        <sz val="8"/>
        <color rgb="FF002B54"/>
        <rFont val="Calibri"/>
        <family val="2"/>
        <scheme val="minor"/>
      </rPr>
      <t>...</t>
    </r>
  </si>
  <si>
    <t>Motores eléctricos de potencia &lt;= 37,5 W</t>
  </si>
  <si>
    <r>
      <t xml:space="preserve">Artículos de pasamanería y ornamentales análogos, de materia textil, en pieza, sin bordar (exc. </t>
    </r>
    <r>
      <rPr>
        <b/>
        <sz val="8"/>
        <color rgb="FF002B54"/>
        <rFont val="Calibri"/>
        <family val="2"/>
        <scheme val="minor"/>
      </rPr>
      <t>...</t>
    </r>
  </si>
  <si>
    <t>Adoquines, encintado (bordillos) y losas para pavimentos, de piedra natural (excepto la pizarra)</t>
  </si>
  <si>
    <t>"Copos, gránulos y ""pellets"" de patata ""papa"""</t>
  </si>
  <si>
    <r>
      <t xml:space="preserve">Guantes, manoplas y manoplas, de fibras sintéticas, de punto (exc. ​​Impregnados, recubiertos, </t>
    </r>
    <r>
      <rPr>
        <b/>
        <sz val="8"/>
        <color rgb="FF002B54"/>
        <rFont val="Calibri"/>
        <family val="2"/>
        <scheme val="minor"/>
      </rPr>
      <t>...</t>
    </r>
  </si>
  <si>
    <t>"Jack y jurel ""Trachurus spp."" congelados"</t>
  </si>
  <si>
    <t>"Harina, sémola y polvo de patata ""papa"""</t>
  </si>
  <si>
    <t>Cacao en polvo con adición de azúcar ni otro edulcorante</t>
  </si>
  <si>
    <t>"Compactadoras y apisonadoras ""aplanadoras"", autopropulsados"</t>
  </si>
  <si>
    <t>Depilatorios y demás preparaciones de perfumería, de tocador o de cosmética, n.c.o.p.</t>
  </si>
  <si>
    <r>
      <t xml:space="preserve">Neumáticos nuevos de caucho, de los tipos utilizados en vehículos de construcción, la minería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</si>
  <si>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Alambre de aleaciones de aluminio, cuya mayor dimensión de la sección transversal sea &lt;= 7 </t>
    </r>
    <r>
      <rPr>
        <b/>
        <sz val="8"/>
        <color rgb="FF002B54"/>
        <rFont val="Calibri"/>
        <family val="2"/>
        <scheme val="minor"/>
      </rPr>
      <t>...</t>
    </r>
  </si>
  <si>
    <t>Cebada (exc. ??las de siembra para siembra)</t>
  </si>
  <si>
    <t>"Patatas ""papas"", preparadas o conservadas sin vinagre ni ácido acético, congeladas"</t>
  </si>
  <si>
    <r>
      <t xml:space="preserve">Calceteria de materiales textiles, de punto o fibras sintéticas (exc. medias para varices y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</si>
  <si>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"Pantalones largos, pantalones con peto, pantalones cortos ""calzones"" y ""shorts"", para </t>
    </r>
    <r>
      <rPr>
        <b/>
        <sz val="8"/>
        <color rgb="FF002B54"/>
        <rFont val="Calibri"/>
        <family val="2"/>
        <scheme val="minor"/>
      </rPr>
      <t>...</t>
    </r>
  </si>
  <si>
    <t>Depósitos, cisternas, cubas y recipientes simil., de plástico, de capacidad &gt; 300 l</t>
  </si>
  <si>
    <t>Óxidos e hidróxidos de hierro</t>
  </si>
  <si>
    <r>
      <t xml:space="preserve">Manufacturas de cemento, hormigón o piedra artificial, incl. armadas (exc. elementos prefabricados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</si>
  <si>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"Melocotones ""duraznos"", incl. los griñones y nectarinas, preparados o conservados, incl. </t>
    </r>
    <r>
      <rPr>
        <b/>
        <sz val="8"/>
        <color rgb="FF002B54"/>
        <rFont val="Calibri"/>
        <family val="2"/>
        <scheme val="minor"/>
      </rPr>
      <t>...</t>
    </r>
  </si>
  <si>
    <t>Válvulas para transmisiones oleohidráulicas o neumáticas</t>
  </si>
  <si>
    <r>
      <t xml:space="preserve">Telas metálicas, redes y rejas, de alambre de hierro o acero, sin soldar en los puntos de cruce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</si>
  <si>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Glucosa sólida y jarabe de glucosa sin adición de aromatizante ni colorante, con un contenido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</si>
  <si>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Vermut y demás vinos de uvas frescas preparados con plantas o sustancias aromáticas, en recipientes </t>
    </r>
    <r>
      <rPr>
        <b/>
        <sz val="8"/>
        <color rgb="FF002B54"/>
        <rFont val="Calibri"/>
        <family val="2"/>
        <scheme val="minor"/>
      </rPr>
      <t>...</t>
    </r>
  </si>
  <si>
    <t>Polipastos, con motor eléctrico</t>
  </si>
  <si>
    <r>
      <t xml:space="preserve">Caucho mezclado sin vulcanizar, con adición de negro de humo o de sílice, en formas primarias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</si>
  <si>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Alfombras y demás revestimientos para el suelo, de lana o pelo fino, con pelo insertado, aunque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</si>
  <si>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Hortalizas, frutas u otros frutos o sus cortezas y demás partes de plantas, confitados con </t>
    </r>
    <r>
      <rPr>
        <b/>
        <sz val="8"/>
        <color rgb="FF002B54"/>
        <rFont val="Calibri"/>
        <family val="2"/>
        <scheme val="minor"/>
      </rPr>
      <t>...</t>
    </r>
  </si>
  <si>
    <t>Accesorios de tubería, de fundición no maleable</t>
  </si>
  <si>
    <r>
      <t xml:space="preserve">Artículos de uso doméstico y artículos de higiene o tocador, de plástico (exc. vajilla y demás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</si>
  <si>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"Medicamentos constituidos por productos mezclados o sin mezclar, preparados para usos terapéuticos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</si>
  <si>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"Artículos de cestería obtenidos directamente en su forma con materia trenzable no vegetal </t>
    </r>
    <r>
      <rPr>
        <b/>
        <sz val="8"/>
        <color rgb="FF002B54"/>
        <rFont val="Calibri"/>
        <family val="2"/>
        <scheme val="minor"/>
      </rPr>
      <t>...</t>
    </r>
  </si>
  <si>
    <t>Vainilla, sin triturar ni pulverizar</t>
  </si>
  <si>
    <t>"Filetes de abadejo de Alaska ""Theragra chalcogramma"", congelados"</t>
  </si>
  <si>
    <t>Grabados, estampas y litografías originales (exc. de antigüedad de más de 100 años)</t>
  </si>
  <si>
    <r>
      <t xml:space="preserve">"Alfombras llam. ""Kelim"" o ""Kilim"", ""Schumaks"" o ""Soumak"", ""Karamanie"" y alfombras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</si>
  <si>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Jugo de manzana, sin fermentar y sin adición de alcohol, incl. con adición de azúcar u otro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</si>
  <si>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Ruedas, sus partes y accesorios, para tractores, vehículos automóviles para transporte de &gt;= </t>
    </r>
    <r>
      <rPr>
        <b/>
        <sz val="8"/>
        <color rgb="FF002B54"/>
        <rFont val="Calibri"/>
        <family val="2"/>
        <scheme val="minor"/>
      </rPr>
      <t>...</t>
    </r>
  </si>
  <si>
    <t>"Mezclas de hortalizas, incl. ""silvestres"", aunque estén cocidas en agua o vapor, congeladas"</t>
  </si>
  <si>
    <t>Guantes, mitones y manoplas</t>
  </si>
  <si>
    <t>Artículos de bambú, n.c.o.p.</t>
  </si>
  <si>
    <t>Desechos, desperdicios y recortes, de polímeros de etileno</t>
  </si>
  <si>
    <r>
      <t xml:space="preserve">Camisones y pijamas, de punto, de fibras sintéticas o artificiales, para hombres o niños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</si>
  <si>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Nueces frescas o secas, incluso peladas o peladas (exc. ​​Cocos, nueces del Brasil, anacardos,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</si>
  <si>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Redes y rejas, de alambre de hierro o acero, soldados en los puntos de cruce, cincados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</si>
  <si>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"Aparatos eléctricos para corte, seccionamiento, protección, derivación, empalme o conexión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</si>
  <si>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y accesorios para máquinas automáticas para tratamiento de información y demás máquinas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</si>
  <si>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Antenas y reflectores de antena de cualquier tipo; partes apropiadas para su utilización con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</si>
  <si>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 y cartón corrugados, incl. revestidos por encolado, incl. perforado, en bobinas ""rollos"" </t>
    </r>
    <r>
      <rPr>
        <b/>
        <sz val="8"/>
        <color rgb="FF002B54"/>
        <rFont val="Calibri"/>
        <family val="2"/>
        <scheme val="minor"/>
      </rPr>
      <t>...</t>
    </r>
  </si>
  <si>
    <t>Útiles de escariar o brochar, intercambiables</t>
  </si>
  <si>
    <r>
      <t xml:space="preserve">"Chaquetas ""sacos"" de fibras sintéticas, para mujeres o niñas (exc. de punto, así como cazadoras </t>
    </r>
    <r>
      <rPr>
        <b/>
        <sz val="8"/>
        <color rgb="FF002B54"/>
        <rFont val="Calibri"/>
        <family val="2"/>
        <scheme val="minor"/>
      </rPr>
      <t>...</t>
    </r>
  </si>
  <si>
    <t>Semilla de lino, incluso quebrantada</t>
  </si>
  <si>
    <r>
      <t xml:space="preserve">"Desechos de aceites que contengan principalmente aceites de petróleo o de mineral bituminoso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</si>
  <si>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"Hornos; cocinas, calentadores, incl. las mesas de cocción, parrillas y barcacoas ""parrillas"" </t>
    </r>
    <r>
      <rPr>
        <b/>
        <sz val="8"/>
        <color rgb="FF002B54"/>
        <rFont val="Calibri"/>
        <family val="2"/>
        <scheme val="minor"/>
      </rPr>
      <t>...</t>
    </r>
  </si>
  <si>
    <t>Instrumentos y aparatos de medicina, cirugía o veterinaria, n.c.o.p.</t>
  </si>
  <si>
    <r>
      <t xml:space="preserve">Vajilla y demás artículos de uso doméstico, higiene o tocador, de porcelana (exc. artículos </t>
    </r>
    <r>
      <rPr>
        <b/>
        <sz val="8"/>
        <color rgb="FF002B54"/>
        <rFont val="Calibri"/>
        <family val="2"/>
        <scheme val="minor"/>
      </rPr>
      <t>...</t>
    </r>
  </si>
  <si>
    <t>Cajas y cartonajes, plegables, de papel o cartón, sin corrugar</t>
  </si>
  <si>
    <r>
      <t xml:space="preserve">Codos, curvas y manguitos de tubería, de hierro o acero, roscados (exc. moldeados o de acero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</si>
  <si>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con un alto contenido de lana peinada o pelo fino peinado, pero &lt; 85% en peso, mezclados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</si>
  <si>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algodón, con un alto contenido de algodón, pero &lt; 85% en peso, mezclado exclusiva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</si>
  <si>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Cámaras de televisión, cámaras digitales y videocámaras (exc. artículos de alta velocidad, </t>
    </r>
    <r>
      <rPr>
        <b/>
        <sz val="8"/>
        <color rgb="FF002B54"/>
        <rFont val="Calibri"/>
        <family val="2"/>
        <scheme val="minor"/>
      </rPr>
      <t>...</t>
    </r>
  </si>
  <si>
    <t>Aparatos de radar</t>
  </si>
  <si>
    <t>Polvos de belleza o maquillaje y polvos para bebés, incl. los compactos (exc. medicamentos)</t>
  </si>
  <si>
    <t>Trigo duro (exc. ??las de siembra para siembra)</t>
  </si>
  <si>
    <r>
      <t xml:space="preserve">"Hornos industriales o de laboratorio, que no sean eléctricos, incl. los incineradores (exc. </t>
    </r>
    <r>
      <rPr>
        <b/>
        <sz val="8"/>
        <color rgb="FF002B54"/>
        <rFont val="Calibri"/>
        <family val="2"/>
        <scheme val="minor"/>
      </rPr>
      <t>...</t>
    </r>
  </si>
  <si>
    <t>"Motores neumáticos (exc. motores neumáticos con movimiento rectilíneo ""cilindros"")"</t>
  </si>
  <si>
    <r>
      <t xml:space="preserve">Prendas y complementos de vestir de fibras sintéticas (exc. ??de punto y sombreros, pañales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</si>
  <si>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Muebles de metal (exc. de los tipos utilizados en oficinas, asientos y mobiliario para medicina,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</si>
  <si>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Camisas, blusas y blusas camiseras, de materia textil, para mujeres o niñas (exc. de seda o </t>
    </r>
    <r>
      <rPr>
        <b/>
        <sz val="8"/>
        <color rgb="FF002B54"/>
        <rFont val="Calibri"/>
        <family val="2"/>
        <scheme val="minor"/>
      </rPr>
      <t>...</t>
    </r>
  </si>
  <si>
    <t>Paneles, ensamblados, de madera (exc. para suelos de mosaico)</t>
  </si>
  <si>
    <r>
      <t xml:space="preserve">"Chaquetas ""sacos"" de punto, de algodón, para hombres o niños (exc. cazadoras y artículos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</si>
  <si>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Camisas, blusas y blusas camiseras, de seda o desperdicios de seda, para mujeres o niñas (exc. </t>
    </r>
    <r>
      <rPr>
        <b/>
        <sz val="8"/>
        <color rgb="FF002B54"/>
        <rFont val="Calibri"/>
        <family val="2"/>
        <scheme val="minor"/>
      </rPr>
      <t>...</t>
    </r>
  </si>
  <si>
    <t>Cables de filamentos acrílicos o modacrílicos, de conformidad con la nota 1 del capítulo 55</t>
  </si>
  <si>
    <r>
      <t xml:space="preserve">Hipsómetros, kerdómetros, distorsiómetros, sofómetros y demás instrumentos y aparatos para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</si>
  <si>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"Chaquetas ""sacos"" de punto, de fibras sintéticas, para mujeres o niñas (exc. cazadoras y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</si>
  <si>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Amortiguadores de suspensión para tractores, vehículos automóviles para transporte de &gt;= 10 </t>
    </r>
    <r>
      <rPr>
        <b/>
        <sz val="8"/>
        <color rgb="FF002B54"/>
        <rFont val="Calibri"/>
        <family val="2"/>
        <scheme val="minor"/>
      </rPr>
      <t>...</t>
    </r>
  </si>
  <si>
    <t>Asientos de los tipos utilizados en aeronaves</t>
  </si>
  <si>
    <r>
      <t xml:space="preserve">Té negro fermentado y té parcialmente fermentado, incl. aromatizado, presentado en envases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</si>
  <si>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Aparatos y dispositivos, aunque se calienten eléctricamente, para tratamiento de materias mediante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</si>
  <si>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Placas, láminas, hojas y tiras, de plástico celular, sin trabajar o trabajadas solo en la superficie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</si>
  <si>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fibras sintéticas discontinuas, con un alto contenido de fibras discontinuas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</si>
  <si>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"Placas, láminas, hojas y tiras, de polímeros acrílicos no celulares y sin esfuerzo, estratificación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</si>
  <si>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Camisas de materia textil, para hombres o niños (exc. de lana o pelo fino, de algodón, de fibras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</si>
  <si>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texturados, de filamentos de poliésteres (exc. hilos de coser e hilados acondicionados </t>
    </r>
    <r>
      <rPr>
        <b/>
        <sz val="8"/>
        <color rgb="FF002B54"/>
        <rFont val="Calibri"/>
        <family val="2"/>
        <scheme val="minor"/>
      </rPr>
      <t>...</t>
    </r>
  </si>
  <si>
    <t>Estatuillas y demás artículos para adorno, de porcelana, n.c.o.p.</t>
  </si>
  <si>
    <t>Impresos, n.c.o.p.</t>
  </si>
  <si>
    <r>
      <t xml:space="preserve">Artículos de moblaje de algodón (exc. de punto, así como mantas, ropa de cama, de mesa,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</si>
  <si>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"Calzoncillos, incl. los largos y los ""slips"", de algodón, para hombres o niños (exc.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</si>
  <si>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"Gránulos, tasquiles y polvo de travertinos, ""ecaussines"", alabastro, granito, arenisca,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</si>
  <si>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"Elementos estructurales para la construcción de suelos, paredes, tabiques, techos o tejados,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</si>
  <si>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Madera contrachapada consistente de tableros de madera de &lt;=6mm, con madera tropical en el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</si>
  <si>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Unidades de entrada o salida, digitales, para máquinas automáticas para tratamiento o procesamiento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</si>
  <si>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"Tejidos de punto, de anchura &gt; 30 cm, de algodón, con hilados de distintos colores (exc. tejidos </t>
    </r>
    <r>
      <rPr>
        <b/>
        <sz val="8"/>
        <color rgb="FF002B54"/>
        <rFont val="Calibri"/>
        <family val="2"/>
        <scheme val="minor"/>
      </rPr>
      <t>...</t>
    </r>
  </si>
  <si>
    <t>Pastas alimenticias sin cocer, rellenar ni preparar de otra forma, que contengan huevo</t>
  </si>
  <si>
    <r>
      <t xml:space="preserve">Faldas y faldas pantalón, de materia textil, para mujeres o niñas (exc. de lana o pelo fino,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</si>
  <si>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Anoraks, cazadoras y artículos simil., de punto de materia textil, para hombres o niños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</si>
  <si>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Construcciones prefabricadas, incluso completas o ensambladas (exc. ​​de madera y unidades </t>
    </r>
    <r>
      <rPr>
        <b/>
        <sz val="8"/>
        <color rgb="FF002B54"/>
        <rFont val="Calibri"/>
        <family val="2"/>
        <scheme val="minor"/>
      </rPr>
      <t>...</t>
    </r>
  </si>
  <si>
    <t>"Monos ""overoles"" y conjuntos de esquí, de punto"</t>
  </si>
  <si>
    <r>
      <t xml:space="preserve">"Frenos y servofrenos, así como sus partes, destinados a la industria de montaje: de motocultores,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</si>
  <si>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Fructosa sólida y jarabe de fructosa, sin adición de aromatizante ni colorante, con un contenido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</si>
  <si>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"Parafina, cera de petróleo microcristalina, ""slack wax"", ozoquerita, cera de lignito, cera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</si>
  <si>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Ventiladores (exc. de mesa, pie, pared, cielo raso, techo, tejado o ventana, con motor eléctrico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</si>
  <si>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Artículos de moblaje de punto (exc. mantas, ropa de cama, de mesa, de tocador o cocina, visillos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</si>
  <si>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y aparatos, de tipo industrial, para confitería, elaboración de cacao o la fabricación </t>
    </r>
    <r>
      <rPr>
        <b/>
        <sz val="8"/>
        <color rgb="FF002B54"/>
        <rFont val="Calibri"/>
        <family val="2"/>
        <scheme val="minor"/>
      </rPr>
      <t>...</t>
    </r>
  </si>
  <si>
    <t>Pelo fino, cardado o peinado (exc. lana y pelo de cabra de Cachemira)</t>
  </si>
  <si>
    <t>Bañadores para mujeres o niñas (exc. de punto)</t>
  </si>
  <si>
    <r>
      <t xml:space="preserve">Instrumentos y aparatos para medida o control del caudal o nivel de líquidos (exc. contadores </t>
    </r>
    <r>
      <rPr>
        <b/>
        <sz val="8"/>
        <color rgb="FF002B54"/>
        <rFont val="Calibri"/>
        <family val="2"/>
        <scheme val="minor"/>
      </rPr>
      <t>...</t>
    </r>
  </si>
  <si>
    <t>Tejidos de lino, con un contenido de lino &gt;= 85% en peso, crudos o blanqueados</t>
  </si>
  <si>
    <t>"Conjuntos de abrigo para entrenamiento o deporte ""chandales"", de punto, de algodón"</t>
  </si>
  <si>
    <t>Hilados de lino, retorcidos o cableados</t>
  </si>
  <si>
    <r>
      <t xml:space="preserve">Instrumentos y aparatos para navegación aérea o espacial (exc. brújulas y aparatos para 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</si>
  <si>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Convertidores catalíticos o filtros de partículas, incluso combinados, para depurar o filtrar </t>
    </r>
    <r>
      <rPr>
        <b/>
        <sz val="8"/>
        <color rgb="FF002B54"/>
        <rFont val="Calibri"/>
        <family val="2"/>
        <scheme val="minor"/>
      </rPr>
      <t>...</t>
    </r>
  </si>
  <si>
    <t>Vestidos de fibras artificiales, para mujeres o niñas (exc. de punto, así como combinaciones)</t>
  </si>
  <si>
    <t>Trenes de aterrizaje, y sus partes, para aeronaves, n.c.o.p.</t>
  </si>
  <si>
    <r>
      <t xml:space="preserve">Rodamientos, incl. los combinados (exc. rodamientos de bolas, de rodillos cónicos, incl. los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</si>
  <si>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Jugo de uva, incl. el mosto, sin fermentar y sin adición de alcohol, incl. con adición de azúcar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</si>
  <si>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Pinturas y barnices a base de polímeros sintéticos o naturales modificados, dispersos o disueltos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</si>
  <si>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fibras sintéticas discontinuas, con un contenido de fibras sintéticas discontinuas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</si>
  <si>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"Chaquetas ""sacos"" de lana o pelo fino, para hombres o niños (exc. de punto, así como cazadoras </t>
    </r>
    <r>
      <rPr>
        <b/>
        <sz val="8"/>
        <color rgb="FF002B54"/>
        <rFont val="Calibri"/>
        <family val="2"/>
        <scheme val="minor"/>
      </rPr>
      <t>...</t>
    </r>
  </si>
  <si>
    <t>Café tostado descafeinado</t>
  </si>
  <si>
    <r>
      <t xml:space="preserve">"Madera en bruto, incl. descortezada, desalburada o escuadrada (exc. de coníferas, de encina,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</si>
  <si>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Dispositivos de cristal líquido, n.c.o.p. y los demás instrumentos e aparatos de óptica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</si>
  <si>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Útiles de perforación o sondeo, intercambiables, incl. las partes, con parte operante de materias </t>
    </r>
    <r>
      <rPr>
        <b/>
        <sz val="8"/>
        <color rgb="FF002B54"/>
        <rFont val="Calibri"/>
        <family val="2"/>
        <scheme val="minor"/>
      </rPr>
      <t>...</t>
    </r>
  </si>
  <si>
    <t>Las demás alfombras y revestimientos para el suelo, de materia textil, incluso confeccionados</t>
  </si>
  <si>
    <r>
      <t xml:space="preserve">"Instrumentos y aparatos para análisis físicos o químicos que utilicen radiaciones ópticas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</si>
  <si>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y accesorios de impresoras, cilindros y otros componentes de la impresora de la partida </t>
    </r>
    <r>
      <rPr>
        <b/>
        <sz val="8"/>
        <color rgb="FF002B54"/>
        <rFont val="Calibri"/>
        <family val="2"/>
        <scheme val="minor"/>
      </rPr>
      <t>...</t>
    </r>
  </si>
  <si>
    <t>Tintas de imprenta, negras, incl. concentradas o sólidas</t>
  </si>
  <si>
    <t>Vasos, jarros y demás recipientes de cristal para beber (exc. de vitrocéramica)</t>
  </si>
  <si>
    <r>
      <t xml:space="preserve">"Chaquetas ""sacos"" de algodón, para hombres o niños (exc. de punto, cazadoras y artículos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</si>
  <si>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Coral y materias similares, en bruto o simplemente preparados, pero sin otro trabajo; valvas </t>
    </r>
    <r>
      <rPr>
        <b/>
        <sz val="8"/>
        <color rgb="FF002B54"/>
        <rFont val="Calibri"/>
        <family val="2"/>
        <scheme val="minor"/>
      </rPr>
      <t>...</t>
    </r>
  </si>
  <si>
    <t>Cajas de cojinetes sin rodamientos incorporados y cojinetes, para máquinas</t>
  </si>
  <si>
    <t>Multimetros con mecanismo de grabación</t>
  </si>
  <si>
    <r>
      <t xml:space="preserve">Partes de máquinas para lavar vajilla, de máquinas para empaquetar y de demás máquinas y aparatos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</si>
  <si>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Papel del tipo utilizado para papel higiénico, toallitas para desmaquillar, toallas, servilletas </t>
    </r>
    <r>
      <rPr>
        <b/>
        <sz val="8"/>
        <color rgb="FF002B54"/>
        <rFont val="Calibri"/>
        <family val="2"/>
        <scheme val="minor"/>
      </rPr>
      <t>...</t>
    </r>
  </si>
  <si>
    <t>"Neumáticos ""llantas neumáticas"" nuevos de caucho, de los tipos utilizados en aeronaves"</t>
  </si>
  <si>
    <r>
      <t xml:space="preserve">Termómetros y pirómetros, sin combinar con otros instrumentos (exc. termómetros de líquido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</si>
  <si>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"Espectrómetros, espectrofotómetros y espectrógrafos que utilicen radiaciones ópticas ""UV,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</si>
  <si>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"Productos planos de hierro o acero sin alear, de anchura &lt; 600 mm, simplemente laminados en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</si>
  <si>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Monedas de oro; monedas de curso legal (exc. condecoraciones, artículos de joyería hechos con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</si>
  <si>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con un alto contenido de fibras sintéticas discontinuas, pero &lt; 85% en peso, mezclados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</si>
  <si>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Bandejas, fuentes y platos, tazas, vasos y artículos simil.,de papel o cartón (exc. de papel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</si>
  <si>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Instrumentos y aparatos para análisis físicos o químicos, para ensayo de viscosidad, porosidad, </t>
    </r>
    <r>
      <rPr>
        <b/>
        <sz val="8"/>
        <color rgb="FF002B54"/>
        <rFont val="Calibri"/>
        <family val="2"/>
        <scheme val="minor"/>
      </rPr>
      <t>...</t>
    </r>
  </si>
  <si>
    <t>Aparatos de rayos X (exc. para uso médico, quirúrgico, odontológico o veterinario)</t>
  </si>
  <si>
    <t>Poliamidas-6, -11, -12, -6,6, -6,9, -6,10, ó -6,12, en formas primarias</t>
  </si>
  <si>
    <t>Caballos vivos (excepto los de pura raza para reproducción)</t>
  </si>
  <si>
    <t>Pastas alimenticias cocidas o preparadas de otra forma (exc. las rellenas)</t>
  </si>
  <si>
    <t>Cromatógrafos y aparatos de electroforesis</t>
  </si>
  <si>
    <r>
      <t xml:space="preserve">Aparatos para la transmisión o recepción de voz, imagenes u otros datos, incl. aparatos de </t>
    </r>
    <r>
      <rPr>
        <b/>
        <sz val="8"/>
        <color rgb="FF002B54"/>
        <rFont val="Calibri"/>
        <family val="2"/>
        <scheme val="minor"/>
      </rPr>
      <t>...</t>
    </r>
  </si>
  <si>
    <t>Trigo y morcajo (exc. ??las de siembra para la siembra, y el trigo duro)</t>
  </si>
  <si>
    <t>"Partes de prendas o de complementos ""accesorios"" de vestir, de punto, n.c.o.p."</t>
  </si>
  <si>
    <t>Jabón en copos, en gránulos, en polvo, en pasta o en disolución acuosa</t>
  </si>
  <si>
    <t>"Fécula de patata ""papa"""</t>
  </si>
  <si>
    <r>
      <t xml:space="preserve">Hilados de fibras artificiales discontinuas, acondicionados para la venta al por menor (exc. </t>
    </r>
    <r>
      <rPr>
        <b/>
        <sz val="8"/>
        <color rgb="FF002B54"/>
        <rFont val="Calibri"/>
        <family val="2"/>
        <scheme val="minor"/>
      </rPr>
      <t>...</t>
    </r>
  </si>
  <si>
    <t>Tintas de imprenta, incl. concentradas o sólidas (exc. negras)</t>
  </si>
  <si>
    <t>Caballos reproductores de raza pura</t>
  </si>
  <si>
    <t>Rodamientos de rodillos cónicos, incl. los ensamblados de conos y rodillos cónicos</t>
  </si>
  <si>
    <r>
      <t xml:space="preserve">Orquestriones, organillos, pájaros cantores, sierras musicales y demás instrumentos musicales,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</si>
  <si>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Calzado con suela de caucho o plástico y parte superior de materia distinto del caucho, el </t>
    </r>
    <r>
      <rPr>
        <b/>
        <sz val="8"/>
        <color rgb="FF002B54"/>
        <rFont val="Calibri"/>
        <family val="2"/>
        <scheme val="minor"/>
      </rPr>
      <t>...</t>
    </r>
  </si>
  <si>
    <t>Grañones y sémola, de trigo</t>
  </si>
  <si>
    <r>
      <t xml:space="preserve">Tubos de caucho vulcanizado sin endurecer, reforzados o combinados de otro modo solamente con </t>
    </r>
    <r>
      <rPr>
        <b/>
        <sz val="8"/>
        <color rgb="FF002B54"/>
        <rFont val="Calibri"/>
        <family val="2"/>
        <scheme val="minor"/>
      </rPr>
      <t>...</t>
    </r>
  </si>
  <si>
    <t>"Arandelas de muelle ""resorte"" y las demás de seguridad, de fundición, hierro o acero"</t>
  </si>
  <si>
    <t>Esculturas y estatuas originales, en cualquier material, con las de más de 100 años de antigüedad</t>
  </si>
  <si>
    <r>
      <t xml:space="preserve">Muelas y artículos simil., sin bastidor, para triturar, afilar, pulir, rectificar, cortar 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</si>
  <si>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Instrumentos y aparatos de geodesia, topografía, agrimensura, nivelación, hidrografía, oceanografía, </t>
    </r>
    <r>
      <rPr>
        <b/>
        <sz val="8"/>
        <color rgb="FF002B54"/>
        <rFont val="Calibri"/>
        <family val="2"/>
        <scheme val="minor"/>
      </rPr>
      <t>...</t>
    </r>
  </si>
  <si>
    <t>Máquinas y aparatos mecánicos, n.c.o.p.</t>
  </si>
  <si>
    <t>Asientos de los tipos utilizados en vehículos automóviles</t>
  </si>
  <si>
    <r>
      <t xml:space="preserve">Tapicería tejida a mano (gobelinos, Flandes, Aubusson, Beauvais y similares) y tapicería de </t>
    </r>
    <r>
      <rPr>
        <b/>
        <sz val="8"/>
        <color rgb="FF002B54"/>
        <rFont val="Calibri"/>
        <family val="2"/>
        <scheme val="minor"/>
      </rPr>
      <t>...</t>
    </r>
  </si>
  <si>
    <t>Miel natural</t>
  </si>
  <si>
    <t>Vestidos de lana o pelo fino, para mujeres o niñas (exc. de punto, así como combinaciones)</t>
  </si>
  <si>
    <t>Rodamientos de bolas</t>
  </si>
  <si>
    <t>Azúcar de caña o remolacha, sólido, con adición de aromatizante o colorante</t>
  </si>
  <si>
    <t>Partes de motores y de máquinas motrices, n.c.o.p.</t>
  </si>
  <si>
    <r>
      <t xml:space="preserve">Paletas, paletas caja y demás plataformas para carga, de madera; collarines para paletas,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</si>
  <si>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Colorantes básicos sintéticos orgánicos; preparaciones a base de colorantes básicos sintéticos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</si>
  <si>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Camarones y langostinos, preparados o conservados, no en envases herméticamente cerrados (sin </t>
    </r>
    <r>
      <rPr>
        <b/>
        <sz val="8"/>
        <color rgb="FF002B54"/>
        <rFont val="Calibri"/>
        <family val="2"/>
        <scheme val="minor"/>
      </rPr>
      <t>...</t>
    </r>
  </si>
  <si>
    <t>Máquinas y aparatos para ensayo de las propiedades mecánicas de materiales (exc. de metales)</t>
  </si>
  <si>
    <t>Muebles de plástico (exc. asientos y mobiliario para medicina, cirugía, odontología o veterinaria)</t>
  </si>
  <si>
    <t>Partes y accesorios de instrumentos y aparatos para regulación o control, n.c.o.p.</t>
  </si>
  <si>
    <r>
      <t xml:space="preserve">Camisones y pijamas, de materia textil, para mujeres o niñas (exc. de algodón, de fibras sintéticas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</si>
  <si>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Productos y preparaciones orgánicos tensoactivos para el lavado de la piel, líquidos o en crema, </t>
    </r>
    <r>
      <rPr>
        <b/>
        <sz val="8"/>
        <color rgb="FF002B54"/>
        <rFont val="Calibri"/>
        <family val="2"/>
        <scheme val="minor"/>
      </rPr>
      <t>...</t>
    </r>
  </si>
  <si>
    <t>Compresores de los tipos utilizados en los equipos frigoríficos</t>
  </si>
  <si>
    <r>
      <t xml:space="preserve">Partes y accesorios de impresoras, fotocopiadoras y máquinas facsímiles, n.c.o.p. (exc. máquinaria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</si>
  <si>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Vidrio contrachapado (exc. de dimensiones y formatos que permitan su empleo en automóviles, </t>
    </r>
    <r>
      <rPr>
        <b/>
        <sz val="8"/>
        <color rgb="FF002B54"/>
        <rFont val="Calibri"/>
        <family val="2"/>
        <scheme val="minor"/>
      </rPr>
      <t>...</t>
    </r>
  </si>
  <si>
    <t>Ropa de cama de algodón, estampada (exc. de punto)</t>
  </si>
  <si>
    <t>Té verde sin fermentar, presentado en envases inmediatos con un contenido &gt; 3 kg</t>
  </si>
  <si>
    <r>
      <t xml:space="preserve">Piedra de talla, natural, distintas de las piedras calizas, el granito y la pizarra, de cualquier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</si>
  <si>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Flejes de coníferas; rodrigones hendidos; estacas y estaquillas de coníferas, apuntadas, sin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</si>
  <si>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automáticas para tratamiento o procesamiento de datos, digitales, que incluyan en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</si>
  <si>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"Fajas y fajas braga ""fajas bombacha"" de todo tipo de materia textil, incl. elásticas y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</si>
  <si>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Placebos y kits de ensayos clínicos ciegos o doble ciego para un ensayo clínico reconocido,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</si>
  <si>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Instrumentos opticos, aplicaciones y maquinas de medidas o revisión, sin ningún capitulo 90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</si>
  <si>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"Combinaciones y enaguas, de punto, de materia textil, para mujeres o niñas (exc. de fibras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</si>
  <si>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Artículos de moblaje de fibras sintéticas (exc. de punto, así como mantas, ropa de cama, de </t>
    </r>
    <r>
      <rPr>
        <b/>
        <sz val="8"/>
        <color rgb="FF002B54"/>
        <rFont val="Calibri"/>
        <family val="2"/>
        <scheme val="minor"/>
      </rPr>
      <t>...</t>
    </r>
  </si>
  <si>
    <t>Cebos fulminantes (exc. vainas con cebos fulminantes)</t>
  </si>
  <si>
    <r>
      <t xml:space="preserve">"Nabos forrajeros, remolachas forrajeras, raíces forrajeras, heno, alfalfa, trébol, esparceta, </t>
    </r>
    <r>
      <rPr>
        <b/>
        <sz val="8"/>
        <color rgb="FF002B54"/>
        <rFont val="Calibri"/>
        <family val="2"/>
        <scheme val="minor"/>
      </rPr>
      <t>...</t>
    </r>
  </si>
  <si>
    <t>Collages y placas decorativas similares (exc. de antigüedad de más de 100 años y mosaicos)</t>
  </si>
  <si>
    <t>Cajones, cajas, jaulas, tambores y envases simil., de madera; carretes para cables, de madera</t>
  </si>
  <si>
    <r>
      <t xml:space="preserve">"Calzas, ""panty-medias"" y leotardos, de punto, de materia textil (exc. calcetines de fibras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</si>
  <si>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Tornillos y pernos, roscados, de fundición, hierro o acero, incl. con sus tuercas y arandelas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</si>
  <si>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de lana cardada, con un contenido de lana &gt;= 85% en peso (exc. acondicionados para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</si>
  <si>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"Aparatos de electrodiagnóstico, incl. los aparatos par exploración funcional o para vigilancia </t>
    </r>
    <r>
      <rPr>
        <b/>
        <sz val="8"/>
        <color rgb="FF002B54"/>
        <rFont val="Calibri"/>
        <family val="2"/>
        <scheme val="minor"/>
      </rPr>
      <t>...</t>
    </r>
  </si>
  <si>
    <t>Las demás manufacturas de vidrio</t>
  </si>
  <si>
    <r>
      <t xml:space="preserve">"Harina, polvo y ""pellets"", de carne o de despojos, impropios para la alimentación humana;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</si>
  <si>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"Prendas de vestir y demás complementos ""accesorios"" de vestir, para cualquier uso, de caucho </t>
    </r>
    <r>
      <rPr>
        <b/>
        <sz val="8"/>
        <color rgb="FF002B54"/>
        <rFont val="Calibri"/>
        <family val="2"/>
        <scheme val="minor"/>
      </rPr>
      <t>...</t>
    </r>
  </si>
  <si>
    <t>Alfombras de nudo de materia textil, incl. confeccionadas (exc. de lana o pelo fino)</t>
  </si>
  <si>
    <r>
      <t xml:space="preserve">Manufacturas de yeso fraguable o de preparaciones a base de yeso fraguable (exc. vendas enyesadas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</si>
  <si>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Prendas y complementos de vestir de materias textiles (excepto los de algodón o de fibras sintéticas,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</si>
  <si>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"Hilados de algodón, con un alto contenido de algodón, pero &lt; 85% en peso, retorcidos o cableados,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</si>
  <si>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"Pepinos de mar ahumados, congelados, secos, salados o en salmuera ""japonicus Stichopus,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</si>
  <si>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Guantes, manoplas y manoplas, de algodón, de punto (exc. ​​impregnados, recubiertos, revestidos </t>
    </r>
    <r>
      <rPr>
        <b/>
        <sz val="8"/>
        <color rgb="FF002B54"/>
        <rFont val="Calibri"/>
        <family val="2"/>
        <scheme val="minor"/>
      </rPr>
      <t>...</t>
    </r>
  </si>
  <si>
    <t>"Monos ""overoles"" y conjuntos de esquí (exc. de punto)"</t>
  </si>
  <si>
    <t>Máquinas y aparatos para la preparación o fabricación industrial de alimentos o bebidas, n.c.o.p.</t>
  </si>
  <si>
    <r>
      <t xml:space="preserve">Tapioca y sus sucedáneos preparados con fécula, en copos, grumos, granos perlados, cerniduras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</si>
  <si>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Imanes permanentes y artículos destinados a ser imantados permanentemente, de metal (exc. platos,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</si>
  <si>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Micrótomos, sus partes y accesorios; partes y accesorios de polarímetros, refractómetros, espectrómetros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</si>
  <si>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Calzado con parte superior de cuero natural o regenerado (exc. con suela de caucho, plástico,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</si>
  <si>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"Automóviles de turismo, incl. los del tipo familiar ""break"" o ""station wagon"" y los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</si>
  <si>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Esparadrapos, sinapismos, guatas, gasas, vendas y artículos simil., impregnados o recubiertos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</si>
  <si>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"Máquinas automáticas para tratamiento o procesamiento de datos, digitales, presentadas con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</si>
  <si>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Algas marinas y otras algas, frescas, refrigeradas, congeladas o secas, con o sin tierra, apta </t>
    </r>
    <r>
      <rPr>
        <b/>
        <sz val="8"/>
        <color rgb="FF002B54"/>
        <rFont val="Calibri"/>
        <family val="2"/>
        <scheme val="minor"/>
      </rPr>
      <t>...</t>
    </r>
  </si>
  <si>
    <t>Almejas, berberechos y arcas, preparados o conservados (excepto ahumado)</t>
  </si>
  <si>
    <r>
      <t xml:space="preserve">Materiales, máquinas y aparatos para producción de frío (exc. grupos frigoríficos de compresión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</si>
  <si>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lana cardada o pelo fino cardado, con un contenido de lana o pelo fino &gt;= 85% en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</si>
  <si>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Bordados de algodón, sobre materia textil, en pieza, tiras o motivos (exc. bordados químicos </t>
    </r>
    <r>
      <rPr>
        <b/>
        <sz val="8"/>
        <color rgb="FF002B54"/>
        <rFont val="Calibri"/>
        <family val="2"/>
        <scheme val="minor"/>
      </rPr>
      <t>...</t>
    </r>
  </si>
  <si>
    <t>Preparaciones a base de extractos, esencias o concentrados de café o a base de café</t>
  </si>
  <si>
    <r>
      <t xml:space="preserve">"Carne fresca o refrigerada, incluso picada, de merluza negra ""Dissostichus spp."" (Excepto </t>
    </r>
    <r>
      <rPr>
        <b/>
        <sz val="8"/>
        <color rgb="FF002B54"/>
        <rFont val="Calibri"/>
        <family val="2"/>
        <scheme val="minor"/>
      </rPr>
      <t>...</t>
    </r>
  </si>
  <si>
    <t>Relés, para una tensión &lt;= 60 V</t>
  </si>
  <si>
    <r>
      <t xml:space="preserve">Abrigos, abrigos, capas, capas, anoraks, para mujeres o niñas, incl. chaquetas de esquí, rompevientos, </t>
    </r>
    <r>
      <rPr>
        <b/>
        <sz val="8"/>
        <color rgb="FF002B54"/>
        <rFont val="Calibri"/>
        <family val="2"/>
        <scheme val="minor"/>
      </rPr>
      <t>...</t>
    </r>
  </si>
  <si>
    <t>Cebada, para siembra</t>
  </si>
  <si>
    <t>Elementos y dispositivos de fijación, sin roscar, de fundición, hierro o acero, n.c.o.p.</t>
  </si>
  <si>
    <r>
      <t xml:space="preserve">Guarniciones, herrajes y artículos simil., de metal común (exc. para vehículos automóviles, </t>
    </r>
    <r>
      <rPr>
        <b/>
        <sz val="8"/>
        <color rgb="FF002B54"/>
        <rFont val="Calibri"/>
        <family val="2"/>
        <scheme val="minor"/>
      </rPr>
      <t>...</t>
    </r>
  </si>
  <si>
    <t>"Sacos ""bolsas"" y talegas, para envasar, de algodón"</t>
  </si>
  <si>
    <r>
      <t xml:space="preserve">Tejidos con un alto contenido de lana cardada o pelo fino cardado, pero &lt; 85% en peso (exc. </t>
    </r>
    <r>
      <rPr>
        <b/>
        <sz val="8"/>
        <color rgb="FF002B54"/>
        <rFont val="Calibri"/>
        <family val="2"/>
        <scheme val="minor"/>
      </rPr>
      <t>...</t>
    </r>
  </si>
  <si>
    <t>"Arandelas, de fundición, hierro o acero (exc. de muelle ""resorte"" y las demás de seguridad)"</t>
  </si>
  <si>
    <r>
      <t xml:space="preserve">Pórfido, basalto y demás piedras de talla o de construcción, incl. desbastadas o simplemente </t>
    </r>
    <r>
      <rPr>
        <b/>
        <sz val="8"/>
        <color rgb="FF002B54"/>
        <rFont val="Calibri"/>
        <family val="2"/>
        <scheme val="minor"/>
      </rPr>
      <t>...</t>
    </r>
  </si>
  <si>
    <t>Semillas de comino, triturada o pulverizada</t>
  </si>
  <si>
    <t>"Masilla, cementos de resina y demás mástiques; plastes ""enduidos"" utilizados en pintura"</t>
  </si>
  <si>
    <r>
      <t xml:space="preserve">Corcho aglomerado, incl. con aglutinante, y manufacturas de corcho aglomerado (exc. calzado </t>
    </r>
    <r>
      <rPr>
        <b/>
        <sz val="8"/>
        <color rgb="FF002B54"/>
        <rFont val="Calibri"/>
        <family val="2"/>
        <scheme val="minor"/>
      </rPr>
      <t>...</t>
    </r>
  </si>
  <si>
    <t>Prendas de vestir confeccionadas con tejidos de punto de las partidas 5903, 5906 ó 5907</t>
  </si>
  <si>
    <r>
      <t xml:space="preserve">Juegos o surtidos de viaje para aseo personal, costura o limpieza del calzado o de prendas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</si>
  <si>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"Útiles de taladrar, intercambiables (exc. de perforación o sondeo, así como de roscar ""incl.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</si>
  <si>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"Chaquetas ""sacos"" de punto, de materia textil, para mujeres o niñas (exc. de lana o pelo </t>
    </r>
    <r>
      <rPr>
        <b/>
        <sz val="8"/>
        <color rgb="FF002B54"/>
        <rFont val="Calibri"/>
        <family val="2"/>
        <scheme val="minor"/>
      </rPr>
      <t>...</t>
    </r>
  </si>
  <si>
    <t>Etiquetas de todas clases, de papel o cartón, impresas</t>
  </si>
  <si>
    <t>Máquinas y aparatos de elevación, carga, descarga o manipulación, n.c.o.p.</t>
  </si>
  <si>
    <r>
      <t xml:space="preserve">"Hilados de algodón, retorcidos o cableados, de fibras sin peinar, con un contenido de algodón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</si>
  <si>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Cascos sin forma ni acabado, platos (discos) y cilindros, aunque estén cortados en el sentido </t>
    </r>
    <r>
      <rPr>
        <b/>
        <sz val="8"/>
        <color rgb="FF002B54"/>
        <rFont val="Calibri"/>
        <family val="2"/>
        <scheme val="minor"/>
      </rPr>
      <t>...</t>
    </r>
  </si>
  <si>
    <t>Analizadores de gases o humos</t>
  </si>
  <si>
    <t>mosquiteros, de punto por urdimbre, antimalárico</t>
  </si>
  <si>
    <r>
      <t xml:space="preserve">"Chaquetas ""sacos"" de punto, de lana o pelo fino, para hombres o niños (exc. cazadoras y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</si>
  <si>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"Chaquetas ""sacos"" de punto, de fibras sintéticas, para hombres o niños (exc. cazadoras y </t>
    </r>
    <r>
      <rPr>
        <b/>
        <sz val="8"/>
        <color rgb="FF002B54"/>
        <rFont val="Calibri"/>
        <family val="2"/>
        <scheme val="minor"/>
      </rPr>
      <t>...</t>
    </r>
  </si>
  <si>
    <t>Unidades de memoria para máquinas automáticas para tratamiento o procesamiento de datos, digitales</t>
  </si>
  <si>
    <r>
      <t xml:space="preserve">Cueros preparados después del curtido o del secado y cueros y pieles apergaminados, de ovino, </t>
    </r>
    <r>
      <rPr>
        <b/>
        <sz val="8"/>
        <color rgb="FF002B54"/>
        <rFont val="Calibri"/>
        <family val="2"/>
        <scheme val="minor"/>
      </rPr>
      <t>...</t>
    </r>
  </si>
  <si>
    <t>Preparaciones para sopas, potajes o caldos</t>
  </si>
  <si>
    <t>Bastones, bastones asiento, látigos, fustas y artículos similares</t>
  </si>
  <si>
    <r>
      <t xml:space="preserve">Artículos para servicio de mesa o cocina, de porcelana (exc. objetos de adorno; cántaros, bombonas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</si>
  <si>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Fieltro, sin impregnar, recubrir, revestir ni estratificar, de lana o pelo fino, n.c.o.p. (exc. </t>
    </r>
    <r>
      <rPr>
        <b/>
        <sz val="8"/>
        <color rgb="FF002B54"/>
        <rFont val="Calibri"/>
        <family val="2"/>
        <scheme val="minor"/>
      </rPr>
      <t>...</t>
    </r>
  </si>
  <si>
    <t>Ropa de cama de fibras sintéticas o artificiales, estampada (exc. de punto)</t>
  </si>
  <si>
    <t>"Edredones, colchas, edredones y edredones ""edredones"""</t>
  </si>
  <si>
    <t>"Fajas sostén ""fajas corpiño"" de todo tipo de materia textil, incl. elásticas y de punto"</t>
  </si>
  <si>
    <t>Ron y otros espiritus obtenidos de productos de caña de azucar, destilados y fermentados</t>
  </si>
  <si>
    <t>"Caballa ""Scomber scombrus, Scomber australasicus, Scomber japonicus"" congelada"</t>
  </si>
  <si>
    <t>Harina de trigo o de morcajo (tranquillón)</t>
  </si>
  <si>
    <r>
      <t xml:space="preserve">Máquinas y aparatos para panadería, pastelería, galletería o la fabricación de pastas alimenticias </t>
    </r>
    <r>
      <rPr>
        <b/>
        <sz val="8"/>
        <color rgb="FF002B54"/>
        <rFont val="Calibri"/>
        <family val="2"/>
        <scheme val="minor"/>
      </rPr>
      <t>...</t>
    </r>
  </si>
  <si>
    <t>Puertas, ventanas, y sus marcos, contramarcos y umbrales, de plástico</t>
  </si>
  <si>
    <r>
      <t xml:space="preserve">"Medias, calcetines y artículos simil., incl. para varices, de punto, de materia textil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</si>
  <si>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"Luminarias y aparatos de iluminación, exclusivamente para fuentes luminosas de diodos emisores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</si>
  <si>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Frigoríficos-congeladores combinados, con puertas o cajones exteriores independientes, o combinaciones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</si>
  <si>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"Hortalizas de vaina, incl. ""silvestres"", aunque estén desvainadas, frescas o refrigeradas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</si>
  <si>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"Chaquetas ""sacos"" de fibras sintéticas, para hombres o niños (exc. de punto, cazadoras y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</si>
  <si>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Modelos para metal o carburos metálicos (exc. de grafito u otros carbonos, de materia cerámica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</si>
  <si>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Diarios y publicaciones periódicas, impresos, incl. ilustrados o con publicidad (exc. los que </t>
    </r>
    <r>
      <rPr>
        <b/>
        <sz val="8"/>
        <color rgb="FF002B54"/>
        <rFont val="Calibri"/>
        <family val="2"/>
        <scheme val="minor"/>
      </rPr>
      <t>...</t>
    </r>
  </si>
  <si>
    <t>Los demás compuestos orgánicos</t>
  </si>
  <si>
    <t>Rodamientos de rollos cilíndricos</t>
  </si>
  <si>
    <r>
      <t xml:space="preserve">"Relojes de bolsillo y simil., incl. los contadores de tiempo de los mismos tipos, manuales </t>
    </r>
    <r>
      <rPr>
        <b/>
        <sz val="8"/>
        <color rgb="FF002B54"/>
        <rFont val="Calibri"/>
        <family val="2"/>
        <scheme val="minor"/>
      </rPr>
      <t>...</t>
    </r>
  </si>
  <si>
    <t>Bañadores de punto, de materia textil, para mujeres o niñas (exc. de fibras sintéticas)</t>
  </si>
  <si>
    <r>
      <t xml:space="preserve">Tejidos con un alto contenido de lana cardada o pelo fino cardado, pero &lt; 85% en peso, mezclados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</si>
  <si>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Mamíferos vivos (exc. ??primates, ballenas, delfines y marsopas, manatíes y dugongos, focas,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</si>
  <si>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Colorantes dispersos sintéticos orgánicos; preparaciones a base de colorantes dispersos sintéticos </t>
    </r>
    <r>
      <rPr>
        <b/>
        <sz val="8"/>
        <color rgb="FF002B54"/>
        <rFont val="Calibri"/>
        <family val="2"/>
        <scheme val="minor"/>
      </rPr>
      <t>...</t>
    </r>
  </si>
  <si>
    <t>Impresos publicitarios, catálogos comerciales y simil.</t>
  </si>
  <si>
    <t>Tabaco, sin desvenar o desnervar</t>
  </si>
  <si>
    <r>
      <t xml:space="preserve">Hilados de lana cardada, con un alto contenido de lana, pero &lt; 85% en peso (exc. acondicionados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</si>
  <si>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Embragues y sus partes, para tractores, vehículos automóviles para transporte de &gt;= 10 personas,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</si>
  <si>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Trajes sastre, de algodón, para mujeres o niñas (exc. de punto, así como monos de esquí y trajes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</si>
  <si>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"Envases, incl. las fundas para discos, de papel, cartón, guata de celulosa o napa de fibra </t>
    </r>
    <r>
      <rPr>
        <b/>
        <sz val="8"/>
        <color rgb="FF002B54"/>
        <rFont val="Calibri"/>
        <family val="2"/>
        <scheme val="minor"/>
      </rPr>
      <t>...</t>
    </r>
  </si>
  <si>
    <t>Conductores eléctricos, para una tensión &lt;= 1 000 V, provistos de piezas de conexión, n.c.o.p.</t>
  </si>
  <si>
    <t>"Sacos ""bolsas"" de dormir, incl. con sistema eléctrico de calefacción"</t>
  </si>
  <si>
    <r>
      <t xml:space="preserve">Urdimbre pila, de algodón (excepto con bucles del tipo Tejidos, Tejidos con bucles, y las cintas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</si>
  <si>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"Calzas, ""panty-medias"" y leotardos, de punto, de fibras sintéticas, de título &lt; 67 decitex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</si>
  <si>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"Fresas ""frutillas"", preparadas o conservadas, incl. con adición de azúcar u otro edulcorante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</si>
  <si>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Guantes, mitones y manoplas, de cuero natural cuero regenerado (exc. concebidos especialmente </t>
    </r>
    <r>
      <rPr>
        <b/>
        <sz val="8"/>
        <color rgb="FF002B54"/>
        <rFont val="Calibri"/>
        <family val="2"/>
        <scheme val="minor"/>
      </rPr>
      <t>...</t>
    </r>
  </si>
  <si>
    <t>"Pimienta del género ""Piper"", triturada o pulverizada"</t>
  </si>
  <si>
    <t>Puertas y sus marcos y umbrales, de madera (exc. ​​de madera tropical)</t>
  </si>
  <si>
    <r>
      <t xml:space="preserve">Cueros preparados después del curtido o del secado y cueros y pieles apergaminados, enteros,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</si>
  <si>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Grasas y aceites de origen vegetal y sus fracciones, parcial o totalmente hidrogenados, interesterificados,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</si>
  <si>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Colchas de todo tipo de materia textil (exc. de punto, así como ropa de cama, cubrepiés 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</si>
  <si>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"Conjuntos de algodón, para hombres o niños (exc. de punto, monos ""overoles"", conjuntos de </t>
    </r>
    <r>
      <rPr>
        <b/>
        <sz val="8"/>
        <color rgb="FF002B54"/>
        <rFont val="Calibri"/>
        <family val="2"/>
        <scheme val="minor"/>
      </rPr>
      <t>...</t>
    </r>
  </si>
  <si>
    <t>Desperdicios y desechos, de níquel</t>
  </si>
  <si>
    <r>
      <t xml:space="preserve">"Máquinas herramienta para trabajar piedra, hormigón, amiantocemento o materias minerales simil. </t>
    </r>
    <r>
      <rPr>
        <b/>
        <sz val="8"/>
        <color rgb="FF002B54"/>
        <rFont val="Calibri"/>
        <family val="2"/>
        <scheme val="minor"/>
      </rPr>
      <t>...</t>
    </r>
  </si>
  <si>
    <t>Contadores de líquido, incl. los de calibración</t>
  </si>
  <si>
    <t>Extracto de quebracho</t>
  </si>
  <si>
    <r>
      <t xml:space="preserve">Continentes intermedios flexibles para productos a granel, para envasar, de materia textil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</si>
  <si>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Circuitos electrónicos integrados (exc. como procesadores, controladores, memórias y ampli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</si>
  <si>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identificables como destinadas, exclusiva o principalmente, a los aparatos de las partidas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</si>
  <si>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"Baúles, maletas ""valijas"", maletines, incl. los de aseo y los portadocumentos, portafolios </t>
    </r>
    <r>
      <rPr>
        <b/>
        <sz val="8"/>
        <color rgb="FF002B54"/>
        <rFont val="Calibri"/>
        <family val="2"/>
        <scheme val="minor"/>
      </rPr>
      <t>...</t>
    </r>
  </si>
  <si>
    <t>Bañadores para hombres o niños (exc. de punto)</t>
  </si>
  <si>
    <t>Hilos y cuerdas de caucho, revestidos de textiles</t>
  </si>
  <si>
    <t>Calendarios de cualquier clase impresos, incluidos los tacos de calendario</t>
  </si>
  <si>
    <r>
      <t xml:space="preserve">Conjuntos de algodón, para mujeres o niñas (exc. de punto, así como conjuntos de esquí y trajes </t>
    </r>
    <r>
      <rPr>
        <b/>
        <sz val="8"/>
        <color rgb="FF002B54"/>
        <rFont val="Calibri"/>
        <family val="2"/>
        <scheme val="minor"/>
      </rPr>
      <t>...</t>
    </r>
  </si>
  <si>
    <t>Lechugas repolladas, frescas o refrigeradas</t>
  </si>
  <si>
    <t>Antigüedades, de más de 100 pero como máximo 250 años</t>
  </si>
  <si>
    <r>
      <t xml:space="preserve">Máquinas cuyas plataformas tengan dos o mas funciones de impresión, copia o transmisión, capaz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</si>
  <si>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Pigmentos, incl. el polvo y escamillas metálicos, dispersos en medios no acuosos, líquidos </t>
    </r>
    <r>
      <rPr>
        <b/>
        <sz val="8"/>
        <color rgb="FF002B54"/>
        <rFont val="Calibri"/>
        <family val="2"/>
        <scheme val="minor"/>
      </rPr>
      <t>...</t>
    </r>
  </si>
  <si>
    <t>Rododendros y azaleas, incl. injertados</t>
  </si>
  <si>
    <t>"Salmones del Pacífico (excluido el salmón rojo, ""rojo salmón"") congelados"</t>
  </si>
  <si>
    <t>Láseres (exc. los diodos láser)</t>
  </si>
  <si>
    <t>Garbanzos secos desvainados, aunque estén mondados o partidos</t>
  </si>
  <si>
    <r>
      <t xml:space="preserve">Tejidos de algodón, con un contenido de algodón &gt;= 85% en peso, de peso &lt;= 200 g/m², blanqueados </t>
    </r>
    <r>
      <rPr>
        <b/>
        <sz val="8"/>
        <color rgb="FF002B54"/>
        <rFont val="Calibri"/>
        <family val="2"/>
        <scheme val="minor"/>
      </rPr>
      <t>...</t>
    </r>
  </si>
  <si>
    <t>Manufacturas de porcelana, n.c.o.p.</t>
  </si>
  <si>
    <r>
      <t xml:space="preserve">Partes de diodos, de transistores y de dispositivos de material semiconductor simil., partes </t>
    </r>
    <r>
      <rPr>
        <b/>
        <sz val="8"/>
        <color rgb="FF002B54"/>
        <rFont val="Calibri"/>
        <family val="2"/>
        <scheme val="minor"/>
      </rPr>
      <t>...</t>
    </r>
  </si>
  <si>
    <t>Bañadores de punto, de fibras sintéticas, para hombres o para niños</t>
  </si>
  <si>
    <r>
      <t xml:space="preserve">"Papel, cartón, guata de celulosa y napa de fibra de celulosa, en tiras o en bobinas ""rollos"" </t>
    </r>
    <r>
      <rPr>
        <b/>
        <sz val="8"/>
        <color rgb="FF002B54"/>
        <rFont val="Calibri"/>
        <family val="2"/>
        <scheme val="minor"/>
      </rPr>
      <t>...</t>
    </r>
  </si>
  <si>
    <t>Hígados de pescado frescos o refrigerados, huevas y leche</t>
  </si>
  <si>
    <t>Artículos para oficina y artículos escolares, de plástico, n.c.o.p.</t>
  </si>
  <si>
    <t>Pipas (incluidas las cazoletas), boquillas para cigarros (puros) o cigarrillos, y sus partes</t>
  </si>
  <si>
    <t>Marcos de madera para cuadros, fotografías, espejos u objetos similares (exc. de madera tropical)</t>
  </si>
  <si>
    <r>
      <t xml:space="preserve">Monofilamentos cuya mayor dimensión del corte transversal sea &gt; 1 mm, barras, varillas y perfiles, </t>
    </r>
    <r>
      <rPr>
        <b/>
        <sz val="8"/>
        <color rgb="FF002B54"/>
        <rFont val="Calibri"/>
        <family val="2"/>
        <scheme val="minor"/>
      </rPr>
      <t>...</t>
    </r>
  </si>
  <si>
    <t>Muebles de madera de los tipos utilizados en oficinas (exc. asientos)</t>
  </si>
  <si>
    <r>
      <t xml:space="preserve">Placas, láminas, hojas, cintas, tiras y demás formas planas, autoadhesivas, de plástico, incl.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</si>
  <si>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Filetes congelados de pescado de las familias Bregmacerotidae, Euclichthyidae, Gadidae, Macrouridae,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</si>
  <si>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"Libros registro, libros de contabilidad, talonarios ""de notas, pedidos o recibos"", bloques </t>
    </r>
    <r>
      <rPr>
        <b/>
        <sz val="8"/>
        <color rgb="FF002B54"/>
        <rFont val="Calibri"/>
        <family val="2"/>
        <scheme val="minor"/>
      </rPr>
      <t>...</t>
    </r>
  </si>
  <si>
    <t>Hilo de coser de algodón, acondicionado para la venta al por menor</t>
  </si>
  <si>
    <t>Aparatos de alumbrado no eléctricos, n.c.o.p.</t>
  </si>
  <si>
    <r>
      <t xml:space="preserve">"Alfombras y demás revestimientos para el suelo, de materia textil vegetal o de pelo ordinario, </t>
    </r>
    <r>
      <rPr>
        <b/>
        <sz val="8"/>
        <color rgb="FF002B54"/>
        <rFont val="Calibri"/>
        <family val="2"/>
        <scheme val="minor"/>
      </rPr>
      <t>...</t>
    </r>
  </si>
  <si>
    <t>Válvulas reductoras de presión</t>
  </si>
  <si>
    <r>
      <t xml:space="preserve">Aparatos receptores para televisión en color, sin radio receptor incorporado, aparatos reproductodes </t>
    </r>
    <r>
      <rPr>
        <b/>
        <sz val="8"/>
        <color rgb="FF002B54"/>
        <rFont val="Calibri"/>
        <family val="2"/>
        <scheme val="minor"/>
      </rPr>
      <t>...</t>
    </r>
  </si>
  <si>
    <t>Ceras vegetales, incl. refinadas o coloreadas (exc. ceras de triglicéridos)</t>
  </si>
  <si>
    <t>Canela y flores de canelero, trituradas o pulverizadas</t>
  </si>
  <si>
    <r>
      <t xml:space="preserve">Hilados de filamentos de nailon o demás poliamidas, incl. los monofilamentos de título &lt; 67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</si>
  <si>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y aparatos de un tipo usadas principalmente para la manufactura de galletas, mecanismos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</si>
  <si>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"Tarjetas provistas de un circuito integrado electrónico [""tarjetas inteligentes"" ""smart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</si>
  <si>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De mesa, cocina o artículos de uso doméstico y sus partes, de acero inoxidable (excepto los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</si>
  <si>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"Calzado con suela y parte superior de caucho o plástico (exc. el que cubra el tobillo o con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</si>
  <si>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"Partes y accesorios de dispositivos de cristal líquido ""LCD"", láseres y los demás instrumentos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</si>
  <si>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Aparatos eléctricos de señalizacion acústica o visual (exc. tableros indicadores con dispositivos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</si>
  <si>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Libros, folletos e impresos simil., en hojas sueltas, incl. plegadas (exc. publicaciones periódicas </t>
    </r>
    <r>
      <rPr>
        <b/>
        <sz val="8"/>
        <color rgb="FF002B54"/>
        <rFont val="Calibri"/>
        <family val="2"/>
        <scheme val="minor"/>
      </rPr>
      <t>...</t>
    </r>
  </si>
  <si>
    <t>Cáscara, películas y demás desechos de cacao</t>
  </si>
  <si>
    <r>
      <t xml:space="preserve">Prendas de telas textiles para mujeres o niñas, engomadas o impregnadas, revestidas, revestidas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</si>
  <si>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Rizo y tejidos similares de algodón (exc. ​​tejidos delgados de la partida 5806, alfombras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</si>
  <si>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Resistencias variables, incl. los reóstatos y los potenciómetros (exc. bobinadas, así como </t>
    </r>
    <r>
      <rPr>
        <b/>
        <sz val="8"/>
        <color rgb="FF002B54"/>
        <rFont val="Calibri"/>
        <family val="2"/>
        <scheme val="minor"/>
      </rPr>
      <t>...</t>
    </r>
  </si>
  <si>
    <t>Conjuntos de punto, de algodón, para mujeres o niñas (exc. conjuntos de esquí y trajes de baño)</t>
  </si>
  <si>
    <r>
      <t xml:space="preserve">Manufacturas de hierro o acero, forjadas o estampadas pero sin trabajar de otro modo, n.c.o.p.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</si>
  <si>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Cuchillas y hojas cortantes, de metal común, para máquinas o aparatos mecánicos, para trabajar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</si>
  <si>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Cuchillos de hoja fija de metal común (exc. cuchillas para heno y para paja, machetes y cuchillos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</si>
  <si>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"Queso (exc. queso fresco, incl. lactosuero, curado, requesón, queso fundido, queso de pasta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</si>
  <si>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Adhesivos a base de polímeros de las subpartidas 3901 a 3913 o de caucho (exc. acondicionados </t>
    </r>
    <r>
      <rPr>
        <b/>
        <sz val="8"/>
        <color rgb="FF002B54"/>
        <rFont val="Calibri"/>
        <family val="2"/>
        <scheme val="minor"/>
      </rPr>
      <t>...</t>
    </r>
  </si>
  <si>
    <t>Cangrejo, preparados o conservados (sin ahumar)</t>
  </si>
  <si>
    <r>
      <t xml:space="preserve">Placas, láminas, hojas y tiras, de poliuretanos celulares, sin trabajar o trabajadas solo en </t>
    </r>
    <r>
      <rPr>
        <b/>
        <sz val="8"/>
        <color rgb="FF002B54"/>
        <rFont val="Calibri"/>
        <family val="2"/>
        <scheme val="minor"/>
      </rPr>
      <t>...</t>
    </r>
  </si>
  <si>
    <t>Máquinas de moldear caucho o plástico por inyección (</t>
  </si>
  <si>
    <r>
      <t xml:space="preserve">"Máquinas y aparatos para la preparación industrial de frutos u hortalizas, incl. ""silvestres""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</si>
  <si>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"Calzado con suela y parte superior de caucho o plástico, con la parte superior de tiras o </t>
    </r>
    <r>
      <rPr>
        <b/>
        <sz val="8"/>
        <color rgb="FF002B54"/>
        <rFont val="Calibri"/>
        <family val="2"/>
        <scheme val="minor"/>
      </rPr>
      <t>...</t>
    </r>
  </si>
  <si>
    <t>Cinturones y chalecos salvavidas, de todo tipo de materia textil</t>
  </si>
  <si>
    <r>
      <t xml:space="preserve">Legumbres secas, legumbres sin cáscara, incluso mondadas o partidas (exc. ??guisantes, garbanzos,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</si>
  <si>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Carbón vegetal, incluso aglomerado (exc. ​​de bambú o de cáscara o nuez, carbón vegetal utilizado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</si>
  <si>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Guantes, manoplas y manoplas, impregnados, revestidos, revestidos o estratificados de plástico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</si>
  <si>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Artículos de hilados, tiras o formas similares de las partidas 5404 ó 5405, cordeles, cuerdas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</si>
  <si>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"Generadores de corriente alterna ""alternadores"", de potencia&gt; 750 kVA (exc. ​​Generadores </t>
    </r>
    <r>
      <rPr>
        <b/>
        <sz val="8"/>
        <color rgb="FF002B54"/>
        <rFont val="Calibri"/>
        <family val="2"/>
        <scheme val="minor"/>
      </rPr>
      <t>...</t>
    </r>
  </si>
  <si>
    <t>Partes de polipastos; tornos, cabrestantes y gatos, n.c.o.p.</t>
  </si>
  <si>
    <r>
      <t xml:space="preserve">Provitaminas y mezclados de vitaminas, de provitaminas o concentros, disueltos o no, y concentrados </t>
    </r>
    <r>
      <rPr>
        <b/>
        <sz val="8"/>
        <color rgb="FF002B54"/>
        <rFont val="Calibri"/>
        <family val="2"/>
        <scheme val="minor"/>
      </rPr>
      <t>...</t>
    </r>
  </si>
  <si>
    <t>"Lana peinada a granel [""open tops""]"</t>
  </si>
  <si>
    <t>Ropa de mesa de fibras sintéticas o artificiales (exc. de punto)</t>
  </si>
  <si>
    <r>
      <t xml:space="preserve">Trajes sastre, de materia textil, para mujeres o niñas (exc. de lana o pelo fino, de algodón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</si>
  <si>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"Calzoncillos, incl. los largos y los ""slips"", de materia textil, para hombres o niños (exc. </t>
    </r>
    <r>
      <rPr>
        <b/>
        <sz val="8"/>
        <color rgb="FF002B54"/>
        <rFont val="Calibri"/>
        <family val="2"/>
        <scheme val="minor"/>
      </rPr>
      <t>...</t>
    </r>
  </si>
  <si>
    <t>Cáscara y cascarilla de café; sucedáneos de café que contengan café en cualquier proporción</t>
  </si>
  <si>
    <r>
      <t xml:space="preserve">"Relojes de pulsera automáticos, incl. con contador de tiempo incorporado (exc. con caja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</si>
  <si>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Cortadoras para pasta de papel, para papel o para cartón (exc. máquinas para encuadernación </t>
    </r>
    <r>
      <rPr>
        <b/>
        <sz val="8"/>
        <color rgb="FF002B54"/>
        <rFont val="Calibri"/>
        <family val="2"/>
        <scheme val="minor"/>
      </rPr>
      <t>...</t>
    </r>
  </si>
  <si>
    <t>Rodamientos de rodillos en forma de tonel</t>
  </si>
  <si>
    <t>Vasos y demás recipientes de vidrio para beber (exc, de vitrocéramica o de cristal al plomo)</t>
  </si>
  <si>
    <t>Vainilla, triturados o pulverizados</t>
  </si>
  <si>
    <r>
      <t xml:space="preserve">Oleorresinas de extracción; disoluciones concentradas de aceites esenciales en grasas, aceites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</si>
  <si>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Aparatos eléctricos para corte, seccionamiento, protección, derivación, empalme o conexión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</si>
  <si>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Instrumentos y aparatos para medida o control de las características variables de líquidos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</si>
  <si>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Cascos para sombreros, trenzados o fabricados por unión de tiras de cualquier materia, sin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</si>
  <si>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"Canela y flores del árbol de canela (exc. canela ""Cinnamomum zeylanicum Blume"" y sin triturar </t>
    </r>
    <r>
      <rPr>
        <b/>
        <sz val="8"/>
        <color rgb="FF002B54"/>
        <rFont val="Calibri"/>
        <family val="2"/>
        <scheme val="minor"/>
      </rPr>
      <t>...</t>
    </r>
  </si>
  <si>
    <t>Cabezas de pescado, colas y buches, ahumados, secos, salados o en salmuera</t>
  </si>
  <si>
    <t>Preparaciones para ondulación o desrizado permanentes</t>
  </si>
  <si>
    <r>
      <t xml:space="preserve">Etiquetas, escudos y artículos simil., de materia textil, en pieza, en cintas o recortados, </t>
    </r>
    <r>
      <rPr>
        <b/>
        <sz val="8"/>
        <color rgb="FF002B54"/>
        <rFont val="Calibri"/>
        <family val="2"/>
        <scheme val="minor"/>
      </rPr>
      <t>...</t>
    </r>
  </si>
  <si>
    <t>Distribuidores y bobinas de encendido, para motores de combustión</t>
  </si>
  <si>
    <r>
      <t xml:space="preserve">Motores DC de potencia&gt; 37,5 W pero &lt;= 750 W y generadores DC de potencia &lt;= 750 W (exc. los </t>
    </r>
    <r>
      <rPr>
        <b/>
        <sz val="8"/>
        <color rgb="FF002B54"/>
        <rFont val="Calibri"/>
        <family val="2"/>
        <scheme val="minor"/>
      </rPr>
      <t>...</t>
    </r>
  </si>
  <si>
    <t>Sorgo en grano (excepto para siembra)</t>
  </si>
  <si>
    <t>Nueces del Brasil, frescas o secas, con cáscara</t>
  </si>
  <si>
    <r>
      <t xml:space="preserve">Medias de mujer que cubren hasta la rodilla, de punto, de fibras sintéticas, de título &lt; 67 </t>
    </r>
    <r>
      <rPr>
        <b/>
        <sz val="8"/>
        <color rgb="FF002B54"/>
        <rFont val="Calibri"/>
        <family val="2"/>
        <scheme val="minor"/>
      </rPr>
      <t>...</t>
    </r>
  </si>
  <si>
    <t>Bridas de tubería, de hierro o acero (exc. moldeadas o de acero inoxidable)</t>
  </si>
  <si>
    <t>Alambre de molibdeno</t>
  </si>
  <si>
    <r>
      <t xml:space="preserve">Cocinas, estufas, parrillas, incendios, calderas de colada, braseros y aparatos similares, </t>
    </r>
    <r>
      <rPr>
        <b/>
        <sz val="8"/>
        <color rgb="FF002B54"/>
        <rFont val="Calibri"/>
        <family val="2"/>
        <scheme val="minor"/>
      </rPr>
      <t>...</t>
    </r>
  </si>
  <si>
    <t>Interruptores, seccionadores y conmutadores, para una tensión &lt;= 1.000 V (exc. relés y disyuntores)</t>
  </si>
  <si>
    <r>
      <t xml:space="preserve">Desudadores, forros, fundas, armaduras, viseras y barboquejos (barbijos), para sombreros y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</si>
  <si>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Ephedra plantas y sus partes, incl. semillas y frutos, frescos, refrigerados, congelados o </t>
    </r>
    <r>
      <rPr>
        <b/>
        <sz val="8"/>
        <color rgb="FF002B54"/>
        <rFont val="Calibri"/>
        <family val="2"/>
        <scheme val="minor"/>
      </rPr>
      <t>...</t>
    </r>
  </si>
  <si>
    <t>Bolígrafos</t>
  </si>
  <si>
    <r>
      <t xml:space="preserve">Instrumentos, aparatos y modelos, concebidos para demostraciones (por ejemplo: en la enseñanza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</si>
  <si>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Abrigos, chalecos, capas, capas, anoraks, para hombres o niños, incl. chaquetas de esquí, rompevientos,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</si>
  <si>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"Hilados de algodón, con un alto contenido de algodón, pero &lt; 85% en peso, sencillos, de fibras </t>
    </r>
    <r>
      <rPr>
        <b/>
        <sz val="8"/>
        <color rgb="FF002B54"/>
        <rFont val="Calibri"/>
        <family val="2"/>
        <scheme val="minor"/>
      </rPr>
      <t>...</t>
    </r>
  </si>
  <si>
    <t>Turba (comprendida la utilizada para cama de animales), incluso aglomerada</t>
  </si>
  <si>
    <r>
      <t xml:space="preserve">Circuitos electrónicos integrados tales como procesadores y controladores, sin combinación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</si>
  <si>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y aparatos para ensayo de dureza, tracción, compresión, elasticidad u otras propiedades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</si>
  <si>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Estatuillas y demás artículos de adorno, de metal común, plateados, dorados o platinados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</si>
  <si>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Los demás aparatos respiratorios y máscaras antigás (excepto las máscaras de protección sin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</si>
  <si>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"Preparaciones para higiene bucal o dental, incl. los polvos y cremas para la adherencia de </t>
    </r>
    <r>
      <rPr>
        <b/>
        <sz val="8"/>
        <color rgb="FF002B54"/>
        <rFont val="Calibri"/>
        <family val="2"/>
        <scheme val="minor"/>
      </rPr>
      <t>...</t>
    </r>
  </si>
  <si>
    <t>Mezclas de especias diversas</t>
  </si>
  <si>
    <r>
      <t xml:space="preserve">Faldas y faldas pantalón, de lana o pelo fino, para mujeres o niñas (exc. de punto, así como </t>
    </r>
    <r>
      <rPr>
        <b/>
        <sz val="8"/>
        <color rgb="FF002B54"/>
        <rFont val="Calibri"/>
        <family val="2"/>
        <scheme val="minor"/>
      </rPr>
      <t>...</t>
    </r>
  </si>
  <si>
    <t>Clavo de olor, frutos, clavillos y pedúnculos, triturada o pulverizada</t>
  </si>
  <si>
    <r>
      <t xml:space="preserve">"Sacos ""bolsas"" y talegas, para envasar, de fibras sintéticas o artificiales (exc. de tiras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</si>
  <si>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de máquinas para montar lámparas eléctricas o electrónicas, tubos o válvulas de destello,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</si>
  <si>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Manufacturas de grafito o carbono para usos no eléctricos (exc. ​​Fibras de carbono y manufacturas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</si>
  <si>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y aparatos para la preparación de carne (exc. de cocer o de calentamiento y las instalaciones </t>
    </r>
    <r>
      <rPr>
        <b/>
        <sz val="8"/>
        <color rgb="FF002B54"/>
        <rFont val="Calibri"/>
        <family val="2"/>
        <scheme val="minor"/>
      </rPr>
      <t>...</t>
    </r>
  </si>
  <si>
    <t>Dentífricos, incl. los utilizados por los dentistas</t>
  </si>
  <si>
    <r>
      <t xml:space="preserve">Las demás bebidas fermentadas (por ejemplo: sidra, perada, aguamiel); mezclas de bebidas fermentadas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</si>
  <si>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Pigmentos y preparaciones a base de dióxido de titanio, con un contenido de dióxido de titanio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</si>
  <si>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y accesorios de instrumentos musicales de cuerda sin teclado, n.c.o.p. (exc. cuerdas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</si>
  <si>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Redes de mallas anudadas, en paño o en pieza, fabricadas con cordeles, cuerdas o cordajes, </t>
    </r>
    <r>
      <rPr>
        <b/>
        <sz val="8"/>
        <color rgb="FF002B54"/>
        <rFont val="Calibri"/>
        <family val="2"/>
        <scheme val="minor"/>
      </rPr>
      <t>...</t>
    </r>
  </si>
  <si>
    <t>Smartphones para redes inalámbricas</t>
  </si>
  <si>
    <r>
      <t xml:space="preserve">Camisones y pijamas, de fibras sintéticas o artificiales, para mujeres o niñas (exc. de punto, </t>
    </r>
    <r>
      <rPr>
        <b/>
        <sz val="8"/>
        <color rgb="FF002B54"/>
        <rFont val="Calibri"/>
        <family val="2"/>
        <scheme val="minor"/>
      </rPr>
      <t>...</t>
    </r>
  </si>
  <si>
    <t>Tuercas, de fundición, hierro o acero</t>
  </si>
  <si>
    <t>Partes de rodamientos, n.c.o.p. (exc. bolas, rodillos y agujas)</t>
  </si>
  <si>
    <r>
      <t xml:space="preserve">Aparatos de alumbrado o señalización visual, eléctricos, de los tipos utilizados en vehículos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</si>
  <si>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"Partes de prendas o de complementos ""accesorios"" de vestir, de todo tipo de materia textil,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</si>
  <si>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"Chaquetas ""sacos"" de materia textil, para mujeres o niñas (exc. de lana o pelo fino,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</si>
  <si>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con un alto contenido de fibras discontinuas acrílicas o modacrílicas, pero &lt; 85% en </t>
    </r>
    <r>
      <rPr>
        <b/>
        <sz val="8"/>
        <color rgb="FF002B54"/>
        <rFont val="Calibri"/>
        <family val="2"/>
        <scheme val="minor"/>
      </rPr>
      <t>...</t>
    </r>
  </si>
  <si>
    <t>Plátanos frescos o secos</t>
  </si>
  <si>
    <t>Velas, cirios y artículos similares</t>
  </si>
  <si>
    <r>
      <t xml:space="preserve">Flejes de madera; rodrigones hendidos; estacas y estaquillas de madera, apuntadas, sin aserrar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</si>
  <si>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Prendas y complementos de vestir producidas por la costura o se peguen entre sí de hojas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</si>
  <si>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Animales vivos (exc. ??mamíferos, reptiles, aves, insectos, peces, crustáceos, moluscos y demás </t>
    </r>
    <r>
      <rPr>
        <b/>
        <sz val="8"/>
        <color rgb="FF002B54"/>
        <rFont val="Calibri"/>
        <family val="2"/>
        <scheme val="minor"/>
      </rPr>
      <t>...</t>
    </r>
  </si>
  <si>
    <t>Hélices para barcos y sus paletas</t>
  </si>
  <si>
    <t>Motores de corriente alterna, polifásicos, de potencia &gt; 37,5 W pero &lt;= 750 W</t>
  </si>
  <si>
    <r>
      <t xml:space="preserve">"Partes de transformadores, de rectificadores y demás convertidores estáticos y de bobinas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</si>
  <si>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Cables de fibras ópticas constituidos por fibras enfundadas individualmente, incl. con conductores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</si>
  <si>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Calzado de deporte, incl. calzado de tenis, baloncesto, gimnasia, entrenamiento y calzados </t>
    </r>
    <r>
      <rPr>
        <b/>
        <sz val="8"/>
        <color rgb="FF002B54"/>
        <rFont val="Calibri"/>
        <family val="2"/>
        <scheme val="minor"/>
      </rPr>
      <t>...</t>
    </r>
  </si>
  <si>
    <t>Luminarias eléctricas y aparatos de iluminación, n.c.o.p.</t>
  </si>
  <si>
    <t>Mosaicos con antigüedad de más de 100 años</t>
  </si>
  <si>
    <r>
      <t xml:space="preserve">Tejidos de lino, con un contenido de lino &gt;= 85% en peso, teñidos, fabricados con hilos de </t>
    </r>
    <r>
      <rPr>
        <b/>
        <sz val="8"/>
        <color rgb="FF002B54"/>
        <rFont val="Calibri"/>
        <family val="2"/>
        <scheme val="minor"/>
      </rPr>
      <t>...</t>
    </r>
  </si>
  <si>
    <t>Clavo de olor, frutos, clavillos y pedúnculos, sin triturar ni pulverizar</t>
  </si>
  <si>
    <r>
      <t xml:space="preserve">"Prendas de vestir, de cuero natural o cuero regenerado (exc. complementos ""accesorios""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</si>
  <si>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Densímetros, areómetros, pesalíquidos e instrumentos flotantes simil., barómetros, higrómetros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</si>
  <si>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Albornoces de baño, batas de casa y artículos simil., de punto, de materia textil, para hombres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</si>
  <si>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Cintas de materia textil, tejidas, con un contenido de hilos de elastómeros o de hilos de caucho </t>
    </r>
    <r>
      <rPr>
        <b/>
        <sz val="8"/>
        <color rgb="FF002B54"/>
        <rFont val="Calibri"/>
        <family val="2"/>
        <scheme val="minor"/>
      </rPr>
      <t>...</t>
    </r>
  </si>
  <si>
    <t>Alambre de hierro o acero sin alear, enrollado, cincado (exc. alambrón)</t>
  </si>
  <si>
    <t>Portapiezas para máquinas herramienta</t>
  </si>
  <si>
    <t>Desodorantes corporales y antitranspirantes</t>
  </si>
  <si>
    <t>Polvos de levantar preparados</t>
  </si>
  <si>
    <r>
      <t xml:space="preserve">Vitaminas y sus derivados utilizados principalmente como vitaminas, sin mezclar (exc. vitaminas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</si>
  <si>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de filamentos de polipropileno, incl. los monofilamentos de título &lt; 67 decitex, sencillos, </t>
    </r>
    <r>
      <rPr>
        <b/>
        <sz val="8"/>
        <color rgb="FF002B54"/>
        <rFont val="Calibri"/>
        <family val="2"/>
        <scheme val="minor"/>
      </rPr>
      <t>...</t>
    </r>
  </si>
  <si>
    <t>Clavecines y demás instrumentos de cuerda con teclado (exc. pianos)</t>
  </si>
  <si>
    <t>Destornilladores de mano</t>
  </si>
  <si>
    <r>
      <t xml:space="preserve">Imanes permanentes y artículos destinados a ser imantados permanentemente, de materias distintas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</si>
  <si>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"Tejidos de algodón, con un contenido de algodón &gt;= 85% en peso, de peso &gt; 200 g/m², fabricados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</si>
  <si>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"Artículos de cestería confeccionados con artículos de materia vegetal de la partida 4601; </t>
    </r>
    <r>
      <rPr>
        <b/>
        <sz val="8"/>
        <color rgb="FF002B54"/>
        <rFont val="Calibri"/>
        <family val="2"/>
        <scheme val="minor"/>
      </rPr>
      <t>...</t>
    </r>
  </si>
  <si>
    <t>Velocímetros y tacómetros; estroboscopios</t>
  </si>
  <si>
    <t>Materiales de referencia certificados</t>
  </si>
  <si>
    <t>"Crisantemos ""flores y capullos"", cortados para ramos o adornos, frescos"</t>
  </si>
  <si>
    <t>Cuarzo (exc. arenas naturales cuarzosas)</t>
  </si>
  <si>
    <r>
      <t xml:space="preserve">Hilo de coser de algodón, con un contenido de algodón &gt;= 85% en peso (exc. acondicionado para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</si>
  <si>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Bordados de fibras sintéticas o artificiales, sobre materia textil, en pieza, tiras o motivos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</si>
  <si>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"Bragas ""bombachas, calzones"" de punto, de materia textil, para mujeres o niñas (exc. de </t>
    </r>
    <r>
      <rPr>
        <b/>
        <sz val="8"/>
        <color rgb="FF002B54"/>
        <rFont val="Calibri"/>
        <family val="2"/>
        <scheme val="minor"/>
      </rPr>
      <t>...</t>
    </r>
  </si>
  <si>
    <t>"Congeladores horizontales del tipo arcón ""cofre"", de capacidad &lt;= 800 l"</t>
  </si>
  <si>
    <t>Transformadores de tipo seco de potencia &lt;= 1 kVA</t>
  </si>
  <si>
    <t>Micrófonos y sus soportes (exc. sin hilos, con emisor incorporado)</t>
  </si>
  <si>
    <t>Fusibles y cortacircuitos de fusible, para una tensión &gt; 1.000 V</t>
  </si>
  <si>
    <t>"Partes de calderas de vapor y de calderas denominadas ""de agua sobrecalentada"""</t>
  </si>
  <si>
    <t>Filtros de entrada de aire para motores de encendido por chispa o compresión</t>
  </si>
  <si>
    <r>
      <t xml:space="preserve">Productos y artículos textiles para usos técnicos mencionados en la nota 7 del capítulo 59, </t>
    </r>
    <r>
      <rPr>
        <b/>
        <sz val="8"/>
        <color rgb="FF002B54"/>
        <rFont val="Calibri"/>
        <family val="2"/>
        <scheme val="minor"/>
      </rPr>
      <t>...</t>
    </r>
  </si>
  <si>
    <t>Cintas de fibras sintéticas o artificiales, tejidas, n.c.o.p.</t>
  </si>
  <si>
    <r>
      <t xml:space="preserve">Desperdicios de seda (incluidos los capullos no aptos para el devanado, desperdicios de hilados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</si>
  <si>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Tubos flexibles, de plástico, reforzados o combinados con otras materias y con accesorios (exc.tubos </t>
    </r>
    <r>
      <rPr>
        <b/>
        <sz val="8"/>
        <color rgb="FF002B54"/>
        <rFont val="Calibri"/>
        <family val="2"/>
        <scheme val="minor"/>
      </rPr>
      <t>...</t>
    </r>
  </si>
  <si>
    <t>Partes de asientos, de madera, n.c.o.p.</t>
  </si>
  <si>
    <r>
      <t xml:space="preserve">Juegos de cables para bujías de encendido y demás juegos de cables de los tipos utilizados </t>
    </r>
    <r>
      <rPr>
        <b/>
        <sz val="8"/>
        <color rgb="FF002B54"/>
        <rFont val="Calibri"/>
        <family val="2"/>
        <scheme val="minor"/>
      </rPr>
      <t>...</t>
    </r>
  </si>
  <si>
    <t>Muebles de metal de los tipos utilizados en oficinas (exc. asientos)</t>
  </si>
  <si>
    <r>
      <t xml:space="preserve">Vinos de uvas frescas, incl. encabezado, y mosto en el que la fermentación se ha impedido 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</si>
  <si>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"Dark red meranti, ""light red meranti"" y ""meranti bakau"", en bruto, incl. descortezadas,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</si>
  <si>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Ropa de tocador o cocina, de lino (exc. bayetas, franelas y artículos simil. de limpieza para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</si>
  <si>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Camisas, blusas y blusas camiseras, de lana o pelo fino, para mujeres o niñas (exc. de punto </t>
    </r>
    <r>
      <rPr>
        <b/>
        <sz val="8"/>
        <color rgb="FF002B54"/>
        <rFont val="Calibri"/>
        <family val="2"/>
        <scheme val="minor"/>
      </rPr>
      <t>...</t>
    </r>
  </si>
  <si>
    <t>"Manufacturas de perlas finas ""naturales"" o cultivadas, n.c.o.p."</t>
  </si>
  <si>
    <t>Cuadros, paneles, consolas, armarios y demás soportes de la partida 8537, sin los aparatos</t>
  </si>
  <si>
    <t>Conductores eléctricos, para una tensión &lt;= 80 V, sin piezas de conexión, n.c.o.p.</t>
  </si>
  <si>
    <t>"Suelas y tacones ""tacos"", de caucho o plástico"</t>
  </si>
  <si>
    <r>
      <t xml:space="preserve">"Tejidos de punto por urdimbre, incl. los obtenidos en telares de pasamanería, de anchura &gt; </t>
    </r>
    <r>
      <rPr>
        <b/>
        <sz val="8"/>
        <color rgb="FF002B54"/>
        <rFont val="Calibri"/>
        <family val="2"/>
        <scheme val="minor"/>
      </rPr>
      <t>...</t>
    </r>
  </si>
  <si>
    <t>Bañadores de punto, de materia textil, para hombres o para niños (exc. de fibras sintéticas)</t>
  </si>
  <si>
    <r>
      <t xml:space="preserve">"Tejidos de punto, de anchura &lt;= 30 cm, de algodón (exc. con un contenido de hilados de elastómeros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</si>
  <si>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"Sacos ""bolsas"" y talegas, para envasar, de yute o demás fibras textiles del líber de la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</si>
  <si>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Quemadores para la alimentación de hogares, de combustibles sólidos pulverizados o gases, incl.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</si>
  <si>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"Motores de émbolo ""pistón"" alternativo de encendido por chispa de encendido por chispa ""motores </t>
    </r>
    <r>
      <rPr>
        <b/>
        <sz val="8"/>
        <color rgb="FF002B54"/>
        <rFont val="Calibri"/>
        <family val="2"/>
        <scheme val="minor"/>
      </rPr>
      <t>...</t>
    </r>
  </si>
  <si>
    <t>Avisadores eléctricos de protección contra robo o incendio y aparatos simil.</t>
  </si>
  <si>
    <t>Manufacturas de aluminio, n.c.o.p.</t>
  </si>
  <si>
    <r>
      <t xml:space="preserve">"Tubos de caucho vulcanizado sin endurecer, reforzados o combinados de otro modo solamente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</si>
  <si>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Laca, gomas naturales, resinas, gomorresinas, bálsamos y otras oleorresinas naturales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</si>
  <si>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"de punto por urdimbre de tejidos crudos o blanqueados de fibras sintéticas ""incl. los obtenidos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</si>
  <si>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"Tejidos de punto, de anchura &lt;= 30 cm, con un contenido de hilados de elastómeros &gt;= 5% en </t>
    </r>
    <r>
      <rPr>
        <b/>
        <sz val="8"/>
        <color rgb="FF002B54"/>
        <rFont val="Calibri"/>
        <family val="2"/>
        <scheme val="minor"/>
      </rPr>
      <t>...</t>
    </r>
  </si>
  <si>
    <t>Instrumentos y aparatos para medida o detección de radiaciones ionizantes</t>
  </si>
  <si>
    <t>Instrumentos manuales de medida de longitud, n.c.o.p.</t>
  </si>
  <si>
    <r>
      <t xml:space="preserve">Tejidos de algodón, con un contenido de algodón &gt;= 85% en peso, de peso &lt;= 200 g/m², fabricados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</si>
  <si>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Correas de transmisión, sin fin, de sección trapezoidal, de circunferencia exterior &gt; 180 cm </t>
    </r>
    <r>
      <rPr>
        <b/>
        <sz val="8"/>
        <color rgb="FF002B54"/>
        <rFont val="Calibri"/>
        <family val="2"/>
        <scheme val="minor"/>
      </rPr>
      <t>...</t>
    </r>
  </si>
  <si>
    <t>Plumas, estilográficas y otras plumas</t>
  </si>
  <si>
    <t>Plumillas y puntos para plumillas</t>
  </si>
  <si>
    <r>
      <t xml:space="preserve">Azúcar de caña o remolacha y sacarosa químicamente pura, sólidos (exc. los con adición de aromatizante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</si>
  <si>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Visillos y cortinas; guardamalletas y ropadiés de cama, de algodón (exc. de punto, así como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</si>
  <si>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Pañuelos de bolsillo, cuyos lados sean de longitud &lt;= 60 cm, de materia textil (exc. de algodón </t>
    </r>
    <r>
      <rPr>
        <b/>
        <sz val="8"/>
        <color rgb="FF002B54"/>
        <rFont val="Calibri"/>
        <family val="2"/>
        <scheme val="minor"/>
      </rPr>
      <t>...</t>
    </r>
  </si>
  <si>
    <t>Ropa de mesa, de lino (exc. de punto, de algodón o hechas a mano)</t>
  </si>
  <si>
    <r>
      <t xml:space="preserve">Trajes sastre de punto, de fibras sintéticas, para mujeres o niñas (exc. monos de esquí y trajes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</si>
  <si>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"Hilados de algodón, retorcidos o cableados, de fibras peinadas, con un contenido de algodón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</si>
  <si>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Bombas para líquidos, accionadas mecánicamente (exc. así como bombas de las subpartidas 8413.11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</si>
  <si>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Granos de avena mondados, pelados, troceados, quebrantados o trabajados de otro modo (sin aplastados,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</si>
  <si>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Calzoncillos de punto, de materia textil, para hombres o niños (exc. de algodón o de fibras </t>
    </r>
    <r>
      <rPr>
        <b/>
        <sz val="8"/>
        <color rgb="FF002B54"/>
        <rFont val="Calibri"/>
        <family val="2"/>
        <scheme val="minor"/>
      </rPr>
      <t>...</t>
    </r>
  </si>
  <si>
    <t>Herramientas de mano, de uso doméstico, no mecánicas, con parte operante de metal común, n.c.o.p.</t>
  </si>
  <si>
    <r>
      <t xml:space="preserve">"Tejidos de punto, de anchura &gt; 30 cm (exc. de lana o pelo fino, de algodón, de fibras sintéticas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</si>
  <si>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Juegos constituidos por piezas de tejido e hilados, incluso con accesorios, para la confección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</si>
  <si>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"Tejidos de punto, de anchura &gt; 30 cm, de algodón, estampados (exc. tejidos de punto por urdimbre,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</si>
  <si>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Cintas de terciopelo, de felpa, de tejidos de chenilla o de tejidos con bucles para toallas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</si>
  <si>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Camisones y pijamas, de fibras sintéticas o artificiales, para hombres o niños (exc. de punto,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</si>
  <si>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Revestimientos para suelos, incl. autoadhesivos, en rollos o losetas y revestimientos para </t>
    </r>
    <r>
      <rPr>
        <b/>
        <sz val="8"/>
        <color rgb="FF002B54"/>
        <rFont val="Calibri"/>
        <family val="2"/>
        <scheme val="minor"/>
      </rPr>
      <t>...</t>
    </r>
  </si>
  <si>
    <t>Ropa de mesa, de algodón (exc. de punto)</t>
  </si>
  <si>
    <r>
      <t xml:space="preserve">"Pantalones largos, pantalones con peto, pantalones cortos ""calzones"" y ""shorts"", de materia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</si>
  <si>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"Tejidos de punto, de anchura &gt; 30 cm, de lana o pelo fino (exc. tejidos de punto por urdimbre,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</si>
  <si>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"Tubos de caucho vulcanizado sin endurecer, sin reforzar ni combinar de otro modo con otras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</si>
  <si>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"Candelabros y otros accesorios eléctricos de iluminación para techos o paredes (exc. ​​para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</si>
  <si>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Conjuntos de punto, de algodón, para hombres o niños (exc. monos y conjuntos de esquí y trajes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</si>
  <si>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"de punto por urdimbre tejidos estampados de fibras sintéticas ""incl. los obtenidos en telares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</si>
  <si>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"Chaquetas ""sacos"" de materia textil, para hombres o niños (exc. de lana o pelo fino,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</si>
  <si>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"Trajes ""ambos o ternos"" de lana o pelo fino, para hombres o niños (exc. de punto, así como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</si>
  <si>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"Colchones con muelles ""resortes"", bien rellenos o guarnecidos interiormente con cualquier </t>
    </r>
    <r>
      <rPr>
        <b/>
        <sz val="8"/>
        <color rgb="FF002B54"/>
        <rFont val="Calibri"/>
        <family val="2"/>
        <scheme val="minor"/>
      </rPr>
      <t>...</t>
    </r>
  </si>
  <si>
    <t>Compresas y tampones higiénicos, pañales para bebés y artículos similares, de cualquier materia</t>
  </si>
  <si>
    <r>
      <t xml:space="preserve">Combinaciones y enaguas, de materia textil, para mujeres o niñas (exc. de fibras sintéticas </t>
    </r>
    <r>
      <rPr>
        <b/>
        <sz val="8"/>
        <color rgb="FF002B54"/>
        <rFont val="Calibri"/>
        <family val="2"/>
        <scheme val="minor"/>
      </rPr>
      <t>...</t>
    </r>
  </si>
  <si>
    <t>Artículos de prendería</t>
  </si>
  <si>
    <r>
      <t xml:space="preserve">Placas, láminas, hojas y tiras, de plástico, reforzadas, estratificadas o combinadas de forma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</si>
  <si>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Tubos de caucho vulcanizado sin endurecer, sin reforzar ni combinar de otro modo con otras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</si>
  <si>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Gorros de baño, capuchas y demás tocados, incl. guarnecidos, de caucho o plástico (exc. cascos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</si>
  <si>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Paraguas, sombrillas y quitasoles, incl. los paraguas-bastón (exc. artículos con astil o mango </t>
    </r>
    <r>
      <rPr>
        <b/>
        <sz val="8"/>
        <color rgb="FF002B54"/>
        <rFont val="Calibri"/>
        <family val="2"/>
        <scheme val="minor"/>
      </rPr>
      <t>...</t>
    </r>
  </si>
  <si>
    <t>Hilados de pelo fino cardado (exc. de lana y acondicionados para la venta al por menor)</t>
  </si>
  <si>
    <r>
      <t xml:space="preserve">"Tejidos de punto, de anchura &gt; 30 cm, de algodón, teñidos (exc. tejidos de punto por urdimbre,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</si>
  <si>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"Tejidos de punto, de anchura &gt; 30 cm, de fibras artificiales, teñidos (exc. tejidos de punto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</si>
  <si>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"Rótulos luminosos, placas de identificación luminosas y similares, con una fuente de luz ""LED""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</si>
  <si>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de pelo ordinario o de crin, incluidos los hilados de crin entorchados, aunque estén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</si>
  <si>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Visillos y cortinas; guardamalletas y ropadiés de cama, de materia textil (exc. de algodón,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</si>
  <si>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Prendas de tejidos para hombres o niños, engomados o impregnados, revestidos, revestidos o </t>
    </r>
    <r>
      <rPr>
        <b/>
        <sz val="8"/>
        <color rgb="FF002B54"/>
        <rFont val="Calibri"/>
        <family val="2"/>
        <scheme val="minor"/>
      </rPr>
      <t>...</t>
    </r>
  </si>
  <si>
    <t>Copolímeros de cloruro de vinilo y acetato de vinilo, en formas primarias</t>
  </si>
  <si>
    <r>
      <t xml:space="preserve">"Polímeros de ésteres vinílicos y demás polímeros vinílicos, en formas primarias (exc. polímeros </t>
    </r>
    <r>
      <rPr>
        <b/>
        <sz val="8"/>
        <color rgb="FF002B54"/>
        <rFont val="Calibri"/>
        <family val="2"/>
        <scheme val="minor"/>
      </rPr>
      <t>...</t>
    </r>
  </si>
  <si>
    <t>"Poli""metacrilato de metilo"", en formas primarias"</t>
  </si>
  <si>
    <t>Poliacetales, en formas primarias</t>
  </si>
  <si>
    <r>
      <t xml:space="preserve">Poliéteres, en formas primarias (exc. poliacetales, metilfosfonato de bis (polioxietileno) </t>
    </r>
    <r>
      <rPr>
        <b/>
        <sz val="8"/>
        <color rgb="FF002B54"/>
        <rFont val="Calibri"/>
        <family val="2"/>
        <scheme val="minor"/>
      </rPr>
      <t>...</t>
    </r>
  </si>
  <si>
    <t>Resinas fenólicas, en formas primarias</t>
  </si>
  <si>
    <t>Acetatos de celulosa, sin plastificar, en formas primarias</t>
  </si>
  <si>
    <t>Ácido algínico, sus sales y sus ésteres, en formas primarias</t>
  </si>
  <si>
    <t>Tubos rígidos, de polímeros de cloruro de vinilo, incl. con accesorios</t>
  </si>
  <si>
    <r>
      <t xml:space="preserve">"Placas, láminas, hojas y tiras, de poli""metacrilato de metilo"" no celular y sin esfuerzo,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</si>
  <si>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"Placas, láminas, hojas y tiras, de poliésteres no celulares y sin esfuerzo, estratificación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</si>
  <si>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Placas, láminas, hojas y tiras, de polímeros celulares de estireno, sin trabajar o trabajadas </t>
    </r>
    <r>
      <rPr>
        <b/>
        <sz val="8"/>
        <color rgb="FF002B54"/>
        <rFont val="Calibri"/>
        <family val="2"/>
        <scheme val="minor"/>
      </rPr>
      <t>...</t>
    </r>
  </si>
  <si>
    <t>"Bañeras, duchas, fregaderos ""piletas de lavar"" y lavabos, de plástico"</t>
  </si>
  <si>
    <t>Hojas ahumadas de caucho natural</t>
  </si>
  <si>
    <t>Hilos y cuerdas, de caucho vulcanizado</t>
  </si>
  <si>
    <r>
      <t xml:space="preserve">Tubos de caucho vulcanizado sin endurecer, reforzados o combinados de otro modo con otras materias,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</si>
  <si>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Correas de transmisión, sin fin, estriadas, de sección trapezoidal, de circunferencia exterior </t>
    </r>
    <r>
      <rPr>
        <b/>
        <sz val="8"/>
        <color rgb="FF002B54"/>
        <rFont val="Calibri"/>
        <family val="2"/>
        <scheme val="minor"/>
      </rPr>
      <t>...</t>
    </r>
  </si>
  <si>
    <t>"Neumáticos ""llantas neumáticas"" nuevos de caucho, de los tipos utilizados en motocicletas"</t>
  </si>
  <si>
    <r>
      <t xml:space="preserve">"Neumáticos ""llantas neumáticas"" nuevos de caucho, con altos relieves en forma de taco, ángulo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</si>
  <si>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Agentes de superficie orgánicos, aniónicos, incl. acondicionados para la venta al por menor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</si>
  <si>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Agentes de superficie orgánicos, no iónicos, incl. acondicionados para la venta al por menor </t>
    </r>
    <r>
      <rPr>
        <b/>
        <sz val="8"/>
        <color rgb="FF002B54"/>
        <rFont val="Calibri"/>
        <family val="2"/>
        <scheme val="minor"/>
      </rPr>
      <t>...</t>
    </r>
  </si>
  <si>
    <t>Colas y demás adhesivos preparados, n.c.o.p.</t>
  </si>
  <si>
    <t>Artículos para fuegos artificiales</t>
  </si>
  <si>
    <r>
      <t xml:space="preserve">Combustibles líquidos y gases combustibles licuados en recipientes de los tipos utilizados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</si>
  <si>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Placas y películas planas, sensibilizadas, sin impresionar, para rayos X (exc. de papel,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</si>
  <si>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"Películas fotográficas en rollos, sensibilizadas, sin impresionar, perforadas, para fotografía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</si>
  <si>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Películas fotográficas en rollos, sensibilizadas, sin impresionar, excepto las de papel, cartón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</si>
  <si>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Películas fotográficas, sensibilizadas, en rollos, sin impresionar, con perforaciones, para </t>
    </r>
    <r>
      <rPr>
        <b/>
        <sz val="8"/>
        <color rgb="FF002B54"/>
        <rFont val="Calibri"/>
        <family val="2"/>
        <scheme val="minor"/>
      </rPr>
      <t>...</t>
    </r>
  </si>
  <si>
    <t>Tall oil, incluso refinado</t>
  </si>
  <si>
    <r>
      <t xml:space="preserve">"Productos de las partidas 3808, que contiene alfa-cipermetrina ""ISO"", bendiocarb ""ISO"", </t>
    </r>
    <r>
      <rPr>
        <b/>
        <sz val="8"/>
        <color rgb="FF002B54"/>
        <rFont val="Calibri"/>
        <family val="2"/>
        <scheme val="minor"/>
      </rPr>
      <t>...</t>
    </r>
  </si>
  <si>
    <t>Preparaciones antidetonantes para gasolina (exc. a base de compuestos de plomo)</t>
  </si>
  <si>
    <t>Aceleradores de vulcanización preparados</t>
  </si>
  <si>
    <t>Preparaciones y cargas para aparatos extintores; granadas y bombas extintoras</t>
  </si>
  <si>
    <r>
      <t xml:space="preserve">Reactivos de diagnóstico o de laboratorio sobre soporte, reactivos de diagnóstico o de laboratorio </t>
    </r>
    <r>
      <rPr>
        <b/>
        <sz val="8"/>
        <color rgb="FF002B54"/>
        <rFont val="Calibri"/>
        <family val="2"/>
        <scheme val="minor"/>
      </rPr>
      <t>...</t>
    </r>
  </si>
  <si>
    <t>Preparaciones aglutinantes para moldes o núcleos de fundición</t>
  </si>
  <si>
    <t>Mezclas que contengan carbono tetraclorado</t>
  </si>
  <si>
    <t>"Mezclas que contengan 1,1,1- tricloroetano ""methyl cloroformo"""</t>
  </si>
  <si>
    <r>
      <t xml:space="preserve">Desechos de la industria química o de las industrias conexas (exc. desechos de soluciones decapantes,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</si>
  <si>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"Mezclas que contengan hidroclorofluorocarbonos ""HCFC"" y materias de las subpartidas 2903.41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</si>
  <si>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"Mezclas que contengan trifluorometano ""HFC-23"" (exc. que contengan clorofluorocarbonos ""CFC""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</si>
  <si>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"Mezclas que contengan otros hidrofluorocarbonos ""HFC"" distintos de los de las subpartidas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</si>
  <si>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copolímeros de etileno-alfa-olefinas, que tienen una gravedad específica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</si>
  <si>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"Madera de coníferas aserrada o desbastada longitudinalmente, cortada o desenrollada, incluso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</si>
  <si>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"Tableros de fibra de madera u otras materias leñosas, incl. aglomeradas con resinas o demás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</si>
  <si>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"Madera contrachapada constituida exclusivamente por hojas de madera de espesor unitario &lt;= </t>
    </r>
    <r>
      <rPr>
        <b/>
        <sz val="8"/>
        <color rgb="FF002B54"/>
        <rFont val="Calibri"/>
        <family val="2"/>
        <scheme val="minor"/>
      </rPr>
      <t>...</t>
    </r>
  </si>
  <si>
    <t>Ventanas, puertas vidriera, y sus marcos y contramarcos, de madera</t>
  </si>
  <si>
    <t>Ventanas, contraventanas y sus marcos, de madera tropical</t>
  </si>
  <si>
    <r>
      <t xml:space="preserve">Guantes y manoplas, concebidos especialmente para la práctica del deporte, de cuero natural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</si>
  <si>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Cabezas, colas, patas y demás trozos, desechos y recortes, de pieles curtidas o adobadas, sin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</si>
  <si>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"Cueros y pieles, frescos o incl salados, secos, encalados, piquelados o conservados de otro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</si>
  <si>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"Cueros y pieles de caprino, en estado húmedo ""incl. Wet-blue"", curtidos, depilados, incluso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</si>
  <si>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"Cueros y pieles de reptil, curtidos o ""crust"", incl. divididos (exc. preparados de otra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</si>
  <si>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Extractos, esencias y concentrados de té o de yerba mate y preparaciones a base de estos extractos, </t>
    </r>
    <r>
      <rPr>
        <b/>
        <sz val="8"/>
        <color rgb="FF002B54"/>
        <rFont val="Calibri"/>
        <family val="2"/>
        <scheme val="minor"/>
      </rPr>
      <t>...</t>
    </r>
  </si>
  <si>
    <t>Tubos flexibles, de plástico, para una presión &gt;= 27,6 MPa</t>
  </si>
  <si>
    <t>Cuadernos</t>
  </si>
  <si>
    <t>Álbumes para muestras o para colecciones, de papel o cartón</t>
  </si>
  <si>
    <t>Bandejas, fuentes y platos, tazas, vasos y artículos simil.,de papel o cartón</t>
  </si>
  <si>
    <r>
      <t xml:space="preserve">Papel ligero recubrimiento utilizados para escribir, imprimir u otros fines gráficos, peso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</si>
  <si>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Madera de coníferas, en bruto, incl. descortezada, desalburada o escuadrada (exc. madera simplemente </t>
    </r>
    <r>
      <rPr>
        <b/>
        <sz val="8"/>
        <color rgb="FF002B54"/>
        <rFont val="Calibri"/>
        <family val="2"/>
        <scheme val="minor"/>
      </rPr>
      <t>...</t>
    </r>
  </si>
  <si>
    <t>"Tablillas para cubierta de tejados o fachadas [""shingles"" y""shakes""], de madera"</t>
  </si>
  <si>
    <t>Artículos de mesa o de cocina, de madera</t>
  </si>
  <si>
    <r>
      <t xml:space="preserve">Vajilla y utensilios de cocina de madera tropical (exc. ​​Accesorios de interior, ornamentos,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</si>
  <si>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"Esterillas, esteras y cañizos, de materia vegetal, tejidos o paralelizados en forma plana </t>
    </r>
    <r>
      <rPr>
        <b/>
        <sz val="8"/>
        <color rgb="FF002B54"/>
        <rFont val="Calibri"/>
        <family val="2"/>
        <scheme val="minor"/>
      </rPr>
      <t>...</t>
    </r>
  </si>
  <si>
    <t>Pasta química de madera para disolver</t>
  </si>
  <si>
    <r>
      <t xml:space="preserve">"Pasta química, de madera distinta de la de coníferas, a la sosa ""soda"" o al sulfato, semiblanqueada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</si>
  <si>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 y cartón Kraft, sin estucar ni recubrir, en bobinas ""rollos"" de anchura &gt; 36 cm 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</si>
  <si>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"Papeles y cartones, sin estucar ni recubrir, en bobinas ""rollos"" de anchura &gt; 36 cm o en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</si>
  <si>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 y cartón sulfurizados ""pergamino vegetal"", en bobinas ""rollos"" de anchura &gt; 36 cm </t>
    </r>
    <r>
      <rPr>
        <b/>
        <sz val="8"/>
        <color rgb="FF002B54"/>
        <rFont val="Calibri"/>
        <family val="2"/>
        <scheme val="minor"/>
      </rPr>
      <t>...</t>
    </r>
  </si>
  <si>
    <t>Alcohol etílico sin desnaturalizar con grado alcohólico volumétrico &gt;= 80% vol</t>
  </si>
  <si>
    <r>
      <t xml:space="preserve">Colores en juegos para pintura artística, la enseñanza, la pintura de carteles, para matizar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</si>
  <si>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Colores para pintura artística, la enseñanza, la pintura de carteles, para matizar o para entretenimiento </t>
    </r>
    <r>
      <rPr>
        <b/>
        <sz val="8"/>
        <color rgb="FF002B54"/>
        <rFont val="Calibri"/>
        <family val="2"/>
        <scheme val="minor"/>
      </rPr>
      <t>...</t>
    </r>
  </si>
  <si>
    <t>Preparaciones para el maquillaje de los ojos</t>
  </si>
  <si>
    <t>Desechos farmacéuticos</t>
  </si>
  <si>
    <t>Sulfato de amonio (exc. en tabletas o formas simil. o en envases de un peso bruto &lt;= 10 kg)</t>
  </si>
  <si>
    <r>
      <t xml:space="preserve">Abonos minerales o químicos nitrogenados (exc. urea; sulfato de amonio; nitrato de amonio y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</si>
  <si>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"Dihidrogenoortofosfato de amonio ""fosfato monoamónico"", incl. mezclado con el hidrogenoortofosfato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</si>
  <si>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Abonos minerales o químicos con los tres elementos fertilizantes nitrógeno, fósforo y potasio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</si>
  <si>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Colorantes ácidos sintéticos orgánicos, incl. metalizados, y colorantes mordientes sintéticos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</si>
  <si>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Colorantes sintéticos orgánicos a la tina o a la cuba, incl. los que ya sean utilizables como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</si>
  <si>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Productos inorgánicos de los tipos utilizados como luminóforos, incl. de constitución química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</si>
  <si>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"Salvados, moyuelos y demás residuos del cernido, de la molienda o de otros tratamientos del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</si>
  <si>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Materias vegetales y desperdicios vegetales, residuos y subproductos vegetales, incluso en </t>
    </r>
    <r>
      <rPr>
        <b/>
        <sz val="8"/>
        <color rgb="FF002B54"/>
        <rFont val="Calibri"/>
        <family val="2"/>
        <scheme val="minor"/>
      </rPr>
      <t>...</t>
    </r>
  </si>
  <si>
    <t>Alimentos para perros o gatos, acondicionados para la venta al por menor</t>
  </si>
  <si>
    <r>
      <t xml:space="preserve">Productos que contienen nicotina destinados a la ingesta de nicotina en el cuerpo humano, para </t>
    </r>
    <r>
      <rPr>
        <b/>
        <sz val="8"/>
        <color rgb="FF002B54"/>
        <rFont val="Calibri"/>
        <family val="2"/>
        <scheme val="minor"/>
      </rPr>
      <t>...</t>
    </r>
  </si>
  <si>
    <t>Azufre de cualquier clase (excepto el sublimado, el precipitado y el coloidal)</t>
  </si>
  <si>
    <t>Grafito natural (exc. en polvo o en escamas)</t>
  </si>
  <si>
    <t>Arcillas refractarias (exc. arcilla dilatada, caolín y demás arcillas caolínicas)</t>
  </si>
  <si>
    <t>Arcilla (exc. arcilla refractaria, arcilla dilatada, caolín y demás arcillas caolínicas)</t>
  </si>
  <si>
    <t>Esmeril; corindón natural, granate natural y demás abrasivos naturales, incl. tratados térmicamente</t>
  </si>
  <si>
    <t>Marmol y travertino cortados, en bloques o en placas.</t>
  </si>
  <si>
    <r>
      <t xml:space="preserve">"Dolomita, sin calcinar ni sinterizar, llam. ""cruda"", incl. machacada, incluida la desbastada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</si>
  <si>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"Magnesia electrofundida; magnesia calcinada a muerte ""sinterizada"", incl. con pequeñas cantidades </t>
    </r>
    <r>
      <rPr>
        <b/>
        <sz val="8"/>
        <color rgb="FF002B54"/>
        <rFont val="Calibri"/>
        <family val="2"/>
        <scheme val="minor"/>
      </rPr>
      <t>...</t>
    </r>
  </si>
  <si>
    <t>Yeso fraguable, incl. coloreado o con pequeñas cantidades de aceleradores o retardadores</t>
  </si>
  <si>
    <t>Cemento Portland, normal o moderado (exc. blanco, incl. coloreado artificialmente)</t>
  </si>
  <si>
    <t>Cementos aluminosos</t>
  </si>
  <si>
    <t>Minerales de aluminio y sus concentrados</t>
  </si>
  <si>
    <t>Minerales de plomo y sus concentrados</t>
  </si>
  <si>
    <r>
      <t xml:space="preserve">Escorias y cenizas, incl. las cenizas de algas (exc. escorias, incl. las granuladas, de la </t>
    </r>
    <r>
      <rPr>
        <b/>
        <sz val="8"/>
        <color rgb="FF002B54"/>
        <rFont val="Calibri"/>
        <family val="2"/>
        <scheme val="minor"/>
      </rPr>
      <t>...</t>
    </r>
  </si>
  <si>
    <t>Hulla , incl. pulverizada, pero sin aglomerar (exc. antracita y hulla bituminosa)</t>
  </si>
  <si>
    <t>Briquetas, ovoides y combustibles sólidos simil., obtenidos de la hulla</t>
  </si>
  <si>
    <t>Naftaleno con un contenido de naftaleno &gt;50% (exc. de constitución química definida)</t>
  </si>
  <si>
    <t>Aceites de creosota (exc. de constitución química definida)</t>
  </si>
  <si>
    <t>Brea de alquitrán de hulla o de otros alquitranes minerales</t>
  </si>
  <si>
    <r>
      <t xml:space="preserve">"Corteza de cereza africana ""Prunus africana"", fresca, refrigerada, congelada o seca, incluso </t>
    </r>
    <r>
      <rPr>
        <b/>
        <sz val="8"/>
        <color rgb="FF002B54"/>
        <rFont val="Calibri"/>
        <family val="2"/>
        <scheme val="minor"/>
      </rPr>
      <t>...</t>
    </r>
  </si>
  <si>
    <t>Caña de azúcar, fresca, refrigerada, congelada o seca, incl. pulverizada</t>
  </si>
  <si>
    <t>"Harina y ""pellets"" de alfalfa"</t>
  </si>
  <si>
    <t>"Roten ""ratán"""</t>
  </si>
  <si>
    <t>Línteres de algodón</t>
  </si>
  <si>
    <t>"Aceite de soja ""soya"" y sus fracciones, incl. refinados, sin modificar químicamente"</t>
  </si>
  <si>
    <r>
      <t xml:space="preserve">"Aceite de oliva y sus fracciones, obtenidos de la aceituna exclusivamente por medios mecánicos </t>
    </r>
    <r>
      <rPr>
        <b/>
        <sz val="8"/>
        <color rgb="FF002B54"/>
        <rFont val="Calibri"/>
        <family val="2"/>
        <scheme val="minor"/>
      </rPr>
      <t>...</t>
    </r>
  </si>
  <si>
    <t>"Aceite de orujo de oliva crudo ""UE cat. 6"", obtenido únicamente de aceitunas, sin tratar"</t>
  </si>
  <si>
    <r>
      <t xml:space="preserve">Aceites de girasol o cártamo y sus fracciones, incl. refinados, sin modificar químicamente </t>
    </r>
    <r>
      <rPr>
        <b/>
        <sz val="8"/>
        <color rgb="FF002B54"/>
        <rFont val="Calibri"/>
        <family val="2"/>
        <scheme val="minor"/>
      </rPr>
      <t>...</t>
    </r>
  </si>
  <si>
    <t>Alforfón</t>
  </si>
  <si>
    <t>"Semilla de trébol ""Trifolium spp."", para siembra"</t>
  </si>
  <si>
    <t>Semilla de festucas, para siembra</t>
  </si>
  <si>
    <t>Pulpo, preparados o conservados (sin ahumar)</t>
  </si>
  <si>
    <t>Langosta, preparados o conservados (excepto ahumado)</t>
  </si>
  <si>
    <t>"Malta ""de cebada u otros cereales"", tostada"</t>
  </si>
  <si>
    <t>Semilla de girasol, incluso quebrantada</t>
  </si>
  <si>
    <r>
      <t xml:space="preserve">"Confituras, jaleas y mermeladas, purés y pastas de agrios ""cítricos"", obtenidos por cocción,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</si>
  <si>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"The Cranberries ""Vaccinium macrocarpon, Vaccinium oxycoccos, Vaccinium vitis-idaea"", preparados </t>
    </r>
    <r>
      <rPr>
        <b/>
        <sz val="8"/>
        <color rgb="FF002B54"/>
        <rFont val="Calibri"/>
        <family val="2"/>
        <scheme val="minor"/>
      </rPr>
      <t>...</t>
    </r>
  </si>
  <si>
    <t>Trigo bulgur en forma de granos trabajados, obtenidos cociendo granos de trigo duro</t>
  </si>
  <si>
    <r>
      <t xml:space="preserve">Yemas de huevo, frescas, cocidas en agua o vapor, moldeadas, congeladas o conservadas de otro </t>
    </r>
    <r>
      <rPr>
        <b/>
        <sz val="8"/>
        <color rgb="FF002B54"/>
        <rFont val="Calibri"/>
        <family val="2"/>
        <scheme val="minor"/>
      </rPr>
      <t>...</t>
    </r>
  </si>
  <si>
    <t>Huevos de tortuga, nidos de golondrina y demás productos comestibles de origen animal, n.c.o.p.</t>
  </si>
  <si>
    <r>
      <t xml:space="preserve">Ámbar gris, castóreo, algalia y almizcle; cantáridas; bilis, incluso desecada; glándulas y </t>
    </r>
    <r>
      <rPr>
        <b/>
        <sz val="8"/>
        <color rgb="FF002B54"/>
        <rFont val="Calibri"/>
        <family val="2"/>
        <scheme val="minor"/>
      </rPr>
      <t>...</t>
    </r>
  </si>
  <si>
    <t>Semen de bovino</t>
  </si>
  <si>
    <r>
      <t xml:space="preserve">"Puerros y demás hortalizas aliáceas, incl. ""silvestres"", frescos o refrigerados (exc. cebollas, </t>
    </r>
    <r>
      <rPr>
        <b/>
        <sz val="8"/>
        <color rgb="FF002B54"/>
        <rFont val="Calibri"/>
        <family val="2"/>
        <scheme val="minor"/>
      </rPr>
      <t>...</t>
    </r>
  </si>
  <si>
    <t>Espinacas, incl. las de Nueva Zelanda, y armuelles, frescas o refrigeradas</t>
  </si>
  <si>
    <t>"Pepinos de mar congelados ""Stichopus japonicus, Holothuroidea"""</t>
  </si>
  <si>
    <r>
      <t xml:space="preserve">"Leche y nata ""crema"", sin concentrar, sin adición de azúcar ni otro edulcorante, con un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</si>
  <si>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Leche y nata con un contenido en peso de&gt; 10%, sin concentrar, sin adición de azúcar ni otro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</si>
  <si>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"Leche y nata ""crema"", en polvo, gránulos o demás formas sólidas, con un contenido de materias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</si>
  <si>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Productos constituidos por los componentes naturales de la leche, incl. con adición de azúcar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</si>
  <si>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"Grasas de la leche, así como mantequilla ""manteca"" deshidratada y ""ghee"" (exc. mantequilla </t>
    </r>
    <r>
      <rPr>
        <b/>
        <sz val="8"/>
        <color rgb="FF002B54"/>
        <rFont val="Calibri"/>
        <family val="2"/>
        <scheme val="minor"/>
      </rPr>
      <t>...</t>
    </r>
  </si>
  <si>
    <t>Queso fundido (exc. rallado o en polvo)</t>
  </si>
  <si>
    <r>
      <t xml:space="preserve">"Hongos del género ""Agaricus"", secos, incl. los cortados en trozos o en rodajas o los triturados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</si>
  <si>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"Orejas de Judas ""Auricularia spp."", secas, incl. las cortadas en trozos o en rodajas o las </t>
    </r>
    <r>
      <rPr>
        <b/>
        <sz val="8"/>
        <color rgb="FF002B54"/>
        <rFont val="Calibri"/>
        <family val="2"/>
        <scheme val="minor"/>
      </rPr>
      <t>...</t>
    </r>
  </si>
  <si>
    <t>"Pimienta del género ""Piper"" sin triturar ni pulverizar"</t>
  </si>
  <si>
    <t>Semillas de cilantro, sin triturar ni pulverizar</t>
  </si>
  <si>
    <t>Semillas de cilantro, triturados o pulverizados</t>
  </si>
  <si>
    <t>Azafrán</t>
  </si>
  <si>
    <r>
      <t xml:space="preserve">"Ñames ""Dioscorea spp."", frescos, refrigerados, congelados o secos, incluso troceados o en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</si>
  <si>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"Taro ""Colocasia spp."", frescos, refrigerados, congelados o secos, incluso troceados o en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</si>
  <si>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"Yautía ""Xanthosoma spp."", frescos, refrigerados, congelados o secos, incluso troceados o </t>
    </r>
    <r>
      <rPr>
        <b/>
        <sz val="8"/>
        <color rgb="FF002B54"/>
        <rFont val="Calibri"/>
        <family val="2"/>
        <scheme val="minor"/>
      </rPr>
      <t>...</t>
    </r>
  </si>
  <si>
    <t>"Cocos frescos, incluso sin cáscara o mondados (exc. ??en el interior de shell ""endocarpio"")"</t>
  </si>
  <si>
    <t>"Castañas frescas o secas ""Castanea spp."", Sin cáscara"</t>
  </si>
  <si>
    <t>"Nueces de cola frescas o secas ""Cola spp."", Con o sin cáscara o mondados"</t>
  </si>
  <si>
    <t>Sandías, frescas</t>
  </si>
  <si>
    <t>Frambuesas, zarzamoras, moras y moras-frambuesa, frescas</t>
  </si>
  <si>
    <t>Duriones, frescos</t>
  </si>
  <si>
    <t>Cangrejos, incluso depilados, vivos, frescos o refrigerados</t>
  </si>
  <si>
    <r>
      <t xml:space="preserve">"Mejillones ""Mytilus spp. Perna spp."", Ahumados, congelados, secos, salados o en salmuera, </t>
    </r>
    <r>
      <rPr>
        <b/>
        <sz val="8"/>
        <color rgb="FF002B54"/>
        <rFont val="Calibri"/>
        <family val="2"/>
        <scheme val="minor"/>
      </rPr>
      <t>...</t>
    </r>
  </si>
  <si>
    <t>"Vivos, frescos o refrigerados, incluso en concha, conchas estrombóides ""Strombus spp."""</t>
  </si>
  <si>
    <t>"Congelado, incluso en cáscara, abalone ""Haliotis spp."""</t>
  </si>
  <si>
    <t>"Róbalos de profundidad ""Dissostichus spp."", congelados"</t>
  </si>
  <si>
    <t>"Filetes de peces dentados ""Dissostichus spp.), frescos o refrigerados"</t>
  </si>
  <si>
    <t>Filetes de alevinos y otros tiburones frescos o refrigerados</t>
  </si>
  <si>
    <r>
      <t xml:space="preserve">"Carne fresca o refrigerada, incluso picada, de tilapia ""Oreochromis spp."", El bagre ""Pangasius </t>
    </r>
    <r>
      <rPr>
        <b/>
        <sz val="8"/>
        <color rgb="FF002B54"/>
        <rFont val="Calibri"/>
        <family val="2"/>
        <scheme val="minor"/>
      </rPr>
      <t>...</t>
    </r>
  </si>
  <si>
    <t>"Carne fresca o refrigerada, incluso picada, de pez espada ""Xiphias gladius"" (exc. ??filetes)"</t>
  </si>
  <si>
    <t>"Carne congelada, incluso picada, de pez espada ""Xiphias gladius"" (exc. ??filetes)"</t>
  </si>
  <si>
    <t>"Carne congelada, incluso picada, de merluza negra ""Dissostichus spp."" (Excepto los filetes)"</t>
  </si>
  <si>
    <r>
      <t xml:space="preserve">"Arenques secos ""Clupea harengus, Clupea pallasii"", anchoas ""Engraulis spp."", Sardinas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</si>
  <si>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Cangrejos congelados, incluso ahumado, incluso pelados o no, incl. Los cangrejos de caparazón,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</si>
  <si>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Grasa de ave sin fundir ni extraer de otro modo, frescos, refrigerados, congelados, salados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</si>
  <si>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"Carne de porcinos, salada o en salmuera, seca o ahumada (exc. piernas, paletas, y sus trozos,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</si>
  <si>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Carne y despojos comestibles, salados o en salmuera, secos o ahumados, así como harina y polvo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</si>
  <si>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Salmónidos frescos o refrigerados (exc. truchas, salmones del Pacífico, salmones del Atlántico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</si>
  <si>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Frescas o refrigeradas, del Atlántico y el atún rojo del Pacífico (Thunnus thynnus, Thunnus </t>
    </r>
    <r>
      <rPr>
        <b/>
        <sz val="8"/>
        <color rgb="FF002B54"/>
        <rFont val="Calibri"/>
        <family val="2"/>
        <scheme val="minor"/>
      </rPr>
      <t>...</t>
    </r>
  </si>
  <si>
    <t>"Atunes del sur ""Thunnus maccoyii"", frescos o refrigerados"</t>
  </si>
  <si>
    <t>"Merluza fresca o refrigerada ""Merluccius spp., Urophycis spp."""</t>
  </si>
  <si>
    <r>
      <t xml:space="preserve">"Fresca o refrigerada de carpa ""Cyprinus carpio, Carassius carassius, Ctenopharyngodon idellus, </t>
    </r>
    <r>
      <rPr>
        <b/>
        <sz val="8"/>
        <color rgb="FF002B54"/>
        <rFont val="Calibri"/>
        <family val="2"/>
        <scheme val="minor"/>
      </rPr>
      <t>...</t>
    </r>
  </si>
  <si>
    <t>"Perca del Nilo ""Lates niloticus"" y cabezas de serpiente ""Channa spp."" fresca o refrigerada"</t>
  </si>
  <si>
    <t>Cazón fresco o refrigerado y otros tiburones</t>
  </si>
  <si>
    <t>"Lenguados ""Solea spp."", congelados"</t>
  </si>
  <si>
    <t>Mulos y burdéganos, vivos</t>
  </si>
  <si>
    <t>Porcinos vivos de peso &gt;= 50 kg (exc. reproductores de raza pura)</t>
  </si>
  <si>
    <t>Primates vivos</t>
  </si>
  <si>
    <t>Los insectos vivos (abejas excl.)</t>
  </si>
  <si>
    <t>Canales o medias canales, de porcinos, frescas o refrigeradas</t>
  </si>
  <si>
    <t>Carne de caprinos, fresca, refrigerada o congelada</t>
  </si>
  <si>
    <r>
      <t xml:space="preserve">Carne fresca o refrigerada y despojos comestibles de los gansos domésticos (exc. ??hígados </t>
    </r>
    <r>
      <rPr>
        <b/>
        <sz val="8"/>
        <color rgb="FF002B54"/>
        <rFont val="Calibri"/>
        <family val="2"/>
        <scheme val="minor"/>
      </rPr>
      <t>...</t>
    </r>
  </si>
  <si>
    <t>Carne y despojos comestibles, de conejo o de liebre, frescos, refrigerados o congelados</t>
  </si>
  <si>
    <t>Gas natural, licuado</t>
  </si>
  <si>
    <t>Propano, licuado</t>
  </si>
  <si>
    <t>Boro; telurio</t>
  </si>
  <si>
    <t>Arsénico</t>
  </si>
  <si>
    <t>Metales de las tierras raras, escandio e itrio, incl. mezclados o aleados entre sí</t>
  </si>
  <si>
    <t>Ácido nítrico; ácidos sulfonítricos</t>
  </si>
  <si>
    <t>Pentaóxido de difósforo</t>
  </si>
  <si>
    <t>Dióxido de carbono</t>
  </si>
  <si>
    <t>"Dicloruro de carbonilo ""fosgeno"""</t>
  </si>
  <si>
    <t>Sulfuros de los elementos no metálicos (exc. disulfuro de carbono); trisulfuro de fósforo comercial</t>
  </si>
  <si>
    <t>Amoníaco anhidro</t>
  </si>
  <si>
    <t>Peróxidos de sodio o de potasio</t>
  </si>
  <si>
    <t>"Óxidos de plomo (excepto el monóxido de ""litargirio, óxido de plomo"")"</t>
  </si>
  <si>
    <t>Óxidos e hidróxidos de vanadio</t>
  </si>
  <si>
    <t>Fluoruros (exc. de aluminio y mercurio)</t>
  </si>
  <si>
    <r>
      <t xml:space="preserve">"Fluorosilicatos, fluoroaluminatos y demás sales complejas del flúor (exc. fluorosilicatos </t>
    </r>
    <r>
      <rPr>
        <b/>
        <sz val="8"/>
        <color rgb="FF002B54"/>
        <rFont val="Calibri"/>
        <family val="2"/>
        <scheme val="minor"/>
      </rPr>
      <t>...</t>
    </r>
  </si>
  <si>
    <t>Oxicloruros e hidroxicloruros (exc. de cobre y mercurio)</t>
  </si>
  <si>
    <t>Hipoclorito de calcio comercial y demás hipocloritos de calcio</t>
  </si>
  <si>
    <t>Ditionitos y sulfoxilatos, de sodio</t>
  </si>
  <si>
    <t>Sulfitos (exc. de sodio)</t>
  </si>
  <si>
    <t>Sulfatos de sodio (exc. sulfato de disodio)</t>
  </si>
  <si>
    <t>Sulfatos de aluminio</t>
  </si>
  <si>
    <t>"Peroxosulfatos ""persulfatos"""</t>
  </si>
  <si>
    <t>"Hidrogenoortofosfato de calcio ""fosfato dicálcico"""</t>
  </si>
  <si>
    <t>"Fosfatos de calcio (exc. hidrogenoortofosfato de calcio ""fosfato dicálcico"")"</t>
  </si>
  <si>
    <t>"Trifosfato de sodio ""tripolifosfato de sodio"", incl. de constitución química no definida"</t>
  </si>
  <si>
    <t>Carbonato de disodio</t>
  </si>
  <si>
    <t>Carbonato de bario</t>
  </si>
  <si>
    <t>Cianuros y oxicianuros, de sodio</t>
  </si>
  <si>
    <t>Silicatos, incl. silicatos comerciales de los metales alcalinos (excepto los silicatos de sodio)</t>
  </si>
  <si>
    <t>"Volframatos ""tungstatos"""</t>
  </si>
  <si>
    <t>Hidrocarburos acíclicos saturados</t>
  </si>
  <si>
    <t>Etileno</t>
  </si>
  <si>
    <t>Buta-1,3-dieno e Isopreno</t>
  </si>
  <si>
    <t>Benceno</t>
  </si>
  <si>
    <t>M-Xileno</t>
  </si>
  <si>
    <t>P-Xileno</t>
  </si>
  <si>
    <t>"Diclorometano ""cloruro de metileno"""</t>
  </si>
  <si>
    <r>
      <t xml:space="preserve">Derivados halogenados de los hidrocarburos : Derivados halogenados de los hidrocarburos aromáticos </t>
    </r>
    <r>
      <rPr>
        <b/>
        <sz val="8"/>
        <color rgb="FF002B54"/>
        <rFont val="Calibri"/>
        <family val="2"/>
        <scheme val="minor"/>
      </rPr>
      <t>...</t>
    </r>
  </si>
  <si>
    <t>Chlorodifluoroethanes</t>
  </si>
  <si>
    <t>El potasio perfluorooctano sulfonato</t>
  </si>
  <si>
    <t>"Pentaeritritol ""pentaeritrita"""</t>
  </si>
  <si>
    <t>Manitol</t>
  </si>
  <si>
    <r>
      <t xml:space="preserve">Alcoholes ciclánicos, ciclénicos o cicloterpénicos y sus derivados halogenados, sulfonados, </t>
    </r>
    <r>
      <rPr>
        <b/>
        <sz val="8"/>
        <color rgb="FF002B54"/>
        <rFont val="Calibri"/>
        <family val="2"/>
        <scheme val="minor"/>
      </rPr>
      <t>...</t>
    </r>
  </si>
  <si>
    <t>"Monopenol (exc. penol ""hidoxibenzano"" y sales, octipenol, nonipenol"</t>
  </si>
  <si>
    <t>"Pentacloropenol ""ISO"""</t>
  </si>
  <si>
    <r>
      <t xml:space="preserve">Peróxidos de alcohol, peróxidos de éter, peróxidos de acetal y hemiacetal, peróxidos de cetona </t>
    </r>
    <r>
      <rPr>
        <b/>
        <sz val="8"/>
        <color rgb="FF002B54"/>
        <rFont val="Calibri"/>
        <family val="2"/>
        <scheme val="minor"/>
      </rPr>
      <t>...</t>
    </r>
  </si>
  <si>
    <t>"Metanal ""formaldehído"""</t>
  </si>
  <si>
    <t>"La coenzima Q10 ""ubidecarenona"" INN """""</t>
  </si>
  <si>
    <r>
      <t xml:space="preserve">Derivados halogenados, sulfonados, nitrados o nitrosados, de las cetonas o de las quinonas </t>
    </r>
    <r>
      <rPr>
        <b/>
        <sz val="8"/>
        <color rgb="FF002B54"/>
        <rFont val="Calibri"/>
        <family val="2"/>
        <scheme val="minor"/>
      </rPr>
      <t>...</t>
    </r>
  </si>
  <si>
    <t>"Clordecona ""ISO"""</t>
  </si>
  <si>
    <t>Ésteres del ácido fórmico</t>
  </si>
  <si>
    <t>Acetato de ácido acetico ( excl. etil, vinil, n-butil y dinoseb ISO acetatos)</t>
  </si>
  <si>
    <r>
      <t xml:space="preserve">Ácidos oleico, linoleico o linolénico, sus sales y sus ésteres (exc. compuestos inorgánicos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</si>
  <si>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Ácidos policarboxílicos ciclánicos, ciclénicos o cicloterpénicos, sus anhídridos, halogenuros, </t>
    </r>
    <r>
      <rPr>
        <b/>
        <sz val="8"/>
        <color rgb="FF002B54"/>
        <rFont val="Calibri"/>
        <family val="2"/>
        <scheme val="minor"/>
      </rPr>
      <t>...</t>
    </r>
  </si>
  <si>
    <t>Sales y ésteres del ácido tartárico</t>
  </si>
  <si>
    <t>Ácido cítrico</t>
  </si>
  <si>
    <t>"Paración ""ISO"" y paración methyl ""ISO"""</t>
  </si>
  <si>
    <t>Monoetanolamina y sus sales</t>
  </si>
  <si>
    <r>
      <t xml:space="preserve">Amino-alcoholes-fenoles, aminoácidos-fenoles y demás compuestos aminados con funciones oxigenadas </t>
    </r>
    <r>
      <rPr>
        <b/>
        <sz val="8"/>
        <color rgb="FF002B54"/>
        <rFont val="Calibri"/>
        <family val="2"/>
        <scheme val="minor"/>
      </rPr>
      <t>...</t>
    </r>
  </si>
  <si>
    <t>"Fluoroacetamido ""ISO"", monocrotofos ""ISO"" y fosfamidon ""ISO"""</t>
  </si>
  <si>
    <r>
      <t xml:space="preserve">"Amidas cíclicas, incl. los carbamatos, y sus derivados; sales de estos productos (exc. ureínas, </t>
    </r>
    <r>
      <rPr>
        <b/>
        <sz val="8"/>
        <color rgb="FF002B54"/>
        <rFont val="Calibri"/>
        <family val="2"/>
        <scheme val="minor"/>
      </rPr>
      <t>...</t>
    </r>
  </si>
  <si>
    <t>"Glutetimida ""DCI"""</t>
  </si>
  <si>
    <t>alfa-fenilacetoacetonitrilo</t>
  </si>
  <si>
    <t>Compuestos diazoicos, azoicos o azoxi</t>
  </si>
  <si>
    <t>Tiocarbamatos y ditiocarbamatos (compuestos inorgánicos u orgánicos de mercurio)</t>
  </si>
  <si>
    <t>Bis (2-hidroxietil) sulfuro (tiodiglicol (INN))</t>
  </si>
  <si>
    <t>2,4,6-Trióxido de 2,4,6-tripropil-1,3,5,2,4,6-trioxatrifosfinano</t>
  </si>
  <si>
    <t>dietilo dietílico</t>
  </si>
  <si>
    <r>
      <t xml:space="preserve">Constitución química definida compuestos órgano-inorgánicos (excepto los compuestos orgánicos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</si>
  <si>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"Compuestos heterocíclicos con heteroátomo/s de oxígeno exclusivamente, cuya estructura contenga </t>
    </r>
    <r>
      <rPr>
        <b/>
        <sz val="8"/>
        <color rgb="FF002B54"/>
        <rFont val="Calibri"/>
        <family val="2"/>
        <scheme val="minor"/>
      </rPr>
      <t>...</t>
    </r>
  </si>
  <si>
    <t>Piridina y sus sales</t>
  </si>
  <si>
    <t>Piperidina y sus sales</t>
  </si>
  <si>
    <t>"Levorfanol ""DCI"" y sus sales"</t>
  </si>
  <si>
    <r>
      <t xml:space="preserve">"Loprazolam ""DCI"", meclocualona ""DCI"", metacualona ""DCI"" y zipeprol ""DCI""; sales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</si>
  <si>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Compuestos heterocíclicos cuya estructura contenga ciclos benzotiazol, incl. hidrogenados,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</si>
  <si>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"Aminorex ""DCI"", brotizolam ""DCI"", clotiazepam ""DCI"", cloxazolam ""DCI"", dextromoramida </t>
    </r>
    <r>
      <rPr>
        <b/>
        <sz val="8"/>
        <color rgb="FF002B54"/>
        <rFont val="Calibri"/>
        <family val="2"/>
        <scheme val="minor"/>
      </rPr>
      <t>...</t>
    </r>
  </si>
  <si>
    <t>Vitamina C y sus derivados utilizados principalmente como vitaminas</t>
  </si>
  <si>
    <r>
      <t xml:space="preserve">Hormonas, naturales o reproducidos por síntesis, sus derivados y análogos estructurales, utilizados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</si>
  <si>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Cocaína, ecgonina, levometanfetamina, metanfetamina (DCI), racemato de metanfetamina; sales, </t>
    </r>
    <r>
      <rPr>
        <b/>
        <sz val="8"/>
        <color rgb="FF002B54"/>
        <rFont val="Calibri"/>
        <family val="2"/>
        <scheme val="minor"/>
      </rPr>
      <t>...</t>
    </r>
  </si>
  <si>
    <t>Cocaína, ecgonina; sales, ésteres y demás derivados de los mismos</t>
  </si>
  <si>
    <t>Penicilinas y sus derivados con la estructura del ácido penicilánico; sales de estos productos</t>
  </si>
  <si>
    <r>
      <t xml:space="preserve">Antibióticos (exc. penicilinas, sus derivados con la estructura del ácido penicilánico y sales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</si>
  <si>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Heparina y sus sales; las demás sustancias humanas o animales preparadas para usos terapéuticos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</si>
  <si>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"Antisueros ""sueros con anticuerpos"", demás fracciones de la sangre y productos inmunológicos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</si>
  <si>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Medicamentos constituidos por productos mezclados entre sí, preparados para usos terapéuticos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</si>
  <si>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"Medicamentos, que contengan alcaloides o sus derivados pero sin hormonas ni esteroides utilizados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</si>
  <si>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Prendas de vestir del tipo descrito en la partida 6201, engomadas o impregnadas, revestidas,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</si>
  <si>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"Anoraks, cazadoras y artículos simil., de materia textil, para hombres o niños (exc. de lana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</si>
  <si>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Abrigos, impermeables, chaquetones, capas y artículos simil., de lana o pelo fino, para mujeres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</si>
  <si>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Artículos de acampar de materias textiles (excepto tiendas de campaña, toldos contra el sol,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</si>
  <si>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"Paños para fregar o lavar ""bayetas, paños rejilla"", franelas y artículos simil. para limpieza,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</si>
  <si>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Trapos de todo tipo de materia textil, así como cordeles, cuerdas y cordajes, de materia textil,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</si>
  <si>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Calzado impermeable con suela de metal, cuya parte sup. no esté unida a la suela por costura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</si>
  <si>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Monturas ensambladas, reconocibles como tales, incl. con el ástil o mango, para paraguas, sombrillas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</si>
  <si>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Flores, follaje y frutos, artificiales, y sus partes; artículos confeccionados con flores, </t>
    </r>
    <r>
      <rPr>
        <b/>
        <sz val="8"/>
        <color rgb="FF002B54"/>
        <rFont val="Calibri"/>
        <family val="2"/>
        <scheme val="minor"/>
      </rPr>
      <t>...</t>
    </r>
  </si>
  <si>
    <t>Pizarra natural trabajada y manufacturas de pizarra natural o aglomerada</t>
  </si>
  <si>
    <r>
      <t xml:space="preserve">Fundición en bruto, en lingotes, bloques o demás formas primarias, sin alear, con un contenido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</si>
  <si>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"Desperdicios y desechos ""chatarra"", de aceros aleados (exc. de acero inoxidable, así como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</si>
  <si>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Lingotes de chatarra de hierro o acero (exc. productos cuya composición química responda 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</si>
  <si>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Productos planos de hierro o acero, de anchura &gt;= 600 mm, laminados en caliente y trabajados,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</si>
  <si>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Productos planos de hierro o acero sin alear, de anchura &gt;= 600 mm, enrollados, simplemente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</si>
  <si>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Productos planos de hierro o acero sin alear, de anchura &gt;= 600 mm, laminados en frío o en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</si>
  <si>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Productos planos de hierro o acero sin alear, de anchura &lt; 600 mm, simplemente laminados en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</si>
  <si>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Productos planos de hierro o acero sin alear, de anchura &lt; 600 mm, laminados en frío o en caliente,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</si>
  <si>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"Alambrón de acero de fácil mecanización, sin alear, enrollado en espiras irregulares ""coronas""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</si>
  <si>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"Alambrón de hierro o acero sin alear, enrollado en espiras irregulares ""coronas"", de sección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</si>
  <si>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Barras de hierro o acero sin alear, simplemente laminadas o extrudidas en caliente (exc. con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</si>
  <si>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Alambre de hierro o acero sin alear, enrollado, revestido de metal común (exc. cincado, así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</si>
  <si>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Productos laminados planos de acero inoxidable, de anchura &gt;= 600 mm, simplemente laminados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</si>
  <si>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Productos laminados planos de acero inoxidable, de anchura &lt; 600 mm, laminados en frío o en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</si>
  <si>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"Productos laminados planos de acero al silicio llam. ""magnético"" ""acero magnético al silicio"",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</si>
  <si>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Barras de aceros aleados, distinto del acero inoxidable, obtenidas o acabadas en frío y trabajadas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</si>
  <si>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Alambre de aceros aleados, distinto del acero inoxidable, enrollado (exc. el alambrón, así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</si>
  <si>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"Carriles ""rieles"" de fundición, hierro o acero, para vías férreas (exc. contracarriles ""rieles"" </t>
    </r>
    <r>
      <rPr>
        <b/>
        <sz val="8"/>
        <color rgb="FF002B54"/>
        <rFont val="Calibri"/>
        <family val="2"/>
        <scheme val="minor"/>
      </rPr>
      <t>...</t>
    </r>
  </si>
  <si>
    <t>Bridas y placas de asiento, de fundición, hierro o acero, para vías</t>
  </si>
  <si>
    <r>
      <t xml:space="preserve">"Tubos de entubación ""casing"" o de producción ""tubing"", sin soldadura, de hierro o acero,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</si>
  <si>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Tubos y perfiles huecos, sin soldadura, de sección circular, de hierro o acero sin alear, distintos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</si>
  <si>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Tubos de los tipos utilizados en oleoductos o gasoductos, de sección circular, de diámetro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</si>
  <si>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Tubos y perfiles huecos, remachados, grapados o con los bordes simplemente aproximados, de </t>
    </r>
    <r>
      <rPr>
        <b/>
        <sz val="8"/>
        <color rgb="FF002B54"/>
        <rFont val="Calibri"/>
        <family val="2"/>
        <scheme val="minor"/>
      </rPr>
      <t>...</t>
    </r>
  </si>
  <si>
    <t>Manufacturas de asfalto o de productos simil., p.ej. pez de petróleo o brea (exc. en rollos)</t>
  </si>
  <si>
    <t>Placas onduladas de celulosacemento o simil., que no contengan amianto</t>
  </si>
  <si>
    <r>
      <t xml:space="preserve">Mica trabajada y manufacturas de mica (exc. aisladores eléctricos, piezas aislantes, resistencias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</si>
  <si>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Perfiles de vidrio, incl. con capa absorbente, reflectante o antirreflectante, pero sin trabajar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</si>
  <si>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Hojas de vidrio estirado o soplado, coloreadas en la masa, opacificadas, chapadas o con capa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</si>
  <si>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Espejos de vidrio, sin enmarcar (exc. espejos retrovisores para vehículos, espejos de óptica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</si>
  <si>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Ampollas y envolturas tubulares, abiertas, y sus partes, de vidrio, sin guarniciones, manifiestamente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</si>
  <si>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"Cristales correctores para gafas ""anteojos"", abombados, curvados, ahuecados o simil., sin </t>
    </r>
    <r>
      <rPr>
        <b/>
        <sz val="8"/>
        <color rgb="FF002B54"/>
        <rFont val="Calibri"/>
        <family val="2"/>
        <scheme val="minor"/>
      </rPr>
      <t>...</t>
    </r>
  </si>
  <si>
    <t>"Mechas ""rovings"", ""stratifils"", de fibra de vidrio"</t>
  </si>
  <si>
    <t>Esteras de fibras de vidrio unidas químicamente</t>
  </si>
  <si>
    <t>"Tejidos de mechas ""rovings"", ""stratifils"", de fibra de vidrio"</t>
  </si>
  <si>
    <t>"Láminas delgadas ""velos"" de fibras de vidrio laminadas irregularmente"</t>
  </si>
  <si>
    <t>Lana de vidrio y manufacturas de lana de vidrio</t>
  </si>
  <si>
    <t>Fibras de vidrio y sus manufacturas, n.c.o.p.</t>
  </si>
  <si>
    <r>
      <t xml:space="preserve">"Perlas finas ""naturales"", incl. trabajadas o clasificadas, pero sin ensartar, montar ni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</si>
  <si>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Perlas cultivadas, trabajadas, incl. clasificadas, pero sin ensartar, montar ni engarzar; perlas </t>
    </r>
    <r>
      <rPr>
        <b/>
        <sz val="8"/>
        <color rgb="FF002B54"/>
        <rFont val="Calibri"/>
        <family val="2"/>
        <scheme val="minor"/>
      </rPr>
      <t>...</t>
    </r>
  </si>
  <si>
    <t>"Polvo de piedras preciosas, semipreciosas ""naturales"" o sintéticas (exc. de diamante)"</t>
  </si>
  <si>
    <t>Chapado (plaqué) de oro sobre metal común o sobre plata, en bruto o semilabrado</t>
  </si>
  <si>
    <t>Cenizas que contengan metal precioso o compuestos de metal precioso</t>
  </si>
  <si>
    <r>
      <t xml:space="preserve">"Hilados de algodón, sencillos, de fibras peinadas, con un contenido de algodón &gt;= 85% en peso,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</si>
  <si>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algodón, con un contenido de algodón &gt;= 85% en peso, de peso &lt;= 200 g/m², teñidos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</si>
  <si>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algodón, con un contenido de algodón &gt;= 85% en peso, de peso &lt;= 100 g/m², de ligamento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</si>
  <si>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algodón, con un contenido de algodón &gt;= 85% en peso, de peso &gt; 200 g/m², de ligamento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</si>
  <si>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algodón, con un alto contenido de algodón, pero &lt; 85% en peso, distintos de aquéllos </t>
    </r>
    <r>
      <rPr>
        <b/>
        <sz val="8"/>
        <color rgb="FF002B54"/>
        <rFont val="Calibri"/>
        <family val="2"/>
        <scheme val="minor"/>
      </rPr>
      <t>...</t>
    </r>
  </si>
  <si>
    <t>Yute y demás fibras textiles del líber, en bruto o enriadas (exc. lino, cáñamo y ramio)</t>
  </si>
  <si>
    <t>Hilados de cáñamo</t>
  </si>
  <si>
    <r>
      <t xml:space="preserve">Hilados de fibras textiles vegetales (exc. hilados de lino, hilados de yute o demás fibras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</si>
  <si>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de alta tenacidad, de filamentos de aramidas (exc. hilos de coser e hilados acondicionados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</si>
  <si>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de alta tenacidad, de filamentos de poliésteres (exc. hilos de coser e hilados acondicionados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</si>
  <si>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de filamentos artificiales, incl. los monofilamentos artificiales de título &lt; 67 decitex,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</si>
  <si>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hilados con un alto contenido de filamentos sintéticos, pero &lt; 85% en peso, incl.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</si>
  <si>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Cables de filamentos sintéticos, de conformidad con la nota 1 del capítulo 55 (exc. de filamentos </t>
    </r>
    <r>
      <rPr>
        <b/>
        <sz val="8"/>
        <color rgb="FF002B54"/>
        <rFont val="Calibri"/>
        <family val="2"/>
        <scheme val="minor"/>
      </rPr>
      <t>...</t>
    </r>
  </si>
  <si>
    <t>Cables de filamentos de acetato, de conformidad con la nota 1 del capítulo 55</t>
  </si>
  <si>
    <r>
      <t xml:space="preserve">Fibras discontinuas de nailon o demás poliamidas, sin cardar, peinar ni transformar de otra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</si>
  <si>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Fibras discontinuas de rayón viscosa, sin cardar, peinar ni transformar de otra forma para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</si>
  <si>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Fibras sintéticas discontinuas, cardadas, peinadas o transformadas de otro modo para la hilatura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</si>
  <si>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Hilos de coser de fibras sintéticas discontinuas, incl. acondicionados para la venta al por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</si>
  <si>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con un contenido de fibras discontinuas de poliéster &gt;= 85% en peso, retorcidos o cableados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</si>
  <si>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con un alto contenido de fibras sintéticas discontinuas, pero &lt; 85% en peso, distintos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</si>
  <si>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fibras sintéticas discontinuas, con un contenido de fibras discontinuas acrílicas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</si>
  <si>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fibras sintéticas discontinuas, con un alto contenido de fibras sintéticas discontinuas,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</si>
  <si>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fibras sintéticas discontinuas, con un alto contenido de fibras discontinuas acrílicas </t>
    </r>
    <r>
      <rPr>
        <b/>
        <sz val="8"/>
        <color rgb="FF002B54"/>
        <rFont val="Calibri"/>
        <family val="2"/>
        <scheme val="minor"/>
      </rPr>
      <t>...</t>
    </r>
  </si>
  <si>
    <t>Tejidos con un contenido de fibras artificiales discontinuas &gt;= 85% en peso, teñidos</t>
  </si>
  <si>
    <r>
      <t xml:space="preserve">Tejidos con un alto contenido de fibras artificiales discontinuas, pero &lt; 85% en peso, mezcladas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</si>
  <si>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con un alto contenido de fibras artificiales discontinuas, pero &lt; 85% en peso, distintas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</si>
  <si>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Guata de materia textil y artículos de esta guata (exc. de algodón o de fibras sintéticas 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</si>
  <si>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Terciopelo y felpa por trama, sin cortar, de fibras sintéticas o artificiales (exc. los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</si>
  <si>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chenilla, de fibras sintéticas o artificiales (exc. los de punto y tejidos con bucles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</si>
  <si>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Bordados químicos o aéreos sobre materia textil y bordados con fondo recortado, en pieza, tiras </t>
    </r>
    <r>
      <rPr>
        <b/>
        <sz val="8"/>
        <color rgb="FF002B54"/>
        <rFont val="Calibri"/>
        <family val="2"/>
        <scheme val="minor"/>
      </rPr>
      <t>...</t>
    </r>
  </si>
  <si>
    <t>Telas de punto, cauchutadas, n.c.o.p.</t>
  </si>
  <si>
    <r>
      <t xml:space="preserve">Mechas de materia textil tejida, trenzada o de punto, para lámparas, hornillos, mecheros, velas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</si>
  <si>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Mangueras para bombas y tubos similares, de materia textil, incluso con armadura o accesorios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</si>
  <si>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"Tejidos de punto, de anchura &gt; 30 cm, de fibras artificiales, crudos o blanqueados (exc. tejidos </t>
    </r>
    <r>
      <rPr>
        <b/>
        <sz val="8"/>
        <color rgb="FF002B54"/>
        <rFont val="Calibri"/>
        <family val="2"/>
        <scheme val="minor"/>
      </rPr>
      <t>...</t>
    </r>
  </si>
  <si>
    <t>Lana esquilada, desgrasada, sin carbonizar, sin cardar ni peinar</t>
  </si>
  <si>
    <t>Borras del peinado de lana o pelo fino (exc. las hilachas)</t>
  </si>
  <si>
    <r>
      <t xml:space="preserve">Desperdicios de pelo ordinario, incl. los desperdicios de hilados (exc. las hilachas, desperdicios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</si>
  <si>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Sobres carta, tarjetas postales sin ilustrar y tarjetas para correspondencia, de papel o cartón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</si>
  <si>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"Hilados de textiles, tiras y formas simil. de las partidas 5404 ó 5405, impregnadas, recubiertas,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</si>
  <si>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metálicos e hilados metalizados, incluso entorchados, constituidos por hilados textiles,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</si>
  <si>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Tela sin tejer, incl. impregnada, recubierta, revestida o estratificada, n.c.o.p., de peso </t>
    </r>
    <r>
      <rPr>
        <b/>
        <sz val="8"/>
        <color rgb="FF002B54"/>
        <rFont val="Calibri"/>
        <family val="2"/>
        <scheme val="minor"/>
      </rPr>
      <t>...</t>
    </r>
  </si>
  <si>
    <t>"Césped, de nailon o de otras poliamidas, con mechones ""perforados con aguja"""</t>
  </si>
  <si>
    <r>
      <t xml:space="preserve">Terciopelo y felpa y tejidos de chenilla, de lana o pelo fino (exc. los de punto y tejidos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</si>
  <si>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"Alfombras y demás revestimientos para el suelo, de materia textil vegetales o de pelo ordinario, </t>
    </r>
    <r>
      <rPr>
        <b/>
        <sz val="8"/>
        <color rgb="FF002B54"/>
        <rFont val="Calibri"/>
        <family val="2"/>
        <scheme val="minor"/>
      </rPr>
      <t>...</t>
    </r>
  </si>
  <si>
    <t>Locomotoras y locotractores, de acumuladores eléctricos</t>
  </si>
  <si>
    <r>
      <t xml:space="preserve">Ganchos y demás sistemas de enganche, topes, y sus partes, propios de vehículos para vías férreas,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</si>
  <si>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Tractores, de un motor de potencia&gt; 18 kW pero &lt;= 37 kW (exc. Los de la partida 8709, motocultores,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</si>
  <si>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Tractores, de un motor de potencia&gt; 37 kW pero &lt;= 75 kW (exc. Los de la partida 8709, motocultores, </t>
    </r>
    <r>
      <rPr>
        <b/>
        <sz val="8"/>
        <color rgb="FF002B54"/>
        <rFont val="Calibri"/>
        <family val="2"/>
        <scheme val="minor"/>
      </rPr>
      <t>...</t>
    </r>
  </si>
  <si>
    <t>Condensadores electrolíticos de aluminio (exc. condensadores de potencia)</t>
  </si>
  <si>
    <t>Condensadores variables o ajustables, eléctricos</t>
  </si>
  <si>
    <t>Partes de resistencias eléctricas, incl. los reóstatos y los potenciómetros, n.c.o.p.</t>
  </si>
  <si>
    <t>Seccionadores e interruptores, para una tensión &gt; 1.000 V</t>
  </si>
  <si>
    <r>
      <t xml:space="preserve">"Lámparas y tubos eléctricos de incandescencia (exc. lámparas y tubos halógenos de volframio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</si>
  <si>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Tubos catódicos para aparatos receptores de televisión, incl. para videomonitores, en blanco </t>
    </r>
    <r>
      <rPr>
        <b/>
        <sz val="8"/>
        <color rgb="FF002B54"/>
        <rFont val="Calibri"/>
        <family val="2"/>
        <scheme val="minor"/>
      </rPr>
      <t>...</t>
    </r>
  </si>
  <si>
    <t>Diodos (distintos de los fotodiodos y de los diodos emisores de luz)</t>
  </si>
  <si>
    <r>
      <t xml:space="preserve">Dispositivos material semiconductor fotosensibles, incl. las células fotovoltaicas aunque estén </t>
    </r>
    <r>
      <rPr>
        <b/>
        <sz val="8"/>
        <color rgb="FF002B54"/>
        <rFont val="Calibri"/>
        <family val="2"/>
        <scheme val="minor"/>
      </rPr>
      <t>...</t>
    </r>
  </si>
  <si>
    <t>"Diodos emisores de luz ""LED"""</t>
  </si>
  <si>
    <t>Dispositivos de material semiconductor, n.c.o.p.</t>
  </si>
  <si>
    <r>
      <t xml:space="preserve">Aceleradores de escamillas, para electrones, protones, etc., eléctricos (exc. aparatos de implantación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</si>
  <si>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Aparatos receptores de radiodifusión, que solo funcionen con fuente de energía exterior,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</si>
  <si>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Receptores radio-sembrado a voleo, solo para operaciones principales, combinado con aparatos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</si>
  <si>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"De rayos catódicos monitores de tubo ""CRT"" capaz de conectar directamente con y diseñado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</si>
  <si>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Projectores, sin aparatos receptores incorporados (exc. principalmente para usar en máquinas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</si>
  <si>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Aparatos receptores de televisión, incl. con un aparato receptor de radiodifusión o un aparato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</si>
  <si>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Prensas, estrujadoras y máquinas y aparatos análogos para la producción de vino, sidra, jugos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</si>
  <si>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"Máquinas y aparatos para compactar o apisonar ""aplanar"", no autopropulsados (exc. herramientas </t>
    </r>
    <r>
      <rPr>
        <b/>
        <sz val="8"/>
        <color rgb="FF002B54"/>
        <rFont val="Calibri"/>
        <family val="2"/>
        <scheme val="minor"/>
      </rPr>
      <t>...</t>
    </r>
  </si>
  <si>
    <t>Lámparas eléctricas portátiles concebidas para funcionar con su propia fuente de energía</t>
  </si>
  <si>
    <r>
      <t xml:space="preserve">Partes de lámparas eléctricas portátiles concebidas para funcionar con su propia fuente de </t>
    </r>
    <r>
      <rPr>
        <b/>
        <sz val="8"/>
        <color rgb="FF002B54"/>
        <rFont val="Calibri"/>
        <family val="2"/>
        <scheme val="minor"/>
      </rPr>
      <t>...</t>
    </r>
  </si>
  <si>
    <t>Hornos de arco de plasma y vacío</t>
  </si>
  <si>
    <t>"Altavoces ""altoparlantes"" sin montar en cajas"</t>
  </si>
  <si>
    <r>
      <t xml:space="preserve">"Partes de micrófonos, de altavoces ""altoparlantes"", de auriculares electroacústicos, incl. </t>
    </r>
    <r>
      <rPr>
        <b/>
        <sz val="8"/>
        <color rgb="FF002B54"/>
        <rFont val="Calibri"/>
        <family val="2"/>
        <scheme val="minor"/>
      </rPr>
      <t>...</t>
    </r>
  </si>
  <si>
    <t>Contestadores telefónicos</t>
  </si>
  <si>
    <r>
      <t xml:space="preserve">Soportes para reproducir el sonido o imagen, grabados, incl. las matrices y moldes galvánicos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</si>
  <si>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"Máquinas de clasificar, plegar, meter en sobres o colocaren fajas, correspondencia, máquinas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</si>
  <si>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y accesorios para máquinas de calcular no electrónicas o para máquinas de contabilidad, </t>
    </r>
    <r>
      <rPr>
        <b/>
        <sz val="8"/>
        <color rgb="FF002B54"/>
        <rFont val="Calibri"/>
        <family val="2"/>
        <scheme val="minor"/>
      </rPr>
      <t>...</t>
    </r>
  </si>
  <si>
    <t>Máquinas y aparatos de quebrantar, triturar, triturar o pulverizar materias minerales sólidas</t>
  </si>
  <si>
    <r>
      <t xml:space="preserve">Máquinas para la fabricación o trabajo en caliente de vidrio o artículos de vidrio (exc. ​​Máquinas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</si>
  <si>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automáticas para la venta de productos, con dispositivo de calentamiento o refrigeración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</si>
  <si>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de máquinas y de aparatos de trabajar caucho o plástico o para fabricar productos de </t>
    </r>
    <r>
      <rPr>
        <b/>
        <sz val="8"/>
        <color rgb="FF002B54"/>
        <rFont val="Calibri"/>
        <family val="2"/>
        <scheme val="minor"/>
      </rPr>
      <t>...</t>
    </r>
  </si>
  <si>
    <t>Partes de máquinas y de aparatos para preparar o elaborar tabaco, n.c.o.p.</t>
  </si>
  <si>
    <t>Partes de máquinas o de aparatos del capítulo 84, sin usos específicos, n.c.o.p.</t>
  </si>
  <si>
    <t>Máquinas y aparatos para manofacturas de discos</t>
  </si>
  <si>
    <t>Motores de corriente alterna, polifásicos, de potencia &gt; 750 W pero &lt;= 75 kW</t>
  </si>
  <si>
    <r>
      <t xml:space="preserve">Electroimanes (exc. los usados en medicina); platos, mandriles y dispositivos magnéticos o </t>
    </r>
    <r>
      <rPr>
        <b/>
        <sz val="8"/>
        <color rgb="FF002B54"/>
        <rFont val="Calibri"/>
        <family val="2"/>
        <scheme val="minor"/>
      </rPr>
      <t>...</t>
    </r>
  </si>
  <si>
    <t>Acumuladores de níquel-cadmio (exc. inservibles)</t>
  </si>
  <si>
    <r>
      <t xml:space="preserve">Aspiradoras, incl. las de materias secas y líquidas, de uso doméstico, con motor eléctrico </t>
    </r>
    <r>
      <rPr>
        <b/>
        <sz val="8"/>
        <color rgb="FF002B54"/>
        <rFont val="Calibri"/>
        <family val="2"/>
        <scheme val="minor"/>
      </rPr>
      <t>...</t>
    </r>
  </si>
  <si>
    <t>Afeitadoras, eléctricas</t>
  </si>
  <si>
    <t>Partes de máquinas y aparatos para la avicultura, n.c.o.p.</t>
  </si>
  <si>
    <r>
      <t xml:space="preserve">Caracteres de imprenta, clisés, planchas, cilindros y demás elementos impresores; piedras litográficas,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</si>
  <si>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Impresoras, fotocopiadoras y máquinas facsímiles, combinadas (exc. con conexión automática </t>
    </r>
    <r>
      <rPr>
        <b/>
        <sz val="8"/>
        <color rgb="FF002B54"/>
        <rFont val="Calibri"/>
        <family val="2"/>
        <scheme val="minor"/>
      </rPr>
      <t>...</t>
    </r>
  </si>
  <si>
    <t>Máquinas para la preparación de materia textil (exc. cardas, peinadoras y mecheras)</t>
  </si>
  <si>
    <t>Máquinas para hilar materia textil (exc. máquinas de extrusión y mecheras)</t>
  </si>
  <si>
    <t>Peines, lizos y cuadros de lizos, para telares</t>
  </si>
  <si>
    <t>Partes y accesorios de telares o de sus máquinas o aparatos auxiliares, n.c.o.p.</t>
  </si>
  <si>
    <t>Máquinas de coser domésticas</t>
  </si>
  <si>
    <t>"Máquinas de colar ""moldear"", para metalurgia, acerías o fundiciones"</t>
  </si>
  <si>
    <t>Cilindros de laminadores para metal</t>
  </si>
  <si>
    <t>Partes de laminadores para metal, n.c.o.p.</t>
  </si>
  <si>
    <r>
      <t xml:space="preserve">Máquinas herramienta para trabajar materiales por remoción de material, operado por haces de </t>
    </r>
    <r>
      <rPr>
        <b/>
        <sz val="8"/>
        <color rgb="FF002B54"/>
        <rFont val="Calibri"/>
        <family val="2"/>
        <scheme val="minor"/>
      </rPr>
      <t>...</t>
    </r>
  </si>
  <si>
    <t>Centros de mecanizado, para trabajar metal</t>
  </si>
  <si>
    <t>Máquinas de puesto fijo, para trabajar metal</t>
  </si>
  <si>
    <r>
      <t xml:space="preserve">Tornos, incl. los centros de torneado, que operen por arranque de metal (exc. de control numérico, </t>
    </r>
    <r>
      <rPr>
        <b/>
        <sz val="8"/>
        <color rgb="FF002B54"/>
        <rFont val="Calibri"/>
        <family val="2"/>
        <scheme val="minor"/>
      </rPr>
      <t>...</t>
    </r>
  </si>
  <si>
    <t>Escariadoras para metal (exc. unidades de mecanizado de correderas y escariadoras-fresadoras)</t>
  </si>
  <si>
    <r>
      <t xml:space="preserve">Máquinas de rectificar para metal, en las que la posición de la pieza pueda reglarse en uno </t>
    </r>
    <r>
      <rPr>
        <b/>
        <sz val="8"/>
        <color rgb="FF002B54"/>
        <rFont val="Calibri"/>
        <family val="2"/>
        <scheme val="minor"/>
      </rPr>
      <t>...</t>
    </r>
  </si>
  <si>
    <t>Máquinas de limar o mortajar, para metal</t>
  </si>
  <si>
    <t>Máquinas de brochar para metal</t>
  </si>
  <si>
    <r>
      <t xml:space="preserve">Máquinas de tallar o acabar engranajes, para metal (exc. máquinas de cepillar, limar, mortajar </t>
    </r>
    <r>
      <rPr>
        <b/>
        <sz val="8"/>
        <color rgb="FF002B54"/>
        <rFont val="Calibri"/>
        <family val="2"/>
        <scheme val="minor"/>
      </rPr>
      <t>...</t>
    </r>
  </si>
  <si>
    <t>Máquinas de forja en matriz cerrada</t>
  </si>
  <si>
    <r>
      <t xml:space="preserve">Máquinas, incl. las prensas, para enrollar, curvar, plegar, enderezar o aplanar, de control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</si>
  <si>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Cizallas, para productos planos (exc. ​​líneas de corte longitudinal, líneas de corte longitudinal,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</si>
  <si>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de punzonar, entallar o mordisquear para productos planos incl. Máquinas combinadas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</si>
  <si>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Prensas no hidráulicas, para trabajar metal (exc. prensas de forjar, estampar, enrollar, curvar,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</si>
  <si>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Centros de mecanizado para trabajar madera, corcho, hueso, caucho endurecido, plástico rígido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</si>
  <si>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de amolar, lijar o pulir, para trabajar madera, plástico rígido o materias duras simil.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</si>
  <si>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de curvar o ensamblar, para trabajar madera, plástico rígido o materias duras simil.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</si>
  <si>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Radiadores para la calefacción central, de calentamiento no eléctrico, y sus partes, de fundición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</si>
  <si>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Artículos de uso doméstico y sus partes, de fundición, sin esmaltar (exc. bidones, latas o </t>
    </r>
    <r>
      <rPr>
        <b/>
        <sz val="8"/>
        <color rgb="FF002B54"/>
        <rFont val="Calibri"/>
        <family val="2"/>
        <scheme val="minor"/>
      </rPr>
      <t>...</t>
    </r>
  </si>
  <si>
    <t>Bañeras de chapa de acero</t>
  </si>
  <si>
    <t>Cadenas de rodillos, de fundición, hierro o acero</t>
  </si>
  <si>
    <t>Escarpias y armellas, roscadas, de fundición, hierro o acero</t>
  </si>
  <si>
    <r>
      <t xml:space="preserve">Telas metálicas tejidas, incl. las continuas o sin fin, de acero inoxidable (exc. tejidos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</si>
  <si>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Redes y rejas, de alambre de hierro o acero, soldados en los puntos de cruce, de alambre cuya </t>
    </r>
    <r>
      <rPr>
        <b/>
        <sz val="8"/>
        <color rgb="FF002B54"/>
        <rFont val="Calibri"/>
        <family val="2"/>
        <scheme val="minor"/>
      </rPr>
      <t>...</t>
    </r>
  </si>
  <si>
    <t>Manufacturas de cobre, n.c.o.p.</t>
  </si>
  <si>
    <t>Aleaciones de níquel, en bruto</t>
  </si>
  <si>
    <r>
      <t xml:space="preserve">Hojas y tiras, delgadas, de aluminio, sin soporte, simplemente laminadas, de espesor &lt;= 0,2 </t>
    </r>
    <r>
      <rPr>
        <b/>
        <sz val="8"/>
        <color rgb="FF002B54"/>
        <rFont val="Calibri"/>
        <family val="2"/>
        <scheme val="minor"/>
      </rPr>
      <t>...</t>
    </r>
  </si>
  <si>
    <t>Tubos de aleaciones de aluminio (exc. perfiles huecos)</t>
  </si>
  <si>
    <r>
      <t xml:space="preserve">Cables, trenzas y artículos simil., de aluminio, sin aislar para electricidad (exc. con alma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</si>
  <si>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Telas metálicas, redes y rejas, de alambre de aluminio (exc. tejidos de hilos de metal para </t>
    </r>
    <r>
      <rPr>
        <b/>
        <sz val="8"/>
        <color rgb="FF002B54"/>
        <rFont val="Calibri"/>
        <family val="2"/>
        <scheme val="minor"/>
      </rPr>
      <t>...</t>
    </r>
  </si>
  <si>
    <t>Hojas y tiras, de plomo, de espesor &lt;= 0,2 mm, sin incluir el soporte</t>
  </si>
  <si>
    <t>Polvo y escamillas, de plomo (exc. granallas de plomo y lentejuelas de la partida 8308)</t>
  </si>
  <si>
    <t>Barras, perfiles y alambre, de cinc</t>
  </si>
  <si>
    <t>Barras, perfiles y alambre, de estaño</t>
  </si>
  <si>
    <t>"Alambre de volframio ""tungsteno"""</t>
  </si>
  <si>
    <t>Magnesio en bruto, con un contenido de magnesio &lt; 99,8% en peso</t>
  </si>
  <si>
    <t>Manufacturas de magnesio, n.c.o.p.</t>
  </si>
  <si>
    <t>Desperdicios y desechos, de cobalto (exc. cenizas y residuos que contengan cobalto)</t>
  </si>
  <si>
    <t>Cadmio en bruto; polvo de cadmio</t>
  </si>
  <si>
    <t>Titanio en bruto; polvo de titanio</t>
  </si>
  <si>
    <r>
      <t xml:space="preserve">Polvos de circonio y circonio en bruto, que contengan =&gt; 1 parte de hafnio por 500 partes de </t>
    </r>
    <r>
      <rPr>
        <b/>
        <sz val="8"/>
        <color rgb="FF002B54"/>
        <rFont val="Calibri"/>
        <family val="2"/>
        <scheme val="minor"/>
      </rPr>
      <t>...</t>
    </r>
  </si>
  <si>
    <t>Manufacturas de antimonio, n.c.o.p.</t>
  </si>
  <si>
    <t>Talio, en bruto; polvo de talio</t>
  </si>
  <si>
    <r>
      <t xml:space="preserve">Tijeras de podar, incl. las de aves, para usar con una sola mano, con parte operante de metal </t>
    </r>
    <r>
      <rPr>
        <b/>
        <sz val="8"/>
        <color rgb="FF002B54"/>
        <rFont val="Calibri"/>
        <family val="2"/>
        <scheme val="minor"/>
      </rPr>
      <t>...</t>
    </r>
  </si>
  <si>
    <t>Hojas de sierra de cinta, de metal común</t>
  </si>
  <si>
    <t>Cizallas para metal y herramientas simil., de mano, de metal común</t>
  </si>
  <si>
    <t>Cortatubos, cortapernos, sacabocados y herramientas simil., de mano, de metal común</t>
  </si>
  <si>
    <t>Martillos y mazas, con parte operante de metal común</t>
  </si>
  <si>
    <t>Útiles de tornear, intercambiables</t>
  </si>
  <si>
    <t>Tijeras y sus hojas</t>
  </si>
  <si>
    <r>
      <t xml:space="preserve">Juegos formados por uno o varios cuchillos y un número, por lo menos, igual de cucharas, tenedores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</si>
  <si>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Llaves presentadas aisladamente, para candados, cerraduras, cerrojos, cierres y monturas cierre </t>
    </r>
    <r>
      <rPr>
        <b/>
        <sz val="8"/>
        <color rgb="FF002B54"/>
        <rFont val="Calibri"/>
        <family val="2"/>
        <scheme val="minor"/>
      </rPr>
      <t>...</t>
    </r>
  </si>
  <si>
    <t>Cierrapuertas automáticos, de metal común</t>
  </si>
  <si>
    <t>Grapas en tiras, de metal común</t>
  </si>
  <si>
    <t>Tubos flexibles de metales distintos del hierro o del acero, incl. con accesorios</t>
  </si>
  <si>
    <r>
      <t xml:space="preserve">Cuchillas y hojas cortantes, de metal común, para máquinas agrícolas, hortícolas o forestales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</si>
  <si>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Cuchillos de mesa de hoja fija de metal común (exc.cuchillos para pescado y cuchillos para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</si>
  <si>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"Calderas para calefacción central, no eléctricas (exc. calderas de vapor y calderas denominadas </t>
    </r>
    <r>
      <rPr>
        <b/>
        <sz val="8"/>
        <color rgb="FF002B54"/>
        <rFont val="Calibri"/>
        <family val="2"/>
        <scheme val="minor"/>
      </rPr>
      <t>...</t>
    </r>
  </si>
  <si>
    <t>Condensadores para máquinas de vapor</t>
  </si>
  <si>
    <r>
      <t xml:space="preserve">Partes de aparatos auxiliares para las calderas de las partidas 8402 u 8403 y partes de condensadores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</si>
  <si>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Turbinas de vapor, de potencia &gt; 40 MW (exc. para la propulsión de barcos, así como las turbinas </t>
    </r>
    <r>
      <rPr>
        <b/>
        <sz val="8"/>
        <color rgb="FF002B54"/>
        <rFont val="Calibri"/>
        <family val="2"/>
        <scheme val="minor"/>
      </rPr>
      <t>...</t>
    </r>
  </si>
  <si>
    <t>Tornos y cabrestantes, sin motor eléctrico</t>
  </si>
  <si>
    <t>Gatos no hidráulicos</t>
  </si>
  <si>
    <r>
      <t xml:space="preserve">Aparatos elevadores o transportadores, de acción continua, para mercancías, especialmente concebidos </t>
    </r>
    <r>
      <rPr>
        <b/>
        <sz val="8"/>
        <color rgb="FF002B54"/>
        <rFont val="Calibri"/>
        <family val="2"/>
        <scheme val="minor"/>
      </rPr>
      <t>...</t>
    </r>
  </si>
  <si>
    <t>Escaleras mecánicas y pasillos móviles</t>
  </si>
  <si>
    <t>"Topadoras frontales ""bulldozers"" y topadoras anguladores ""angledozers"", de orugas"</t>
  </si>
  <si>
    <r>
      <t xml:space="preserve">Martinetes y máquinas para arrancar pilotes, estacas o simil. (exc. aparatos montados en vagones </t>
    </r>
    <r>
      <rPr>
        <b/>
        <sz val="8"/>
        <color rgb="FF002B54"/>
        <rFont val="Calibri"/>
        <family val="2"/>
        <scheme val="minor"/>
      </rPr>
      <t>...</t>
    </r>
  </si>
  <si>
    <t>Refrigeradores de compresión, domésticos</t>
  </si>
  <si>
    <t>Aparatos o dispositivos para licuefacción de aire u otros gases</t>
  </si>
  <si>
    <r>
      <t xml:space="preserve">Partes de aparatos y de dispositivos, aunque se calienten eléctricamente, para tratamiento </t>
    </r>
    <r>
      <rPr>
        <b/>
        <sz val="8"/>
        <color rgb="FF002B54"/>
        <rFont val="Calibri"/>
        <family val="2"/>
        <scheme val="minor"/>
      </rPr>
      <t>...</t>
    </r>
  </si>
  <si>
    <t>Partes de centrifugadoras y de secadoras centrífugas, n.c.o.p.</t>
  </si>
  <si>
    <t>Máquinas para lavar vajilla, de tipo doméstico</t>
  </si>
  <si>
    <t>Instrumentos e aparatos de pesar personas, incl. los pesabebés; balanzas domésticas</t>
  </si>
  <si>
    <t>Elevadores de líquidos (exc. bombas)</t>
  </si>
  <si>
    <r>
      <t xml:space="preserve">Ventiladores de mesa, pie, pared, cielo raso, techo, tejado o ventana, con motor eléctrico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</si>
  <si>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Campanas aspirantes con ventilador, incl. con filtro, en las que el mayor lado horizontal sea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</si>
  <si>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de máquinas y aparatos para acondicionamiento de aire que comprenden un ventilador con </t>
    </r>
    <r>
      <rPr>
        <b/>
        <sz val="8"/>
        <color rgb="FF002B54"/>
        <rFont val="Calibri"/>
        <family val="2"/>
        <scheme val="minor"/>
      </rPr>
      <t>...</t>
    </r>
  </si>
  <si>
    <t>Propulsores a reacción, distintos de los turborreactores</t>
  </si>
  <si>
    <t>"Motores neumáticos, con movimiento rectilíneo ""cilindros"""</t>
  </si>
  <si>
    <r>
      <t xml:space="preserve">Bombas con dispositivo medidor incorporado o proyectadas para llevarlo (exc. las bombas para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</si>
  <si>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Sillones de dentista, de peluquería y sillones simil., con dispositivos de orientación y elevación; </t>
    </r>
    <r>
      <rPr>
        <b/>
        <sz val="8"/>
        <color rgb="FF002B54"/>
        <rFont val="Calibri"/>
        <family val="2"/>
        <scheme val="minor"/>
      </rPr>
      <t>...</t>
    </r>
  </si>
  <si>
    <t>Deslizadores de vela para la práctica de deportes acuíticos</t>
  </si>
  <si>
    <r>
      <t xml:space="preserve">Brochas y pinceles para pintar, enlucir, barnizar o simil., así como muñequillas y rodillos </t>
    </r>
    <r>
      <rPr>
        <b/>
        <sz val="8"/>
        <color rgb="FF002B54"/>
        <rFont val="Calibri"/>
        <family val="2"/>
        <scheme val="minor"/>
      </rPr>
      <t>...</t>
    </r>
  </si>
  <si>
    <t>Botones de presión y sus partes</t>
  </si>
  <si>
    <t>Formas para botones y demás partes de botones; esbozos de botones</t>
  </si>
  <si>
    <r>
      <t xml:space="preserve">Asientos giratorios con ajuste de altura variable (exc. los de madera y sillones médicos, quirúrgicos,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</si>
  <si>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Asientos convertibles en camas (exc. de madera, sillas de jardín y equipo de campamento, y </t>
    </r>
    <r>
      <rPr>
        <b/>
        <sz val="8"/>
        <color rgb="FF002B54"/>
        <rFont val="Calibri"/>
        <family val="2"/>
        <scheme val="minor"/>
      </rPr>
      <t>...</t>
    </r>
  </si>
  <si>
    <t>Cajas de fundición</t>
  </si>
  <si>
    <t>Moldes para vidrio (exc. de grafito u otros carbonos o de materia cerámica)</t>
  </si>
  <si>
    <r>
      <t xml:space="preserve">Partes y accesorios de instrumentos y aparatos de geodesia, topografía, agrimensura, nivelación, </t>
    </r>
    <r>
      <rPr>
        <b/>
        <sz val="8"/>
        <color rgb="FF002B54"/>
        <rFont val="Calibri"/>
        <family val="2"/>
        <scheme val="minor"/>
      </rPr>
      <t>...</t>
    </r>
  </si>
  <si>
    <t>Jeringas, incl. con aguja, para uso médico</t>
  </si>
  <si>
    <t>Artículos y aparatos de prótesis (exc. prótesis dentales y articulares)</t>
  </si>
  <si>
    <r>
      <t xml:space="preserve">Aparatos basados ​​en el uso de radiaciones alfa, beta, gamma u otras radiaciones ionizantes, </t>
    </r>
    <r>
      <rPr>
        <b/>
        <sz val="8"/>
        <color rgb="FF002B54"/>
        <rFont val="Calibri"/>
        <family val="2"/>
        <scheme val="minor"/>
      </rPr>
      <t>...</t>
    </r>
  </si>
  <si>
    <t>Tubos de rayos X</t>
  </si>
  <si>
    <t>Portaminas</t>
  </si>
  <si>
    <r>
      <t xml:space="preserve">Fechadores, sellos, numeradores, timbradores y artículos similares, incluidos los aparatos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</si>
  <si>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Cintas para máquinas de escribir y cintas simil., entintadas o preparadas de otro modo para </t>
    </r>
    <r>
      <rPr>
        <b/>
        <sz val="8"/>
        <color rgb="FF002B54"/>
        <rFont val="Calibri"/>
        <family val="2"/>
        <scheme val="minor"/>
      </rPr>
      <t>...</t>
    </r>
  </si>
  <si>
    <t>Peines, peinetas, pasadores y artículos simil., de caucho endurecido o plástico</t>
  </si>
  <si>
    <t>Monopies, bipods, trípodes y artículos similares</t>
  </si>
  <si>
    <r>
      <t xml:space="preserve">Pinturas y dibujos, hechos totalmente a mano (exc. dibujos de la partida 4906 y artículos manufacturados </t>
    </r>
    <r>
      <rPr>
        <b/>
        <sz val="8"/>
        <color rgb="FF002B54"/>
        <rFont val="Calibri"/>
        <family val="2"/>
        <scheme val="minor"/>
      </rPr>
      <t>...</t>
    </r>
  </si>
  <si>
    <t>Mosaicos (exc. de antigüedad de más de 100 años)</t>
  </si>
  <si>
    <r>
      <t xml:space="preserve">Automóviles de turismo y demás vehículos automóviles concebidos principalmente para el transporte </t>
    </r>
    <r>
      <rPr>
        <b/>
        <sz val="8"/>
        <color rgb="FF002B54"/>
        <rFont val="Calibri"/>
        <family val="2"/>
        <scheme val="minor"/>
      </rPr>
      <t>...</t>
    </r>
  </si>
  <si>
    <t>Volquetes automotores concebidos para utilizarlos fuera de la red de carreteras</t>
  </si>
  <si>
    <r>
      <t xml:space="preserve">"Vehículos automóviles para el transporte de mercancías, con solo motor de pistón de combustión </t>
    </r>
    <r>
      <rPr>
        <b/>
        <sz val="8"/>
        <color rgb="FF002B54"/>
        <rFont val="Calibri"/>
        <family val="2"/>
        <scheme val="minor"/>
      </rPr>
      <t>...</t>
    </r>
  </si>
  <si>
    <t>Camiones de bomberos (exc. los destinados al transporte de personal y dotaciones)</t>
  </si>
  <si>
    <r>
      <t xml:space="preserve">Vehículos automóviles para usos especiales (exc. camiones hormigonera, camiones de bomberos,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</si>
  <si>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y accesorios destinados a la industria de montaje: de motocultores, de automóviles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</si>
  <si>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Carretillas eléctricas sin dispositivo de elevación de los tipos utilizados para transporte </t>
    </r>
    <r>
      <rPr>
        <b/>
        <sz val="8"/>
        <color rgb="FF002B54"/>
        <rFont val="Calibri"/>
        <family val="2"/>
        <scheme val="minor"/>
      </rPr>
      <t>...</t>
    </r>
  </si>
  <si>
    <t>"Motocicletas con motor de émbolo ""pistón"" alternativo de cilindrada &gt; 800 cm³"</t>
  </si>
  <si>
    <r>
      <t xml:space="preserve">Partes y accesorios de vehículos de las partidas 8711 a 8713 : De motocicletas, incluidos los </t>
    </r>
    <r>
      <rPr>
        <b/>
        <sz val="8"/>
        <color rgb="FF002B54"/>
        <rFont val="Calibri"/>
        <family val="2"/>
        <scheme val="minor"/>
      </rPr>
      <t>...</t>
    </r>
  </si>
  <si>
    <t>Partes y accesorios de ciclos, n.c.o.p.</t>
  </si>
  <si>
    <t>Vehículos de mano y otros vehículos no automóviles (exc. remolques para cualquier vehículo)</t>
  </si>
  <si>
    <t>Helicópteros de peso en vacío&gt; 2.000 kg (exc. los no tripulados de la partida 8806)</t>
  </si>
  <si>
    <t>"Partes de aviones o de helicópteros, n.c.o.p. (exc. los planeadores ""parapentes"")"</t>
  </si>
  <si>
    <r>
      <t xml:space="preserve">Aeronaves no tripuladas, con un peso máximo de despegue&gt; 25 kg pero &lt;= 150 kg (exc. el transporte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</si>
  <si>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y accesorios de instrumentos y aparatos para medida o control de magnitudes eléctricas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</si>
  <si>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Instrumentos y aparatos para regulación o control, hidráulicos o neumáticos (exc. manostatos </t>
    </r>
    <r>
      <rPr>
        <b/>
        <sz val="8"/>
        <color rgb="FF002B54"/>
        <rFont val="Calibri"/>
        <family val="2"/>
        <scheme val="minor"/>
      </rPr>
      <t>...</t>
    </r>
  </si>
  <si>
    <t>Relojes de pared, eléctricos</t>
  </si>
  <si>
    <t>Registradores de asistencia; registradores fechadores y registradores contadores</t>
  </si>
  <si>
    <r>
      <t xml:space="preserve">Aparatos de control de tiempo y contadores de tiempo, con mecanismo de relojería o motor sincrónico </t>
    </r>
    <r>
      <rPr>
        <b/>
        <sz val="8"/>
        <color rgb="FF002B54"/>
        <rFont val="Calibri"/>
        <family val="2"/>
        <scheme val="minor"/>
      </rPr>
      <t>...</t>
    </r>
  </si>
  <si>
    <t>Pequeños mecanismos de relojería completos y montados, automáticos</t>
  </si>
  <si>
    <t>Cajas de relojes de pulsera, bolsillo y relojes simil., de metal común, incl. dorado o plateado</t>
  </si>
  <si>
    <t>"Pulseras para reloj y sus partes, de metal precioso o chapado de metal precioso ""plaqué"""</t>
  </si>
  <si>
    <t>Revólveres y pistolas (excepto los de las partidas 9303 ó 9304)</t>
  </si>
  <si>
    <r>
      <t xml:space="preserve">Las demás armas [por ejemplo: armas largas y pistolas de muelle (resorte), aire comprimido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</si>
  <si>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Bombas, granadas, torpedos, minas, misiles y demás municiones y proyectiles, así como sus partes,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</si>
  <si>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Barcos faro, barcos bomba, pontones grúa y demás barcos en los que la navegación sea accesoria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</si>
  <si>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Balsas, depósitos, cajones, incl. de amarre, boyas, balizas y demás artefactos flotantes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</si>
  <si>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Objetivos (exc. para cámaras, proyectores o ampliadoras o reductoras fotográficos o cinema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</si>
  <si>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Cámaras especiales para fotografía submarina o aérea, examen médico de órganos internos o para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</si>
  <si>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Cámaras para rollo de película de 35 mm de ancho (exc. cámaras de impresión instantánea y cámaras </t>
    </r>
    <r>
      <rPr>
        <b/>
        <sz val="8"/>
        <color rgb="FF002B54"/>
        <rFont val="Calibri"/>
        <family val="2"/>
        <scheme val="minor"/>
      </rPr>
      <t>...</t>
    </r>
  </si>
  <si>
    <t>Partes y accesorios de cámaras cinematográficas, n.c.o.p.</t>
  </si>
  <si>
    <t>Microscopios estereoscópicos ópticos</t>
  </si>
  <si>
    <t>Microscopios de electrones, microscopios de protones y difractógrafos</t>
  </si>
  <si>
    <r>
      <t xml:space="preserve">Partes de aparatos de alumbrado, anuncios, letreros y placas indicadoras luminosos y artículos </t>
    </r>
    <r>
      <rPr>
        <b/>
        <sz val="8"/>
        <color rgb="FF002B54"/>
        <rFont val="Calibri"/>
        <family val="2"/>
        <scheme val="minor"/>
      </rPr>
      <t>...</t>
    </r>
  </si>
  <si>
    <t>Guirnaldas eléctricas de los tipos utilizados en árboles de Navidad</t>
  </si>
  <si>
    <t>Recargas para bolígrafos, que comprende el bolígrafo y el depósito de tinta-</t>
  </si>
  <si>
    <t>Encendedores de gas no recargables, de bolsillo</t>
  </si>
  <si>
    <t>Grabados, estampas y litografías originales, con antigüedad de más de 100 años</t>
  </si>
  <si>
    <t>Obras originales de estatuaria o escultura, de cualquier materia</t>
  </si>
  <si>
    <t>Artículos para práctica del esquí de nieve (exc. esquís y fijadores de esquí)</t>
  </si>
  <si>
    <t>"Artículos para la práctica del golf (exc. pelotas y palos ""clubs"" completos)"</t>
  </si>
  <si>
    <t>Artículos y material para cultura física, gimnasia o atletismo</t>
  </si>
  <si>
    <t>"Anzuelos, incl. montados en sedal ""tanza"""</t>
  </si>
  <si>
    <r>
      <t xml:space="preserve">Artículos para la pesca con caña, n.c.o.p.; salabardos, cazamariposas y redes simil.; señuelos </t>
    </r>
    <r>
      <rPr>
        <b/>
        <sz val="8"/>
        <color rgb="FF002B54"/>
        <rFont val="Calibri"/>
        <family val="2"/>
        <scheme val="minor"/>
      </rPr>
      <t>...</t>
    </r>
  </si>
  <si>
    <t>Tobogán acuático</t>
  </si>
  <si>
    <t>Teatros ambulantes</t>
  </si>
  <si>
    <r>
      <t xml:space="preserve">"Correas de transmisión, sin fin, con muescas ""sincrónicas"", de circunferencia exterior &gt; </t>
    </r>
    <r>
      <rPr>
        <b/>
        <sz val="8"/>
        <color rgb="FF002B54"/>
        <rFont val="Calibri"/>
        <family val="2"/>
        <scheme val="minor"/>
      </rPr>
      <t>...</t>
    </r>
  </si>
  <si>
    <t>Látex de caucho natural, incl. prevulcanizado</t>
  </si>
  <si>
    <t>"Látex de caucho cloropreno ""clorobutadieno"" ""CR"""</t>
  </si>
  <si>
    <t>Desechos, desperdicios y recortes, de caucho sin endurecer, incluso en polvo o gránulos</t>
  </si>
  <si>
    <r>
      <t xml:space="preserve">Varillas, tubos, perfiles y demás formas de caucho sin vulcanizar, incl. mezclado, así como </t>
    </r>
    <r>
      <rPr>
        <b/>
        <sz val="8"/>
        <color rgb="FF002B54"/>
        <rFont val="Calibri"/>
        <family val="2"/>
        <scheme val="minor"/>
      </rPr>
      <t>...</t>
    </r>
  </si>
  <si>
    <t>Placas, hojas y tiras, de caucho celular</t>
  </si>
  <si>
    <r>
      <t xml:space="preserve">Placas, láminas, hojas y tiras, de polímeros no celulares de estireno y sin esfuerzo, estratificación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</si>
  <si>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Placas, láminas, hojas y tiras, de poliésteres no saturados y no celulares y sin esfuerzo,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</si>
  <si>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Placas, láminas, hojas y tiras, de celulosa celular regenerada, sin trabajar o trabajadas solo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</si>
  <si>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"Poliésteres alílicos y demás poliésteres, no saturados, en formas primarias (exc. plicarbonatos, </t>
    </r>
    <r>
      <rPr>
        <b/>
        <sz val="8"/>
        <color rgb="FF002B54"/>
        <rFont val="Calibri"/>
        <family val="2"/>
        <scheme val="minor"/>
      </rPr>
      <t>...</t>
    </r>
  </si>
  <si>
    <t>Resinas ureicas y resinas de tiourea, en formas primarias</t>
  </si>
  <si>
    <r>
      <t xml:space="preserve">Resinas amínicas, en formas primarias (exc. resinas ureicas, resinas de tiourea y resinas </t>
    </r>
    <r>
      <rPr>
        <b/>
        <sz val="8"/>
        <color rgb="FF002B54"/>
        <rFont val="Calibri"/>
        <family val="2"/>
        <scheme val="minor"/>
      </rPr>
      <t>...</t>
    </r>
  </si>
  <si>
    <t>Poliuretanos, en formas primarias</t>
  </si>
  <si>
    <t>Carboximetilcelulosa y sus sales, en formas primarias</t>
  </si>
  <si>
    <t>Plastes no refractarios de los tipos utilizados en albañilería</t>
  </si>
  <si>
    <t>Óxidos e hidróxidos de molibdeno</t>
  </si>
  <si>
    <t>Instrumento identificado por el uso ostomio</t>
  </si>
  <si>
    <r>
      <t xml:space="preserve">Mezclas de nitrato de amonio con carbonato de calcio o con otras materias inorgánicas sin poder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</si>
  <si>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Mezclas de urea con nitrato de amonio en disolución acuosa o amoniacal (exc. en envases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</si>
  <si>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Abonos minerales o químicos fosfatados (exc. en tabletas o formas simil. o en envases de un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</si>
  <si>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Abonos minerales o químicos con los tres elementos fertilizantes: nitrógeno, fósforo y potasio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</si>
  <si>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Colorantes pigmentarios sintéticos orgánicos; preparaciones a base de colorantes pigmentarios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</si>
  <si>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Agentes de superficie orgánicos, catiónicos, incl. acondicionados para la venta al por menor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</si>
  <si>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Preparaciones para tratamiento de materia textil, cueros y pieles, peletería u otras materias,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</si>
  <si>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Pastas, polvos y demás preparaciones para fregar, incl. papel, guata, fieltro, tela sin tejer, </t>
    </r>
    <r>
      <rPr>
        <b/>
        <sz val="8"/>
        <color rgb="FF002B54"/>
        <rFont val="Calibri"/>
        <family val="2"/>
        <scheme val="minor"/>
      </rPr>
      <t>...</t>
    </r>
  </si>
  <si>
    <t>Cuajo y sus concentrados</t>
  </si>
  <si>
    <t>Mechas de seguridad</t>
  </si>
  <si>
    <t>"Copolímeros de estireno-acrilonitrilo ""SAN"", en formas primarias"</t>
  </si>
  <si>
    <t>"Poli""cloruro de vinilo"", en formas primarias, sin mezclar con otras sustancias"</t>
  </si>
  <si>
    <t>"Poli""cloruro de vinilo"", en formas primarias, mezclado con otras sustancias, sin plastificar"</t>
  </si>
  <si>
    <t>Pentacloruro de fósforo</t>
  </si>
  <si>
    <t>monocloruro de azufre</t>
  </si>
  <si>
    <t>Trióxido de cromo</t>
  </si>
  <si>
    <t>Óxidos de titanio</t>
  </si>
  <si>
    <t>Pulpa de remolacha, bagazo de caña de azúcar y demás desperdicios de la industria azucarera</t>
  </si>
  <si>
    <r>
      <t xml:space="preserve">"Tortas y demás residuos sólidos de la extracción de materias grasas o aceites vegetales, de </t>
    </r>
    <r>
      <rPr>
        <b/>
        <sz val="8"/>
        <color rgb="FF002B54"/>
        <rFont val="Calibri"/>
        <family val="2"/>
        <scheme val="minor"/>
      </rPr>
      <t>...</t>
    </r>
  </si>
  <si>
    <t>"Cigarros ""puros"", incl. despuntadosy cigarritos ""puritos"", que contengan tabaco"</t>
  </si>
  <si>
    <t>Tabaco de pipa (excluido sin tabaco. Vea la nota de subpartida 1.)</t>
  </si>
  <si>
    <t>"Alcaloides de la quina ""chinchona"" y sus derivados; sales de estos productos"</t>
  </si>
  <si>
    <t>Cafeína y sus sales</t>
  </si>
  <si>
    <t>Efedrina y sus sales</t>
  </si>
  <si>
    <t>"Pseudoefedrina ""DCI"" y sus sales"</t>
  </si>
  <si>
    <t>"Fenetilina ""DCI"" y sus sales"</t>
  </si>
  <si>
    <t>Eritromicina y sus derivados; sales de estos productos</t>
  </si>
  <si>
    <t>Kit para el diagnóstico de la malaria (paludismo)</t>
  </si>
  <si>
    <t>Vacunas para medicina veterinaria</t>
  </si>
  <si>
    <t>Productos de terapia celular</t>
  </si>
  <si>
    <r>
      <t xml:space="preserve">Medicamentos, que contengan norefedrina o sus sales, sin hormonas ni esteroides utilizados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</si>
  <si>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"Medicamentos, que contengan insulina pero sin antibióticos, dosificados ""incl. los administrados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</si>
  <si>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"Los medicamentos que contienen norefedrina o sus sales, sin hormonas ni esteroides utilizados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</si>
  <si>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"Medicamentos, que contengan provitaminas, vitaminas, incl. los concentrados naturales, o sus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</si>
  <si>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Ferrocerio y demás aleaciones pirofóricas en cualquier forma; metaldehído, hexametilenotetramina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</si>
  <si>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Placas y películas planas, fotográficas, sensibilizadas, sin impresionar, para fotografía en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</si>
  <si>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"Películas fotográficas en rollos, sensibilizadas, sin impresionar, sin perforar, de anchura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</si>
  <si>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"Películas fotográficas, sensibilizadas, en rollos, sin impresionar, con perforaciones, para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</si>
  <si>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Platos y películas fotográficas, expuestas o desarrolladas (exc. productos hechos de papel,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</si>
  <si>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Kieselguhr activado y demás materias minerales naturales activadas; negro de origen animal,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</si>
  <si>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Rodenticidas y otros productos fitosanitarios acondicionadas para la venta al por menor, o </t>
    </r>
    <r>
      <rPr>
        <b/>
        <sz val="8"/>
        <color rgb="FF002B54"/>
        <rFont val="Calibri"/>
        <family val="2"/>
        <scheme val="minor"/>
      </rPr>
      <t>...</t>
    </r>
  </si>
  <si>
    <t>Preparaciones antidetonantes para gasolina, a base de compuestos de plomo</t>
  </si>
  <si>
    <t>Aditivos para aceites lubricantes, que contengan aceites de petróleo o de mineral bituminoso</t>
  </si>
  <si>
    <t>"Ácidos grasos del ""tall-oil"", industriales"</t>
  </si>
  <si>
    <t>"Sorbitol (exc. D-glucitol ""sorbitol"")"</t>
  </si>
  <si>
    <t>Mezclas que contengan bromoclorodiflurometano, bromotrifluorometano o dibrometetrafluoroetano</t>
  </si>
  <si>
    <r>
      <t xml:space="preserve">Mezclas que contengan halogenados derivados del metano, etano o propano (exc. de subtitulo </t>
    </r>
    <r>
      <rPr>
        <b/>
        <sz val="8"/>
        <color rgb="FF002B54"/>
        <rFont val="Calibri"/>
        <family val="2"/>
        <scheme val="minor"/>
      </rPr>
      <t>...</t>
    </r>
  </si>
  <si>
    <t>"Mezclas y preparaciones que contengan oxirano ""etano oxido"""</t>
  </si>
  <si>
    <t>"Las mezclas y preparados que contengan pentaclorobenceno ""ISO"" o hexaclorobenceno ""ISO"""</t>
  </si>
  <si>
    <t>Lodos de depuración</t>
  </si>
  <si>
    <t>Desechos de disolventes orgánicos, halogenados</t>
  </si>
  <si>
    <t>Tejidos de pelo ordinario o de crin</t>
  </si>
  <si>
    <t>Algodón sin cardar ni peinar</t>
  </si>
  <si>
    <r>
      <t xml:space="preserve">"Hilados de algodón, sencillos, de fibras sin peinar, con un contenido de algodón &gt;= 85% en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</si>
  <si>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algodón, con un contenido de algodón &gt;= 85% en peso, de peso &lt;= 200 g/m², de ligamento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</si>
  <si>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algodón, con un contenido de algodón &gt;= 85% en peso, de peso &gt; 200 g/m², teñidos </t>
    </r>
    <r>
      <rPr>
        <b/>
        <sz val="8"/>
        <color rgb="FF002B54"/>
        <rFont val="Calibri"/>
        <family val="2"/>
        <scheme val="minor"/>
      </rPr>
      <t>...</t>
    </r>
  </si>
  <si>
    <t>Lino en bruto o enriado</t>
  </si>
  <si>
    <r>
      <t xml:space="preserve">"Cáñamo ""Cannabis Sativa L."", trabajado, pero sin hilar; estopas y desperdicios de cáñamo,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</si>
  <si>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lino, con un alto contenido de lino, pero &lt; 85% en peso, teñidos, fabricados con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</si>
  <si>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de filamentos sintéticos, incl. los monofilamentos sintéticos de título &lt; 67 decitex,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</si>
  <si>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de filamentos de poliésteres, incl. los monofilamentos de título &lt; 67 decitex, sencillos,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</si>
  <si>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"Múltiple ""plegado"" o cableados hilados de filamentos de polipropileno, incl. los monofilamentos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</si>
  <si>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Monofilamentos artificiales de título superior o igual a 67 decitex y cuya mayor dimensión </t>
    </r>
    <r>
      <rPr>
        <b/>
        <sz val="8"/>
        <color rgb="FF002B54"/>
        <rFont val="Calibri"/>
        <family val="2"/>
        <scheme val="minor"/>
      </rPr>
      <t>...</t>
    </r>
  </si>
  <si>
    <t>Ataúdes de madera</t>
  </si>
  <si>
    <r>
      <t xml:space="preserve">"Papel, guata de celulosa o napa de fibras de celulosa, de los tipos utilizados para fines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</si>
  <si>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"Tableros de partículas y tableros similares, de madera u otras materias leñosas, incl. aglomeradas </t>
    </r>
    <r>
      <rPr>
        <b/>
        <sz val="8"/>
        <color rgb="FF002B54"/>
        <rFont val="Calibri"/>
        <family val="2"/>
        <scheme val="minor"/>
      </rPr>
      <t>...</t>
    </r>
  </si>
  <si>
    <t>"Tableros de media densidad ""MDF"", de madera y de medida &gt; 9 mm"</t>
  </si>
  <si>
    <t>Palillos de bambú</t>
  </si>
  <si>
    <r>
      <t xml:space="preserve">Tejidos de hilados con un contenido de filamentos de nailon o demás poliamidas &gt;= 85% en peso,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</si>
  <si>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hilados con un contenido de filamentos de poliésteres texturados &gt;= 85% en peso,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</si>
  <si>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hilados con un contenido de filamentos artificiales &gt;= 85% en peso, incl. los monofilamentos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</si>
  <si>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hilados con un alto contenido de filamentos artificiales, pero &lt; 85% en peso, incl.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</si>
  <si>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Fibras discontinuas de poliésteres, sin cardar, peinar ni transformar de otra forma para la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</si>
  <si>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Fibras discontinuas de polipropileno, sin cardar, peinar ni transformar de otra forma para </t>
    </r>
    <r>
      <rPr>
        <b/>
        <sz val="8"/>
        <color rgb="FF002B54"/>
        <rFont val="Calibri"/>
        <family val="2"/>
        <scheme val="minor"/>
      </rPr>
      <t>...</t>
    </r>
  </si>
  <si>
    <t>Desperdicios de fibras artificiales, incl. las borras, los desperdicios de hilados y las hilachas</t>
  </si>
  <si>
    <r>
      <t xml:space="preserve">Hilados con un contenido de fibras discontinuas acrílicas o modacrílicas &gt;= 85% en peso, sencillos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</si>
  <si>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con un alto contenido de fibras discontinuas de poliéster, pero &lt; 85% en peso, distintos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</si>
  <si>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con un contenido de fibras sintéticas discontinuas &gt;= 85% en peso, acondicionados para </t>
    </r>
    <r>
      <rPr>
        <b/>
        <sz val="8"/>
        <color rgb="FF002B54"/>
        <rFont val="Calibri"/>
        <family val="2"/>
        <scheme val="minor"/>
      </rPr>
      <t>...</t>
    </r>
  </si>
  <si>
    <t>"Traviesas de ferrocarril o tranvía ""traviesas"" de madera sin impregnar, coníferas"</t>
  </si>
  <si>
    <r>
      <t xml:space="preserve">"Abeto ""Abies spp."" y abeto ""Picea spp."" aserrados o desbastados longitudinalmente, cortados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</si>
  <si>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Madera de coníferas en hojas para chapado, incl. las obtenidas por cortado de madera estratificada,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</si>
  <si>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"Madera de ""dark red meranti"", ""light red meranti"" y ""meranti bakau"", en hojas para chapado, </t>
    </r>
    <r>
      <rPr>
        <b/>
        <sz val="8"/>
        <color rgb="FF002B54"/>
        <rFont val="Calibri"/>
        <family val="2"/>
        <scheme val="minor"/>
      </rPr>
      <t>...</t>
    </r>
  </si>
  <si>
    <t>Cabezas, colas, patas y trozos utilizables en peletería</t>
  </si>
  <si>
    <t>Pieles curtidas o adobadas, enteras, incl. sin la cabeza, cola o patas, sin ensamblar, de visón</t>
  </si>
  <si>
    <t>Aserrín, desperdicios y desechos, de madera, sin aglomerar</t>
  </si>
  <si>
    <r>
      <t xml:space="preserve">Madera en bruto, tratada con pintura, tinte, creosota u otros agentes de conservación, de coníferas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</si>
  <si>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Madera de teca en bruto, incluso descortezada o de albura, o en bruto o escuadrada (exc. ​​Madera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</si>
  <si>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"Eucalipto ""Eucalyptus spp."" en bruto, despojada o no de la corteza o albura, o simplemente </t>
    </r>
    <r>
      <rPr>
        <b/>
        <sz val="8"/>
        <color rgb="FF002B54"/>
        <rFont val="Calibri"/>
        <family val="2"/>
        <scheme val="minor"/>
      </rPr>
      <t>...</t>
    </r>
  </si>
  <si>
    <t>"Neumáticos ""llantas neumáticas"" nuevos de caucho, de los tipos utilizados en bicicletas"</t>
  </si>
  <si>
    <r>
      <t xml:space="preserve">"Neumáticos ""llantas neumáticas"" nuevos de caucho, de los tipos utilizados en vehículos y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</si>
  <si>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"Neumáticos ""llantas neumáticas"" nuevos de caucho (exc. con altos relieves en forma de taco, </t>
    </r>
    <r>
      <rPr>
        <b/>
        <sz val="8"/>
        <color rgb="FF002B54"/>
        <rFont val="Calibri"/>
        <family val="2"/>
        <scheme val="minor"/>
      </rPr>
      <t>...</t>
    </r>
  </si>
  <si>
    <t>Guantes de caucho vulcanizado sin endurecer, para cirugía (exc. dediles)</t>
  </si>
  <si>
    <r>
      <t xml:space="preserve">Defensas, incl. inflables, para el atraque de barcos, de caucho vulcanizado sin endurecer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</si>
  <si>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Crupones, medios crupones, faldas y cueros y pieles divididos, en bruto, de bovino, incl. el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</si>
  <si>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"Cueros y pieles en bruto, con lana, de ovino, frescos o salados, secos, encalados, piquelados </t>
    </r>
    <r>
      <rPr>
        <b/>
        <sz val="8"/>
        <color rgb="FF002B54"/>
        <rFont val="Calibri"/>
        <family val="2"/>
        <scheme val="minor"/>
      </rPr>
      <t>...</t>
    </r>
  </si>
  <si>
    <t>"Cueros y pieles, en bruto, sin lana ""depilados"", de ovino, piquelados, incl. divididos"</t>
  </si>
  <si>
    <r>
      <t xml:space="preserve">"Plena flor sin dividir o divididos con la flor, en estado húmedo, incl. el ""wet blue"",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</si>
  <si>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"Plena flor sin dividir o divididos con la flor, en estado seco ""crust"", de cueros y pieles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</si>
  <si>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Cueros y pieles agamuzados, incl. el agamuzado combinado al aceite (exc. cueros y pieles previamente </t>
    </r>
    <r>
      <rPr>
        <b/>
        <sz val="8"/>
        <color rgb="FF002B54"/>
        <rFont val="Calibri"/>
        <family val="2"/>
        <scheme val="minor"/>
      </rPr>
      <t>...</t>
    </r>
  </si>
  <si>
    <t>Cuero regenerado a base de cuero o de fibras de cuero, en placas, hojas o tiras, incl. enrolladas</t>
  </si>
  <si>
    <r>
      <t xml:space="preserve">Trenzas y productos similares, de bambú trazado, sin ensamblar, material trenzado, y productos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</si>
  <si>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"Pasta química, de madera distinta de la de coníferas, a la sosa ""soda"" o al sulfato, cruda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</si>
  <si>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"Pasta química, de madera de coníferas, a la sosa ""soda"" o al sulfato, semiblanqueada o blanqueada </t>
    </r>
    <r>
      <rPr>
        <b/>
        <sz val="8"/>
        <color rgb="FF002B54"/>
        <rFont val="Calibri"/>
        <family val="2"/>
        <scheme val="minor"/>
      </rPr>
      <t>...</t>
    </r>
  </si>
  <si>
    <t>"Pasta de fibras obtenidas de papel o cartón reciclado ""desperdicios y desechos"""</t>
  </si>
  <si>
    <r>
      <t xml:space="preserve">"Papel o cartón para reciclar ""desperdicios y desechos"", de papel o cartón Kraft crudo 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</si>
  <si>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 y cartón soporte para papel y cartón fotosensibles, termosensibles o electrosensibles, </t>
    </r>
    <r>
      <rPr>
        <b/>
        <sz val="8"/>
        <color rgb="FF002B54"/>
        <rFont val="Calibri"/>
        <family val="2"/>
        <scheme val="minor"/>
      </rPr>
      <t>...</t>
    </r>
  </si>
  <si>
    <t>Papel soporte para papeles de decorar paredes, sin estucar ni recubrir</t>
  </si>
  <si>
    <r>
      <t xml:space="preserve">"Papeles y cartones, sin estucar ni recubrir, de los tipos utilizados para escribir, imprimir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</si>
  <si>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 y cartón para caras ""cubiertas"" [""kraftliner""], sin estucar ni recubrir, en bobinas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</si>
  <si>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Papel y cartón obtenidos por pegado de hojas planas, sin estucar ni recubrir en la superficie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</si>
  <si>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Papel kraft, rizados o plisados, con o sin estampados o perforados, en rollos de anchura&gt; 36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</si>
  <si>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Los papeles de transferencia, IVA incluido. impregnados o recubiertos de papel para esténciles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</si>
  <si>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Papel y cartón utilizados para escribir, imprimir u otros fines gráficos, sin fibras obtenidas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</si>
  <si>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 y cartón multicapas, estucados por una o las dos caras con caolín u otras sustancias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</si>
  <si>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 y cartón recubiertos, impregnados o revestidos de cera, parafina, estearina, aceite </t>
    </r>
    <r>
      <rPr>
        <b/>
        <sz val="8"/>
        <color rgb="FF002B54"/>
        <rFont val="Calibri"/>
        <family val="2"/>
        <scheme val="minor"/>
      </rPr>
      <t>...</t>
    </r>
  </si>
  <si>
    <t>Berenjenas, frescas o refrigeradas</t>
  </si>
  <si>
    <t>"Shiitake fresco o refrigerado ""Lentinus edodes"""</t>
  </si>
  <si>
    <r>
      <t xml:space="preserve">"Setas y demás hongos del género ""Agaricus"", conservadas provisionalmente, p.ej., con gas </t>
    </r>
    <r>
      <rPr>
        <b/>
        <sz val="8"/>
        <color rgb="FF002B54"/>
        <rFont val="Calibri"/>
        <family val="2"/>
        <scheme val="minor"/>
      </rPr>
      <t>...</t>
    </r>
  </si>
  <si>
    <t>"Las avellanas frescas o secas o avellanas ""Corylus spp."", Sin cáscara"</t>
  </si>
  <si>
    <t>Nueces frescas o secas, con cáscara</t>
  </si>
  <si>
    <t>Pistachos frescos o secos, con cáscara</t>
  </si>
  <si>
    <r>
      <t xml:space="preserve">Frutos secos, frescos o secos, incluso sin cáscara o mondados (exc. ??cocos, nueces del Brasil, </t>
    </r>
    <r>
      <rPr>
        <b/>
        <sz val="8"/>
        <color rgb="FF002B54"/>
        <rFont val="Calibri"/>
        <family val="2"/>
        <scheme val="minor"/>
      </rPr>
      <t>...</t>
    </r>
  </si>
  <si>
    <t>Piñones frescos o secos, con cáscara</t>
  </si>
  <si>
    <t>Nuez moscada, triturada o pulverizada</t>
  </si>
  <si>
    <t>Mace, sin triturar ni pulverizar</t>
  </si>
  <si>
    <t>Semillas de comino, sin triturar ni pulverizar</t>
  </si>
  <si>
    <t>Papayas, frescas</t>
  </si>
  <si>
    <t>Cerezas frescas (excepto las cerezas ácidas)</t>
  </si>
  <si>
    <t>Fresco-negro, blanco y grosellas</t>
  </si>
  <si>
    <r>
      <t xml:space="preserve">Cerezas conservadas provisionalmente, p.ej. con gas sulfuroso o con agua salada o sulfurosa </t>
    </r>
    <r>
      <rPr>
        <b/>
        <sz val="8"/>
        <color rgb="FF002B54"/>
        <rFont val="Calibri"/>
        <family val="2"/>
        <scheme val="minor"/>
      </rPr>
      <t>...</t>
    </r>
  </si>
  <si>
    <t>Ciruelas, secas</t>
  </si>
  <si>
    <t>Arroz partido</t>
  </si>
  <si>
    <r>
      <t xml:space="preserve">Extracto vegetal, de regaliz (exc. con un contenido de sacarosa &gt; 10% en peso o acondicionado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</si>
  <si>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Manteca de cerdo, sin fundir ni extraer de otro modo (exc. ??estearina solar y aceite de manteca </t>
    </r>
    <r>
      <rPr>
        <b/>
        <sz val="8"/>
        <color rgb="FF002B54"/>
        <rFont val="Calibri"/>
        <family val="2"/>
        <scheme val="minor"/>
      </rPr>
      <t>...</t>
    </r>
  </si>
  <si>
    <t>Manteca de cerdo, sin fundir ni extraer de otro modo (la manteca de cerdo excl.)</t>
  </si>
  <si>
    <r>
      <t xml:space="preserve">"Aceite de oliva virgen ""UE cat. 3"" obtenido del fruto del olivo únicamente por medios mecánicos </t>
    </r>
    <r>
      <rPr>
        <b/>
        <sz val="8"/>
        <color rgb="FF002B54"/>
        <rFont val="Calibri"/>
        <family val="2"/>
        <scheme val="minor"/>
      </rPr>
      <t>...</t>
    </r>
  </si>
  <si>
    <t>Aceite de palma en bruto</t>
  </si>
  <si>
    <r>
      <t xml:space="preserve">"Aceites de nabo ""nabina"" o colza con bajo contenido de ácido erúcico ""aceite fijo con un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</si>
  <si>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Aceite de maíz y sus fracciones, incl. refinados, sin modificar químicamente (exc. aceite de </t>
    </r>
    <r>
      <rPr>
        <b/>
        <sz val="8"/>
        <color rgb="FF002B54"/>
        <rFont val="Calibri"/>
        <family val="2"/>
        <scheme val="minor"/>
      </rPr>
      <t>...</t>
    </r>
  </si>
  <si>
    <t>"Aceite de sésamo ""ajonjolí"" y sus fracciones, incl. refinados, sin modificar químicamente"</t>
  </si>
  <si>
    <r>
      <t xml:space="preserve">Preparaciones y conservas de hígado de cualquier animal (exc. embutidos y productos simil., </t>
    </r>
    <r>
      <rPr>
        <b/>
        <sz val="8"/>
        <color rgb="FF002B54"/>
        <rFont val="Calibri"/>
        <family val="2"/>
        <scheme val="minor"/>
      </rPr>
      <t>...</t>
    </r>
  </si>
  <si>
    <t>Atún vivo del Atlántico y atún rojo del Pacífico (Thunnus thynnus, Thunnus orientalis)</t>
  </si>
  <si>
    <t>"Atunes de aleta amarilla o rabiles ""Thunnus albacares"", frescos o refrigerados"</t>
  </si>
  <si>
    <r>
      <t xml:space="preserve">"Atunes frescos o refrigerados del género ""Thunnus"" (sin Thunnus alalunga, Thunnus albacares, </t>
    </r>
    <r>
      <rPr>
        <b/>
        <sz val="8"/>
        <color rgb="FF002B54"/>
        <rFont val="Calibri"/>
        <family val="2"/>
        <scheme val="minor"/>
      </rPr>
      <t>...</t>
    </r>
  </si>
  <si>
    <t>"Anchoas ""Engraulis spp."", frescas o refrigeradas"</t>
  </si>
  <si>
    <t>"Carboneros ""Pollachius virens "", frescos o refrigerados"</t>
  </si>
  <si>
    <t>Aletas de tiburón frescas o refrigeradas</t>
  </si>
  <si>
    <r>
      <t xml:space="preserve">Aletas, cabezas, colas, peces y demás despojos de pescado comestibles, frescos o refrigerados </t>
    </r>
    <r>
      <rPr>
        <b/>
        <sz val="8"/>
        <color rgb="FF002B54"/>
        <rFont val="Calibri"/>
        <family val="2"/>
        <scheme val="minor"/>
      </rPr>
      <t>...</t>
    </r>
  </si>
  <si>
    <t>"Anguilas ""Anguilla spp."", congeladas"</t>
  </si>
  <si>
    <t>"Patudos o atunes ojo grande ""Thunnus obesus"", congelados"</t>
  </si>
  <si>
    <r>
      <t xml:space="preserve">"Anchoas congeladas ""Engraulis spp."", Caballas indias ""Rastrelliger spp."", Pez espárragos </t>
    </r>
    <r>
      <rPr>
        <b/>
        <sz val="8"/>
        <color rgb="FF002B54"/>
        <rFont val="Calibri"/>
        <family val="2"/>
        <scheme val="minor"/>
      </rPr>
      <t>...</t>
    </r>
  </si>
  <si>
    <t>"Abadejo de Alaska congelado ""Theragra chalcogramma"""</t>
  </si>
  <si>
    <t>"Lubina ""Dicentrarchus spp."" congelada"</t>
  </si>
  <si>
    <t>Hígados, huevas y lechas de pescado congelado</t>
  </si>
  <si>
    <t>Asnos vivos</t>
  </si>
  <si>
    <t>Gallos y gallinas de las especies domésticas, vivos, de peso &lt;= 185 g</t>
  </si>
  <si>
    <t>Avestruces vivos, y emúes [Dromaius novaehollandiae]</t>
  </si>
  <si>
    <t>Piernas, paletas, y sus trozos, sin deshuesar, de porcinos, frescos o refrigerados</t>
  </si>
  <si>
    <t>Canales o medias canales, de cordero, congeladas</t>
  </si>
  <si>
    <t>"Cortes ""trozos"" de ovinos, sin deshuesar, congelados (exc. canales o medias canales)"</t>
  </si>
  <si>
    <t>Carne de animales de las especies caballar, asnal o mular, fresca, refrigerada o congelada</t>
  </si>
  <si>
    <t>Despojos de bovinos, comestibles, frescos o refrigerados</t>
  </si>
  <si>
    <t>Gallos y gallinas de especies domésticas, sin trocear, congelados</t>
  </si>
  <si>
    <t>Patos domésticos congelados, sin trocear</t>
  </si>
  <si>
    <t>Gansos domésticos, fresca o refrigerada, sin trocear</t>
  </si>
  <si>
    <r>
      <t xml:space="preserve">"Tocino entreverado de panza ""panceta"" y sus trozos, de porcinos, salados o en salmuera,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</si>
  <si>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Carne y despojos comestibles, salados o en salmuera, secos o ahumados, y harina y polvo comestibles </t>
    </r>
    <r>
      <rPr>
        <b/>
        <sz val="8"/>
        <color rgb="FF002B54"/>
        <rFont val="Calibri"/>
        <family val="2"/>
        <scheme val="minor"/>
      </rPr>
      <t>...</t>
    </r>
  </si>
  <si>
    <t>Lactosuero, aunque esté modificado o incluso concentrado o con adición de azúcar u otro edulcorante</t>
  </si>
  <si>
    <t>Huevos de aves fecundados 'para la incubación (exc. ??aves domésticas)</t>
  </si>
  <si>
    <r>
      <t xml:space="preserve">Tripas, vejigas y estómagos de animales (excepto los de pescado), enteros o en trozos, frescos,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</si>
  <si>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"Concha ""caparazón"" de tortuga, ballenas de mamíferos marinos, incl. las barbas, cuernos, </t>
    </r>
    <r>
      <rPr>
        <b/>
        <sz val="8"/>
        <color rgb="FF002B54"/>
        <rFont val="Calibri"/>
        <family val="2"/>
        <scheme val="minor"/>
      </rPr>
      <t>...</t>
    </r>
  </si>
  <si>
    <t>"Claveles ""flores y capullos"", cortados para ramos o adornos, frescos"</t>
  </si>
  <si>
    <t>Tomates frescos o refrigerados</t>
  </si>
  <si>
    <t>"Coles ""repollitos"" de Bruselas, frescas o refrigeradas"</t>
  </si>
  <si>
    <t>"Filetes congelados de bagre ""Pangasius spp. Silurus spp. Clarias spp. Ictalurus spp."""</t>
  </si>
  <si>
    <t>Carne congelada, incluso picada, de alevines y demás tiburones</t>
  </si>
  <si>
    <r>
      <t xml:space="preserve">"Bacalao seco ""Gadus morhua, Gadus ogac, Gadus macrocephalus"", incluso salado, sin ahumar </t>
    </r>
    <r>
      <rPr>
        <b/>
        <sz val="8"/>
        <color rgb="FF002B54"/>
        <rFont val="Calibri"/>
        <family val="2"/>
        <scheme val="minor"/>
      </rPr>
      <t>...</t>
    </r>
  </si>
  <si>
    <t>Aletas de tiburón, salmuera ahumados, secos, salados o en</t>
  </si>
  <si>
    <r>
      <t xml:space="preserve">"Langosta congelada y otros productos de mar langosta ""Palinurus spp."", ""Panulirus spp.""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</si>
  <si>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"Langostas de Noruega ""Nephrops norvegicus"", incluso ahumadas, peladas o sin pelar, vivas,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</si>
  <si>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"Langostas ""Nephrops norvegicus"", con o sin cáscara, secas, saladas, ahumadas o en salmuera, </t>
    </r>
    <r>
      <rPr>
        <b/>
        <sz val="8"/>
        <color rgb="FF002B54"/>
        <rFont val="Calibri"/>
        <family val="2"/>
        <scheme val="minor"/>
      </rPr>
      <t>...</t>
    </r>
  </si>
  <si>
    <t>Ostras, incluso con cáscara, vivas, frescas o refrigeradas</t>
  </si>
  <si>
    <t>Ostras, ahumados, congelados, secos, salados o en salmuera</t>
  </si>
  <si>
    <t>"Ahumados, secos, salados o en salmuera, incluso con cáscara, abulón ""Haliotis spp."""</t>
  </si>
  <si>
    <t>"Pepinos de mar vivos, frescos o refrigerados ""japonicus Stichopus, Holothurioidea"""</t>
  </si>
  <si>
    <t>Granos de avena aplastados o en copos</t>
  </si>
  <si>
    <t>"Almidones y féculas (exc. de trigo, maíz, patata ""papa"" y mandioca ""yuca"")"</t>
  </si>
  <si>
    <r>
      <t xml:space="preserve">"Semillas de nabo ""nabina"" o de colza con bajo contenido de ácido erúcico ""de las que se </t>
    </r>
    <r>
      <rPr>
        <b/>
        <sz val="8"/>
        <color rgb="FF002B54"/>
        <rFont val="Calibri"/>
        <family val="2"/>
        <scheme val="minor"/>
      </rPr>
      <t>...</t>
    </r>
  </si>
  <si>
    <t>"Conos de lúpulo, quebrantados, molidos o en ""pellets""; lupulino"</t>
  </si>
  <si>
    <t>"Raíces de ""ginseng"", frescas o secas, incl. cortadas, trituradas o pulverizadas"</t>
  </si>
  <si>
    <r>
      <t xml:space="preserve">Crustáceos, preparados o conservados (excepto los ahumados, cangrejos, camarones, langostinos </t>
    </r>
    <r>
      <rPr>
        <b/>
        <sz val="8"/>
        <color rgb="FF002B54"/>
        <rFont val="Calibri"/>
        <family val="2"/>
        <scheme val="minor"/>
      </rPr>
      <t>...</t>
    </r>
  </si>
  <si>
    <t>Pan de especias, incl. con cacao</t>
  </si>
  <si>
    <r>
      <t xml:space="preserve">"Azúcar sólido de arce [""maple""] y jarabe de arce [""maple""], sin adición de aromatizante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</si>
  <si>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"Albaricoques ""damascos, chabacanos"", preparados o conservados, incl. con adición de azúcar </t>
    </r>
    <r>
      <rPr>
        <b/>
        <sz val="8"/>
        <color rgb="FF002B54"/>
        <rFont val="Calibri"/>
        <family val="2"/>
        <scheme val="minor"/>
      </rPr>
      <t>...</t>
    </r>
  </si>
  <si>
    <t>Achicoria tostada y demás sucedáneos del café tostados y sus extractos, esencias y concentrados</t>
  </si>
  <si>
    <r>
      <t xml:space="preserve">"Minerales de hierro y sus concentrados, sin aglomerar (exc. piritas de hierro tostadas ""cenizas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</si>
  <si>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Minerales de manganeso y sus concentrados, incluidos los minerales de manganeso ferruginosos </t>
    </r>
    <r>
      <rPr>
        <b/>
        <sz val="8"/>
        <color rgb="FF002B54"/>
        <rFont val="Calibri"/>
        <family val="2"/>
        <scheme val="minor"/>
      </rPr>
      <t>...</t>
    </r>
  </si>
  <si>
    <t>Minerales de volfralmio (tungsteno) y sus concentrados</t>
  </si>
  <si>
    <t>Minerales de uranio y sus concentrados</t>
  </si>
  <si>
    <r>
      <t xml:space="preserve">Cenizas y residuos, que contengan metal o compuestos de metales (exc. los de la siderurgia, </t>
    </r>
    <r>
      <rPr>
        <b/>
        <sz val="8"/>
        <color rgb="FF002B54"/>
        <rFont val="Calibri"/>
        <family val="2"/>
        <scheme val="minor"/>
      </rPr>
      <t>...</t>
    </r>
  </si>
  <si>
    <t>Coques y semicoques de hulla, lignito o turba, incluso aglomerados; carbón de retorta</t>
  </si>
  <si>
    <t>Pizarras y arenas bituminosas</t>
  </si>
  <si>
    <r>
      <t xml:space="preserve">Mezclas bituminosas a base de asfalto o de betún naturales, de betún de petróleo, de alquitrán </t>
    </r>
    <r>
      <rPr>
        <b/>
        <sz val="8"/>
        <color rgb="FF002B54"/>
        <rFont val="Calibri"/>
        <family val="2"/>
        <scheme val="minor"/>
      </rPr>
      <t>...</t>
    </r>
  </si>
  <si>
    <t>Energía eléctrica</t>
  </si>
  <si>
    <t>Carbono (negros de humo y otras formas de carbono no expresadas ni comprendidas en otra parte)</t>
  </si>
  <si>
    <t>Nitrógeno</t>
  </si>
  <si>
    <t>Silicio, con un contenido de silicio &lt; 99,99% en peso</t>
  </si>
  <si>
    <t>Mercurio</t>
  </si>
  <si>
    <t>Bentonita</t>
  </si>
  <si>
    <t>Gránulos, tasquiles y polvo de mármol, incl. tratados térmicamente</t>
  </si>
  <si>
    <t>Castinas; piedras para la fabricación de cal o de cemento</t>
  </si>
  <si>
    <t>Cal apagada</t>
  </si>
  <si>
    <t>Cal hidráulica (exc. el óxido y el hidróxido de calcio)</t>
  </si>
  <si>
    <t>"Cementos sin pulverizar ""clinker"""</t>
  </si>
  <si>
    <t>Cementos hidráulicos, incl. coloreados (exc. cemento Portland, cementos aluminosos)</t>
  </si>
  <si>
    <t>Desperdicios de mica</t>
  </si>
  <si>
    <t>Yoduros y oxiyoduros (exc. compuestos inorganicos u organicos de mercurio)</t>
  </si>
  <si>
    <t>Sulfato de disodio</t>
  </si>
  <si>
    <t>Sulfatos de bario</t>
  </si>
  <si>
    <t>"Fosfinatos ""hipofosfitos"" y fosfonatos ""fosfitos"""</t>
  </si>
  <si>
    <t>Silicatos de sodio, incl. los silicatos comerciales (exc. metasilicatos)</t>
  </si>
  <si>
    <t>"Tetraborato de disodio ""bórax refinado"", anhidro"</t>
  </si>
  <si>
    <r>
      <t xml:space="preserve">"Sales de los ácidos oxometálicos o peroxometálicos (exc. aluminatos, cromatos, dicromatos,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</si>
  <si>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Uranio empobrecido en U 235 y sus compuestos; torio y sus compuestos; aleaciones, dispersiones,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</si>
  <si>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Actinio-225, actinio-227, californio-253, curio-240, curio-241, curio-242, curio-243, curio-244, </t>
    </r>
    <r>
      <rPr>
        <b/>
        <sz val="8"/>
        <color rgb="FF002B54"/>
        <rFont val="Calibri"/>
        <family val="2"/>
        <scheme val="minor"/>
      </rPr>
      <t>...</t>
    </r>
  </si>
  <si>
    <t>"Agua pesada ""óxido de deuterio"" [Euratom]"</t>
  </si>
  <si>
    <t>Compuestos de cerio</t>
  </si>
  <si>
    <r>
      <t xml:space="preserve">Carburos, aunque no de constitución química definida (excepto los de calcio o de silicio, y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</si>
  <si>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Compuestos inorgánicos u orgánicos, de mercurio, de constitución química definida (excepto </t>
    </r>
    <r>
      <rPr>
        <b/>
        <sz val="8"/>
        <color rgb="FF002B54"/>
        <rFont val="Calibri"/>
        <family val="2"/>
        <scheme val="minor"/>
      </rPr>
      <t>...</t>
    </r>
  </si>
  <si>
    <t>"El cloruro de cianógeno ""chlorcyan"""</t>
  </si>
  <si>
    <t>Hidrocarburos ciclánicos o ciclénicos (exc. ciclohexano)</t>
  </si>
  <si>
    <t>"Cloroformo ""triclorometano"""</t>
  </si>
  <si>
    <t>"Ethylene dribromodo ""ISO""""1,2-dribromometano"""</t>
  </si>
  <si>
    <r>
      <t xml:space="preserve">Derivados halogenados de los hidrocarburos : Derivados halogenados de los hidrocarburos acíclicos </t>
    </r>
    <r>
      <rPr>
        <b/>
        <sz val="8"/>
        <color rgb="FF002B54"/>
        <rFont val="Calibri"/>
        <family val="2"/>
        <scheme val="minor"/>
      </rPr>
      <t>...</t>
    </r>
  </si>
  <si>
    <t>Clorodifluorometano</t>
  </si>
  <si>
    <t>Derivados halogenados de hidrocarburos acíclicos con dos halógenos diferentes, nep</t>
  </si>
  <si>
    <r>
      <t xml:space="preserve">"Derivados halogenados de los hidrocarburos aromáticos (excluido el clorobenceno, o-diclorobenceno,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</si>
  <si>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Derivados sulfonados, nitrados o nitrosados de los hidrocarburos, incl. halogenados (exc. solamente </t>
    </r>
    <r>
      <rPr>
        <b/>
        <sz val="8"/>
        <color rgb="FF002B54"/>
        <rFont val="Calibri"/>
        <family val="2"/>
        <scheme val="minor"/>
      </rPr>
      <t>...</t>
    </r>
  </si>
  <si>
    <t>Cresoles y sus sales</t>
  </si>
  <si>
    <t>Hidroquinona y sus sales</t>
  </si>
  <si>
    <r>
      <t xml:space="preserve">"Éteres-alcoholes y sus derivados halogenados, sulfonados, nitrados o nitrosados (exc. 2,2'-oxidietanol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</si>
  <si>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Acetales y hemiacetales, incluso con otras funciones oxigenadas, y sus derivados halogenados, </t>
    </r>
    <r>
      <rPr>
        <b/>
        <sz val="8"/>
        <color rgb="FF002B54"/>
        <rFont val="Calibri"/>
        <family val="2"/>
        <scheme val="minor"/>
      </rPr>
      <t>...</t>
    </r>
  </si>
  <si>
    <t>Paraformaldehído</t>
  </si>
  <si>
    <t>"Fenilacetona ""fenilpropan-2-ona"""</t>
  </si>
  <si>
    <t>Sales del ácido acético (exc. compuestos inorgánicos u orgánicos de mercurio)</t>
  </si>
  <si>
    <t>Binapacril (ISO)</t>
  </si>
  <si>
    <r>
      <t xml:space="preserve">Ácidos monocarboxílicos acíclicos, sus anhídridos, halogenuros, peróxidos, peroxiácidos y sus </t>
    </r>
    <r>
      <rPr>
        <b/>
        <sz val="8"/>
        <color rgb="FF002B54"/>
        <rFont val="Calibri"/>
        <family val="2"/>
        <scheme val="minor"/>
      </rPr>
      <t>...</t>
    </r>
  </si>
  <si>
    <t>Tereftalato de dimetilo</t>
  </si>
  <si>
    <t>Acido fenilglicolico (acido mandelico), sus sales y sus esteres.</t>
  </si>
  <si>
    <r>
      <t xml:space="preserve">Ácido carboxilico con función de oxigeno adicional y sus anidridos, halidos, peroxidos y peroxácidos;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</si>
  <si>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"Ésteres fóricos y sus sales, inclu. lactofosfatos, sus halogenados, sulfatos, nitratos y derivados </t>
    </r>
    <r>
      <rPr>
        <b/>
        <sz val="8"/>
        <color rgb="FF002B54"/>
        <rFont val="Calibri"/>
        <family val="2"/>
        <scheme val="minor"/>
      </rPr>
      <t>...</t>
    </r>
  </si>
  <si>
    <t>fosfito de dimetilo</t>
  </si>
  <si>
    <r>
      <t xml:space="preserve">Poliaminas aromáticas y sus derivados; sales de estos productos (exc. o-, m- y p-fenilendiamina, </t>
    </r>
    <r>
      <rPr>
        <b/>
        <sz val="8"/>
        <color rgb="FF002B54"/>
        <rFont val="Calibri"/>
        <family val="2"/>
        <scheme val="minor"/>
      </rPr>
      <t>...</t>
    </r>
  </si>
  <si>
    <t>Trietanolamina y sus sales</t>
  </si>
  <si>
    <t>"Ácido 2-acetamidobenzoico ""ácido N-acetilantranílico"" y sus sales"</t>
  </si>
  <si>
    <t>"Imidas y sus derivados; sales de estos productos (exc. sacarina y sus sales; glutetimida ""DCI"")"</t>
  </si>
  <si>
    <r>
      <t xml:space="preserve">Compuestos orgánicos de azufre (exc. tiocarbamatos y ditiocarbamatos, tiuram mono, di o tetrasulfuros, </t>
    </r>
    <r>
      <rPr>
        <b/>
        <sz val="8"/>
        <color rgb="FF002B54"/>
        <rFont val="Calibri"/>
        <family val="2"/>
        <scheme val="minor"/>
      </rPr>
      <t>...</t>
    </r>
  </si>
  <si>
    <t>Compuestos de tributilestaño</t>
  </si>
  <si>
    <t>Metil metilfosfonato de [(5-etil-2-metil-2-óxido-1,3,2- dioxafosfinan-5-il) de metilo]</t>
  </si>
  <si>
    <t>Derivados órgano-fosfórados definidos químicamente separados, n.e.s.</t>
  </si>
  <si>
    <t>Ácido metilfosfónico</t>
  </si>
  <si>
    <t>"2-Furaldehído ""furfural"""</t>
  </si>
  <si>
    <t>"1-""1,3-Benzodioxol-5-il""propan-2-ona"</t>
  </si>
  <si>
    <r>
      <t xml:space="preserve">Compuestos heterocíclicos con heteroátomo [s] sólo, con un ciclo imidazol, incluso hidrogenados, </t>
    </r>
    <r>
      <rPr>
        <b/>
        <sz val="8"/>
        <color rgb="FF002B54"/>
        <rFont val="Calibri"/>
        <family val="2"/>
        <scheme val="minor"/>
      </rPr>
      <t>...</t>
    </r>
  </si>
  <si>
    <t>3-quinuclidinol</t>
  </si>
  <si>
    <r>
      <t xml:space="preserve">"Compuestos heterocíclicos con heteroátomo/s de nitrógeno exclusivamente, cuya estructura contenga </t>
    </r>
    <r>
      <rPr>
        <b/>
        <sz val="8"/>
        <color rgb="FF002B54"/>
        <rFont val="Calibri"/>
        <family val="2"/>
        <scheme val="minor"/>
      </rPr>
      <t>...</t>
    </r>
  </si>
  <si>
    <t>Melamina</t>
  </si>
  <si>
    <r>
      <t xml:space="preserve">Compuestos heterocíclicos cuya estructura contenga ciclos fenotiazina, incl. hidrogenados, </t>
    </r>
    <r>
      <rPr>
        <b/>
        <sz val="8"/>
        <color rgb="FF002B54"/>
        <rFont val="Calibri"/>
        <family val="2"/>
        <scheme val="minor"/>
      </rPr>
      <t>...</t>
    </r>
  </si>
  <si>
    <t>N-etil-N- (2-hidroxietil) sulfonamida perfluorooctano</t>
  </si>
  <si>
    <t>Vitamina B2 y sus derivados utilizados principalmente como vitaminas</t>
  </si>
  <si>
    <t>Vitamina E y sus derivados utilizados principalmente como vitaminas</t>
  </si>
  <si>
    <t>Estrógenos y progestógenos</t>
  </si>
  <si>
    <r>
      <t xml:space="preserve">"Anoraks, cazadoras y artículos simil., de materia textil, para mujeres o niñas (exc. de lana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</si>
  <si>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Trajes sastre, de fibras sintéticas, para mujeres o niñas (exc. de punto, así como monos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</si>
  <si>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Abrigos, impermeables, chaquetones, capas y artículos simil., de algodón, para hombres o niños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</si>
  <si>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Abrigos, impermeables, chaquetones, capas y artículos simil., de fibras sintéticas o artificiales, </t>
    </r>
    <r>
      <rPr>
        <b/>
        <sz val="8"/>
        <color rgb="FF002B54"/>
        <rFont val="Calibri"/>
        <family val="2"/>
        <scheme val="minor"/>
      </rPr>
      <t>...</t>
    </r>
  </si>
  <si>
    <t>Muelas, sin bastidor, para triturar o desfibrar</t>
  </si>
  <si>
    <r>
      <t xml:space="preserve">Abrasivos naturales o artificiales en polvo o gránulos con soporte de papel o cartón solamente,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</si>
  <si>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Lana de escoria, de roca y lanas minerales simil., incl. mezcladas entre sí, en masa, hojas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</si>
  <si>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Vermiculita dilatada, arcilla dilatada, espuma de escoria y productos minerales simil. dilatados, </t>
    </r>
    <r>
      <rPr>
        <b/>
        <sz val="8"/>
        <color rgb="FF002B54"/>
        <rFont val="Calibri"/>
        <family val="2"/>
        <scheme val="minor"/>
      </rPr>
      <t>...</t>
    </r>
  </si>
  <si>
    <t>Manufacturas de asfalto o de productos simil., p.ej. pez de petróleo o brea, en rollos.</t>
  </si>
  <si>
    <r>
      <t xml:space="preserve">Paneles, placas, losetas, bloques y artículos similares, de fibra vegetal, paja o viruta,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</si>
  <si>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Placas, hojas, paneles, losetas y artículos simil., de yeso o de preparaciones a base de yeso,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</si>
  <si>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"Amianto ""asbesto"" en fibras trabajado; mezclas a base de amianto o a base de amianto y carbonato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</si>
  <si>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"Hojas de amianto ""asbesto"" y elastómeros, comprimidos, para juntas o empaquetaduras, incl. </t>
    </r>
    <r>
      <rPr>
        <b/>
        <sz val="8"/>
        <color rgb="FF002B54"/>
        <rFont val="Calibri"/>
        <family val="2"/>
        <scheme val="minor"/>
      </rPr>
      <t>...</t>
    </r>
  </si>
  <si>
    <t>Manufacturas de fibras de carbono para usos no eléctricos (exc. ​​tejidos)</t>
  </si>
  <si>
    <t>Manufacturas de turba (exc. productos textiles de fibras de turba)</t>
  </si>
  <si>
    <r>
      <t xml:space="preserve">"Ladrillos, placas, baldosas y demás piezas cerámicas análogas de construcción, refractarios,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</si>
  <si>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Bovedillas, cubrevigas y artículos simil., de cerámica (exc. productos de harinas silíceas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</si>
  <si>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cubos de mosaico de cerámica y similares, incluso sobre soporte o no (excl. cerámica refractaria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</si>
  <si>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"Tejidos de punto, de anchura &lt;= 30 cm, de fibras artificiales (exc. con un contenido de hilados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</si>
  <si>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"Tejidos de punto de anchura &gt; 30 cm, con un contenido de hilados de elastómeros y de hilos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</si>
  <si>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"Punto por urdimbre, tejidos de fibras sintéticas, con hilados de distintos colores "", incl.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</si>
  <si>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Trajes sastre de punto, de materia textil, para mujeres o niñas (exc. de algodón o de fibras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</si>
  <si>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hilos de metal y tejidos de hilados metálicos o de hilados textiles metalizados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</si>
  <si>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Productos textiles acolchados en pieza, constituidos por una o varias capas de materia textil </t>
    </r>
    <r>
      <rPr>
        <b/>
        <sz val="8"/>
        <color rgb="FF002B54"/>
        <rFont val="Calibri"/>
        <family val="2"/>
        <scheme val="minor"/>
      </rPr>
      <t>...</t>
    </r>
  </si>
  <si>
    <t>Linóleo, incl. cortado</t>
  </si>
  <si>
    <r>
      <t xml:space="preserve">Tela, fieltro y tejidos forrados de fieltro, combinados con una o varias capas de caucho, cuero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</si>
  <si>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chenilla, de algodón (exc. los de punto y tejidos con bucles para toallas, superficies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</si>
  <si>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Urdimbre pila, de fibras sintéticas o artificiales (excepto con bucles del tipo Tejidos, Tejidos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</si>
  <si>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con bucles del tipo toalla, de algodón, crudos (exc. cintas de la partida 5806, así </t>
    </r>
    <r>
      <rPr>
        <b/>
        <sz val="8"/>
        <color rgb="FF002B54"/>
        <rFont val="Calibri"/>
        <family val="2"/>
        <scheme val="minor"/>
      </rPr>
      <t>...</t>
    </r>
  </si>
  <si>
    <t>Superficies textiles con mechón insertado (exc. alfombras y demás revestimientos para el suelo)</t>
  </si>
  <si>
    <t>Cintas de algodón, tejidas, n.c.o.p.</t>
  </si>
  <si>
    <t>Lana esquilada, sucia, incl. la lavada en vivo, sin cardar ni peinar</t>
  </si>
  <si>
    <t>Pelo de cabra de Cachemira, sin cardar ni peinar</t>
  </si>
  <si>
    <r>
      <t xml:space="preserve">Carretes, bobinas, canillas y soportes simil. de pasta de papel, de papel o cartón, incl. perforados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</si>
  <si>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 y cartón filtro, en tiras o en bobinas ""rollos"" de anchura &lt;= 36 cm o en hojas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</si>
  <si>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 diagrama para aparatos registradores, en bobinas ""rollos"" de anchura &lt;= 36 cm o en </t>
    </r>
    <r>
      <rPr>
        <b/>
        <sz val="8"/>
        <color rgb="FF002B54"/>
        <rFont val="Calibri"/>
        <family val="2"/>
        <scheme val="minor"/>
      </rPr>
      <t>...</t>
    </r>
  </si>
  <si>
    <t>Música manuscrita o impresa, incluso con ilustraciones o encuadernada</t>
  </si>
  <si>
    <r>
      <t xml:space="preserve">Manufacturas cartógraficas de todas clases, incl. los planos topográficos, impresos, en forma </t>
    </r>
    <r>
      <rPr>
        <b/>
        <sz val="8"/>
        <color rgb="FF002B54"/>
        <rFont val="Calibri"/>
        <family val="2"/>
        <scheme val="minor"/>
      </rPr>
      <t>...</t>
    </r>
  </si>
  <si>
    <t>Tundiznos, nudos y motas, de materia textil</t>
  </si>
  <si>
    <r>
      <t xml:space="preserve">Fieltro punzonado y productos obtenidos mediante costura por cadeneta, incl. impregnado, recubierto,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</si>
  <si>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Combinaciones y enaguas, de fibras sintéticas o artificiales, para mujeres o niñas (exc. de </t>
    </r>
    <r>
      <rPr>
        <b/>
        <sz val="8"/>
        <color rgb="FF002B54"/>
        <rFont val="Calibri"/>
        <family val="2"/>
        <scheme val="minor"/>
      </rPr>
      <t>...</t>
    </r>
  </si>
  <si>
    <t>Pañuelos de bolsillo, cuyos lados sean de longitud &lt;= 60 cm, de algodón (exc. de punto)</t>
  </si>
  <si>
    <r>
      <t xml:space="preserve">"Adoquines, boldosas, ladrillos, placas, tejas y demás artículos, de vidrio prensado o moldeado,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</si>
  <si>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Cuentas de vidrio, imitaciones de perlas, de piedras preciosas o semipreciosas y artículos </t>
    </r>
    <r>
      <rPr>
        <b/>
        <sz val="8"/>
        <color rgb="FF002B54"/>
        <rFont val="Calibri"/>
        <family val="2"/>
        <scheme val="minor"/>
      </rPr>
      <t>...</t>
    </r>
  </si>
  <si>
    <t>"Hilados de fibra de vidrio ""chopped strands"" de longitud &lt;= 50 mm"</t>
  </si>
  <si>
    <r>
      <t xml:space="preserve">Fibra de vidrio, incluida la lana de vidrio, y manufacturas de esta materia (por ejemplo: hilados,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</si>
  <si>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"Tejidos, incl. cintas, de fibra de vidrio, de anchura &lt;= 30 cm (exc. de mechas ""rovings"", </t>
    </r>
    <r>
      <rPr>
        <b/>
        <sz val="8"/>
        <color rgb="FF002B54"/>
        <rFont val="Calibri"/>
        <family val="2"/>
        <scheme val="minor"/>
      </rPr>
      <t>...</t>
    </r>
  </si>
  <si>
    <t>Tejidos abiertos de fibras de vidrio, de ancho&gt; 30 cm</t>
  </si>
  <si>
    <t>Tejidos cerrados químicamente aglutinados de fibras de vidrio (exc. ​​velos)</t>
  </si>
  <si>
    <r>
      <t xml:space="preserve">Diamantes industriales, trabajados, sin montar ni engarzar (exc. piedras sin montar para agujas </t>
    </r>
    <r>
      <rPr>
        <b/>
        <sz val="8"/>
        <color rgb="FF002B54"/>
        <rFont val="Calibri"/>
        <family val="2"/>
        <scheme val="minor"/>
      </rPr>
      <t>...</t>
    </r>
  </si>
  <si>
    <t>Diamantes, trabajados, sin montar ni engarzar (exc. diamantes industriales)</t>
  </si>
  <si>
    <r>
      <t xml:space="preserve">Rubíes, zafiros y esmeraldas, trabajados, incl. clasificados, pero sin ensartar, montar ni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</si>
  <si>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Cuarzo piezoeléctrico, de piedras sintéticas o reconstituidas, incl. trabajado o clasificado,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</si>
  <si>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Piedras preciosas o semipreciosas, sintéticas o reconstituidas, en bruto o simplemente aserradas </t>
    </r>
    <r>
      <rPr>
        <b/>
        <sz val="8"/>
        <color rgb="FF002B54"/>
        <rFont val="Calibri"/>
        <family val="2"/>
        <scheme val="minor"/>
      </rPr>
      <t>...</t>
    </r>
  </si>
  <si>
    <t>Desperdicios y desechos, de circonio (exc. cenizas y residuos que contengan circonio)</t>
  </si>
  <si>
    <r>
      <t xml:space="preserve">Manufacturas de circonio que contengan </t>
    </r>
    <r>
      <rPr>
        <b/>
        <sz val="8"/>
        <color rgb="FF002B54"/>
        <rFont val="Calibri"/>
        <family val="2"/>
        <scheme val="minor"/>
      </rPr>
      <t>...</t>
    </r>
  </si>
  <si>
    <t>Manganeso y sus manufacturas, incluidos los desperdicios y desechos</t>
  </si>
  <si>
    <t>Desperdicios y desechos, de berilio (exc. cenizas y residuos que contengan berilio)</t>
  </si>
  <si>
    <r>
      <t xml:space="preserve">Desperdicios y desechos, de cromo (exc. cenizas y residuos que contengan cromo, así como aleaciones </t>
    </r>
    <r>
      <rPr>
        <b/>
        <sz val="8"/>
        <color rgb="FF002B54"/>
        <rFont val="Calibri"/>
        <family val="2"/>
        <scheme val="minor"/>
      </rPr>
      <t>...</t>
    </r>
  </si>
  <si>
    <t>Manufacturas de cromo, n.c.o.p.</t>
  </si>
  <si>
    <t>Llaves de ajuste de mano, incl. las llaves dinamométricas, de metal común, de boca fija</t>
  </si>
  <si>
    <r>
      <t xml:space="preserve">Herramientas de dos o más de las partidas 8202 a 8205, acondicionadas en juegos para la venta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</si>
  <si>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"Chapas y tiras, de aleaciones a base de cobre-cinc ""latón"", de espesor &gt; 0,15 mm, enrolladas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</si>
  <si>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Hojas y tiras delgadas, de cobre refinado, sin soporte, de espesor &lt;= 0,15 mm (exc. hojas delgadas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</si>
  <si>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Hojas y tiras delgadas, de aleaciones de cobre, con soporte, de espesor &lt;= 0,15 mm, sin incluir </t>
    </r>
    <r>
      <rPr>
        <b/>
        <sz val="8"/>
        <color rgb="FF002B54"/>
        <rFont val="Calibri"/>
        <family val="2"/>
        <scheme val="minor"/>
      </rPr>
      <t>...</t>
    </r>
  </si>
  <si>
    <t>Tubos de cobre refinado</t>
  </si>
  <si>
    <t>"Empalmes ""rácores"", codos, manguitos y demás accesorios de tubería, de cobre refinado"</t>
  </si>
  <si>
    <t>"Arandelas, incl. las arandelas de muelle ""resorte"", de cobre"</t>
  </si>
  <si>
    <t>Sinters de óxidos de níquel y demás productos intermedios de la metalurgia del níquel</t>
  </si>
  <si>
    <t>Alambre, de níquel sin alear (exc. artículos aislados, para electricidad)</t>
  </si>
  <si>
    <t>Tubos, de aleaciones de níquel</t>
  </si>
  <si>
    <t>Telas metálicas, redes y rejas, de alambre de níquel</t>
  </si>
  <si>
    <t>Aluminio sin alear, en bruto</t>
  </si>
  <si>
    <t>Barras y perfiles macizos, de aleaciones de aluminio, n.c.o.p.</t>
  </si>
  <si>
    <r>
      <t xml:space="preserve">Chapas y tiras, de aluminio sin alear, de espesor &gt; 0,2 mm, de forma distinta a la cuadrada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</si>
  <si>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Construcciones y partes de construcciones, de aluminio, n.c.o.p.; chapas, barras, perfiles, </t>
    </r>
    <r>
      <rPr>
        <b/>
        <sz val="8"/>
        <color rgb="FF002B54"/>
        <rFont val="Calibri"/>
        <family val="2"/>
        <scheme val="minor"/>
      </rPr>
      <t>...</t>
    </r>
  </si>
  <si>
    <t>Chapado (plaqué) de plata sobre metal común, en bruto o semilabrado</t>
  </si>
  <si>
    <r>
      <t xml:space="preserve">"Artículos de orfebrería y sus partes, de metales preciosos distintos de la plata, incl. revestidos </t>
    </r>
    <r>
      <rPr>
        <b/>
        <sz val="8"/>
        <color rgb="FF002B54"/>
        <rFont val="Calibri"/>
        <family val="2"/>
        <scheme val="minor"/>
      </rPr>
      <t>...</t>
    </r>
  </si>
  <si>
    <t>Gemelos y pasadores simil., de metal común, incl. plateados, dorados o platinados</t>
  </si>
  <si>
    <t>Ferromolibdeno</t>
  </si>
  <si>
    <t>"Polvo, de aceros aleados (exc. polvo de ferroaleaciones y polvo de hierro radiactivo ""isótopo"")"</t>
  </si>
  <si>
    <r>
      <t xml:space="preserve">Productos planos de hierro o acero sin alear, de anchura &gt;= 600 mm, no enrollados, simplemente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</si>
  <si>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Productos planos de hierro o acero, de anchura &gt;= 600 mm, laminados en frío y trabajados, sin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</si>
  <si>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Barras de hierro o acero sin alear, con muescas, cordones, huecos o relieves, producidos en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</si>
  <si>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Perfiles en L o en T, de hierro o acero sin alear, simplemente laminados o extrudidos en caliente,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</si>
  <si>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Perfiles de hierro o acero sin alear, obtenidos o acabados en frío a partir de productos laminados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</si>
  <si>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Alambre de hierro o acero sin alear, enrollado, revestido (exc. revestido con metales comunes,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</si>
  <si>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Productos laminados planos de acero inoxidable, de anchura &gt;= 600 mm, laminados en frío o en </t>
    </r>
    <r>
      <rPr>
        <b/>
        <sz val="8"/>
        <color rgb="FF002B54"/>
        <rFont val="Calibri"/>
        <family val="2"/>
        <scheme val="minor"/>
      </rPr>
      <t>...</t>
    </r>
  </si>
  <si>
    <t>Perfiles de acero inoxidable, n.c.o.p.</t>
  </si>
  <si>
    <r>
      <t xml:space="preserve">"Productos planos de aceros aleados, distinto del acero inoxidable, de anchura &gt;= 600 mm, laminados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</si>
  <si>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"Productos planos de acero al silicio llam. ""magnético"" ""acero magnético al silicio"", de </t>
    </r>
    <r>
      <rPr>
        <b/>
        <sz val="8"/>
        <color rgb="FF002B54"/>
        <rFont val="Calibri"/>
        <family val="2"/>
        <scheme val="minor"/>
      </rPr>
      <t>...</t>
    </r>
  </si>
  <si>
    <t>"Alambrón de acero silico-manganoso, enrollado en espiras irregulares ""coronas"""</t>
  </si>
  <si>
    <r>
      <t xml:space="preserve">"Traviesas ""durmientes"", contracarriles ""contrarrieles"", cremalleras, cojinetes, cuñas, </t>
    </r>
    <r>
      <rPr>
        <b/>
        <sz val="8"/>
        <color rgb="FF002B54"/>
        <rFont val="Calibri"/>
        <family val="2"/>
        <scheme val="minor"/>
      </rPr>
      <t>...</t>
    </r>
  </si>
  <si>
    <t>Tubos sin soldadura, de hierro o acero, de los tipos utilizados en oleoductos o gasoductos</t>
  </si>
  <si>
    <r>
      <t xml:space="preserve">Tubos de sección circular, de diámetro exterior &gt; 406,4 mm, de fundición, hierro o acero, soldados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</si>
  <si>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Tubos y perfiles huecos, sin soldadura, de sección circular, de acero inoxidable, distintos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</si>
  <si>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"Tubos de entubación ""casing"" o de producción ""tubing"", de los tipos utilizados para la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</si>
  <si>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Tubos y perfiles huecos, soldados, de sección distinta de la circular, de acero inoxidable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</si>
  <si>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Latas o botes, de fundición, hierro o acero, de capacidad &lt; 50 l, para cerrar por soldadura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</si>
  <si>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"Puntas, clavos, chinchetas ""chinches"", grapas apuntadas, onduladas o biseladas, y artículos </t>
    </r>
    <r>
      <rPr>
        <b/>
        <sz val="8"/>
        <color rgb="FF002B54"/>
        <rFont val="Calibri"/>
        <family val="2"/>
        <scheme val="minor"/>
      </rPr>
      <t>...</t>
    </r>
  </si>
  <si>
    <t>Tornillos autorroscantes, de hierro o acero (exc. ​​tornillos para madera)</t>
  </si>
  <si>
    <t>Agujas de coser, zurcir o bordar, de uso manual, de hierro o acero</t>
  </si>
  <si>
    <r>
      <t xml:space="preserve">Artículos de uso doméstico y sus partes, de fundición, esmaltados (exc. bidones, cajas y recipientes </t>
    </r>
    <r>
      <rPr>
        <b/>
        <sz val="8"/>
        <color rgb="FF002B54"/>
        <rFont val="Calibri"/>
        <family val="2"/>
        <scheme val="minor"/>
      </rPr>
      <t>...</t>
    </r>
  </si>
  <si>
    <t>Las demás manufacturas moldeadas de fundición, hierro o acero - De fundición no maleable</t>
  </si>
  <si>
    <t>"Aleaciones a base de cobre-cinc ""latón"", en bruto"</t>
  </si>
  <si>
    <r>
      <t xml:space="preserve">"Tableros indicadores con dispositivos de cristal líquid ""LCD"" o diodos emisores de luz ""LED"", </t>
    </r>
    <r>
      <rPr>
        <b/>
        <sz val="8"/>
        <color rgb="FF002B54"/>
        <rFont val="Calibri"/>
        <family val="2"/>
        <scheme val="minor"/>
      </rPr>
      <t>...</t>
    </r>
  </si>
  <si>
    <t>Condensadores con dieléctrico de cerámica, multicapas (exc. condensadores de potencia)</t>
  </si>
  <si>
    <t>Aparatos de mecanoterapia, masajes y sicotecnia</t>
  </si>
  <si>
    <t>Colchones de caucho o plástico celulares, recubiertos o no</t>
  </si>
  <si>
    <r>
      <t xml:space="preserve">"Instrumentos y aparatos para medida o control de magnitudes eléctricas, con dispositivo registrador, </t>
    </r>
    <r>
      <rPr>
        <b/>
        <sz val="8"/>
        <color rgb="FF002B54"/>
        <rFont val="Calibri"/>
        <family val="2"/>
        <scheme val="minor"/>
      </rPr>
      <t>...</t>
    </r>
  </si>
  <si>
    <t>Máquinas para equilibrar piezas mecánicas</t>
  </si>
  <si>
    <t>Bancos de pruebas para motores, generadores, bombas, etc.</t>
  </si>
  <si>
    <r>
      <t xml:space="preserve">"Relojes de pulsera de metal precioso o chapado de metal precioso ""plaqué"", de mano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</si>
  <si>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"Relojes de pulsera, eléctricos, incl. con contador de tiempo incorporado, con indicador mecánico </t>
    </r>
    <r>
      <rPr>
        <b/>
        <sz val="8"/>
        <color rgb="FF002B54"/>
        <rFont val="Calibri"/>
        <family val="2"/>
        <scheme val="minor"/>
      </rPr>
      <t>...</t>
    </r>
  </si>
  <si>
    <t>"Pequeños mecanismos completos, sin montar o parcialmente montados ""chablons"""</t>
  </si>
  <si>
    <t>Guitarras, arpas y demás instrumentos musicales de cuerda (exc. con teclado, así como de arco)</t>
  </si>
  <si>
    <t>Partes y accesorios de escopetas o rifles de la partida 9303, ncop</t>
  </si>
  <si>
    <t>"Asientos de bambú o ""ratán"""</t>
  </si>
  <si>
    <t>Giradiscos</t>
  </si>
  <si>
    <t>Cápsulas fonocaptoras</t>
  </si>
  <si>
    <r>
      <t xml:space="preserve">"Partes y accesorios identificables como destinados, exclusiva o principalmente, a los aparatos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</si>
  <si>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Medios ópticos para la grabación de sonido o análogas, sin grabar (exc. ??productos del capítulo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</si>
  <si>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Módulos de visualización de pantalla plana, incluso con pantalla táctil incorporada, sin controladores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</si>
  <si>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"Módulos de visualización de pantalla plana, incluso con pantalla táctil incorporada, con controladores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</si>
  <si>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Cámaras de televisión de visión nocturna, cámaras digitales y videocámaras, según se especifica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</si>
  <si>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Aparatos eléctricos de señalización, seguridad, control o mando (exc. para vías férreas o simil., </t>
    </r>
    <r>
      <rPr>
        <b/>
        <sz val="8"/>
        <color rgb="FF002B54"/>
        <rFont val="Calibri"/>
        <family val="2"/>
        <scheme val="minor"/>
      </rPr>
      <t>...</t>
    </r>
  </si>
  <si>
    <t>"Lentes de otras materias distintas del vidrio para gafas ""anteojos"""</t>
  </si>
  <si>
    <t>Objetivos para cámaras, proyectores o ampliadoras o reductoras fotográficos o cinematográficos</t>
  </si>
  <si>
    <r>
      <t xml:space="preserve">Cámaras fotográficas con autorrevelado (exc. cámeras especiales de las subpartidas 9006.10,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</si>
  <si>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y accesorios de proyectores de imagen fija, ampliadoras o reductoras, fotográficas,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</si>
  <si>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Microscopios ópticos (exc. para fotomicrografía, cinefotomicrografía o microproyección, microscopios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</si>
  <si>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y accesorios de microscopios de electrones, microscopios de protones y difractógrafos, </t>
    </r>
    <r>
      <rPr>
        <b/>
        <sz val="8"/>
        <color rgb="FF002B54"/>
        <rFont val="Calibri"/>
        <family val="2"/>
        <scheme val="minor"/>
      </rPr>
      <t>...</t>
    </r>
  </si>
  <si>
    <t>Telémetros</t>
  </si>
  <si>
    <t>Teodolitos y taquímetros</t>
  </si>
  <si>
    <t>"Aparatos de diagnóstico por exploración ultrasónica ""scanners"""</t>
  </si>
  <si>
    <r>
      <t xml:space="preserve">Pararrayos, limitadores de tensión y supresores de sobretensión transitorias, para una tensión </t>
    </r>
    <r>
      <rPr>
        <b/>
        <sz val="8"/>
        <color rgb="FF002B54"/>
        <rFont val="Calibri"/>
        <family val="2"/>
        <scheme val="minor"/>
      </rPr>
      <t>...</t>
    </r>
  </si>
  <si>
    <t>Clavijas y tomas de corriente, para una tensión de &lt;= 1.000 V (exc. portalámparas)</t>
  </si>
  <si>
    <t>Lámparas y tubos fluorescentes, de cátodo caliente</t>
  </si>
  <si>
    <t>Lámparas y tubos de rayos ultravioletas e infrarojos.</t>
  </si>
  <si>
    <r>
      <t xml:space="preserve">Tubos receptores o amplificadores (exc. tubos para hiperfrecuencias, tubos de fotocátodos y </t>
    </r>
    <r>
      <rPr>
        <b/>
        <sz val="8"/>
        <color rgb="FF002B54"/>
        <rFont val="Calibri"/>
        <family val="2"/>
        <scheme val="minor"/>
      </rPr>
      <t>...</t>
    </r>
  </si>
  <si>
    <t>Transistores con una capacidad de disipación &lt; 1 W (distintos de los fototransistores)</t>
  </si>
  <si>
    <t>Circuitos electrónicos integrados en forma de amplificadores</t>
  </si>
  <si>
    <t>Generadores de señales, eléctricos</t>
  </si>
  <si>
    <t>Máquinas y aparatos electricos de galvanotecnia, electrólisis o electroforesis</t>
  </si>
  <si>
    <t>Partes de los vehículos para vías férreas de las partidas 8603, 8604, 8605 u 8606, n.c.o.p.</t>
  </si>
  <si>
    <r>
      <t xml:space="preserve">Tractores de carretera para semirremolques, con solo motor de pistón de combustión interna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</si>
  <si>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"Vehículos de motor para el transporte de mercancías, tanto con motor de émbolo (pistón) de </t>
    </r>
    <r>
      <rPr>
        <b/>
        <sz val="8"/>
        <color rgb="FF002B54"/>
        <rFont val="Calibri"/>
        <family val="2"/>
        <scheme val="minor"/>
      </rPr>
      <t>...</t>
    </r>
  </si>
  <si>
    <t>Carrocerías de automóviles de turismo</t>
  </si>
  <si>
    <r>
      <t xml:space="preserve">Radiadores de tractores, vehículos automóviles para transporte de &gt;= 10 personas, automóviles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</si>
  <si>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Motocicletas, incl. los ciclomotores, y velocípedos con motor auxiliar y sidecares para motocicletas </t>
    </r>
    <r>
      <rPr>
        <b/>
        <sz val="8"/>
        <color rgb="FF002B54"/>
        <rFont val="Calibri"/>
        <family val="2"/>
        <scheme val="minor"/>
      </rPr>
      <t>...</t>
    </r>
  </si>
  <si>
    <t>Partes y accesorios de sillones de ruedas y demás vehículos para inválidos, n.c.o.p.</t>
  </si>
  <si>
    <t>Sillas de montar para los ciclos (excepto para motocicletas)</t>
  </si>
  <si>
    <r>
      <t xml:space="preserve">"Remolques y semirremolques para transporte de mercancías, no desplazables sobre carriles ""rieles""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</si>
  <si>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Globos y dirigibles; planeadores, alas planeadoras y demás aeronaves no concebidas para la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</si>
  <si>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Aviones y demás aeronaves con motor de un peso en vacío&gt; 15.000 kg (exc. helicópteros, dirigibles </t>
    </r>
    <r>
      <rPr>
        <b/>
        <sz val="8"/>
        <color rgb="FF002B54"/>
        <rFont val="Calibri"/>
        <family val="2"/>
        <scheme val="minor"/>
      </rPr>
      <t>...</t>
    </r>
  </si>
  <si>
    <t>Hélices y rotores, y sus partes, para aeronaves, n.c.o.p.</t>
  </si>
  <si>
    <r>
      <t xml:space="preserve">Barcos de pesca; barcos factoría y demás barcos para tratamiento o preparación de productos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</si>
  <si>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"Embarcaciones neumáticas ""incl. Neumáticas de casco rígido"", para recreo o deporte, no diseñadas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</si>
  <si>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"Embarcaciones neumáticas ""incl. Neumáticas de casco rígido"", para recreo o deporte, peso </t>
    </r>
    <r>
      <rPr>
        <b/>
        <sz val="8"/>
        <color rgb="FF002B54"/>
        <rFont val="Calibri"/>
        <family val="2"/>
        <scheme val="minor"/>
      </rPr>
      <t>...</t>
    </r>
  </si>
  <si>
    <t>Veleros, con o sin motor auxiliar, de eslora&gt; 24 m</t>
  </si>
  <si>
    <r>
      <t xml:space="preserve">Lanchas de motor, de eslora&gt; 7,5 m pero &lt;= 24 m, para recreo o deporte (exc. ​​Neumáticas y </t>
    </r>
    <r>
      <rPr>
        <b/>
        <sz val="8"/>
        <color rgb="FF002B54"/>
        <rFont val="Calibri"/>
        <family val="2"/>
        <scheme val="minor"/>
      </rPr>
      <t>...</t>
    </r>
  </si>
  <si>
    <t>Acumuladores de níquel-hierro (exc. inservibles)</t>
  </si>
  <si>
    <t>Bujías de encendido, para motores de combustión</t>
  </si>
  <si>
    <t>Magnetos, dinamomagnetos y volantes magnéticos, para motores de combustión</t>
  </si>
  <si>
    <r>
      <t xml:space="preserve">Partes de aparatos y de dispositivos eléctricos de encendido o de arranque, para motores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</si>
  <si>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y aparatos para soldadura fuerte o para soldadura blanda (exc. soldadores y pistolas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</si>
  <si>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y aparatos para soldar metal, de arco o de chorro de plasma, total o parcialmente </t>
    </r>
    <r>
      <rPr>
        <b/>
        <sz val="8"/>
        <color rgb="FF002B54"/>
        <rFont val="Calibri"/>
        <family val="2"/>
        <scheme val="minor"/>
      </rPr>
      <t>...</t>
    </r>
  </si>
  <si>
    <t>Aparatos electrotérmicos para el cuidado del cabello (exc. secadores)</t>
  </si>
  <si>
    <t>Tostadoras de pan, eléctricos, de uso doméstico</t>
  </si>
  <si>
    <t>Teléfonos de usuario de auricular inalámbrico combinado con micrófono</t>
  </si>
  <si>
    <r>
      <t xml:space="preserve">"Generadores de CA ""alternadores"", de potencia&gt; 375 kVA pero &lt;= 750 kVA (exc. los generadores </t>
    </r>
    <r>
      <rPr>
        <b/>
        <sz val="8"/>
        <color rgb="FF002B54"/>
        <rFont val="Calibri"/>
        <family val="2"/>
        <scheme val="minor"/>
      </rPr>
      <t>...</t>
    </r>
  </si>
  <si>
    <t>Transformadores de dieléctrico líquido, de potencia &gt; 10.000 kVA</t>
  </si>
  <si>
    <t>Máquinas y aparatos para la manufactura de paneles</t>
  </si>
  <si>
    <t>Máquinas y aparatos especificos de nota 9 hasta 84</t>
  </si>
  <si>
    <t>Puentes de embarque de pasajeros (excepto los del tipo utilizado en los aeropuertos)</t>
  </si>
  <si>
    <r>
      <t xml:space="preserve">"Motores de émbolo ""pistón"" alternativo de encendido por chispa y motores rotativos, de encendido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</si>
  <si>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de turbinas hidráulicas y de ruedas hidráulicas, n.c.o.p., así como reguladores para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</si>
  <si>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Alimentadores mecánicos de hogares, parrillas mecánicas, descargadores mecánicos de cenizas </t>
    </r>
    <r>
      <rPr>
        <b/>
        <sz val="8"/>
        <color rgb="FF002B54"/>
        <rFont val="Calibri"/>
        <family val="2"/>
        <scheme val="minor"/>
      </rPr>
      <t>...</t>
    </r>
  </si>
  <si>
    <t>Congeladores verticales del tipo armario, de capacidad &lt;= 900 l</t>
  </si>
  <si>
    <r>
      <t xml:space="preserve">"Máquinas y aparatos para acondicionamiento de aire, de pared o para ventanas, formando un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</si>
  <si>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"Máquinas y aparatos para acondicionamiento de aire, con equipo de enfriamiento pero sin válvula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</si>
  <si>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y accesorios que puedan utilizarse indistintamente con máquinas de escribir, máquinas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</si>
  <si>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distintas de los cilindros para calandrias y para laminadores, n.c.o.p. (exc. para metal </t>
    </r>
    <r>
      <rPr>
        <b/>
        <sz val="8"/>
        <color rgb="FF002B54"/>
        <rFont val="Calibri"/>
        <family val="2"/>
        <scheme val="minor"/>
      </rPr>
      <t>...</t>
    </r>
  </si>
  <si>
    <t>Secadoras de ropa</t>
  </si>
  <si>
    <t>Aparatos de filtrar o depurar agua</t>
  </si>
  <si>
    <t>Cardas para la preparación de materia textil</t>
  </si>
  <si>
    <t>Máquinas para bobinar, incluidas las canilleras, o devanar materia textil</t>
  </si>
  <si>
    <t>Telares para tejidos de anchura &gt; 30 cm, de lanzadera, de mano</t>
  </si>
  <si>
    <t>Máquinas rectilíneas de tricotar; máquinas de coser por cadeneta</t>
  </si>
  <si>
    <t>Guarniciones de cardas para máquinas para la preparación de materia textil</t>
  </si>
  <si>
    <r>
      <t xml:space="preserve">Máquinas para secar hilados, telas o manufacturas textiles (exc. máquinas para secar ropa,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</si>
  <si>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para lavar, blanquear o teñir hilados, telas o manufacturas textiles (exc. máquinas </t>
    </r>
    <r>
      <rPr>
        <b/>
        <sz val="8"/>
        <color rgb="FF002B54"/>
        <rFont val="Calibri"/>
        <family val="2"/>
        <scheme val="minor"/>
      </rPr>
      <t>...</t>
    </r>
  </si>
  <si>
    <t>Máquinas para enrollar, desenrollar, plegar, cortar o dentar telas</t>
  </si>
  <si>
    <r>
      <t xml:space="preserve">Partes de máquinas y de aparatos para la preparación, curtido o trabajo de cuero o piel o para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</si>
  <si>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Máquinas-herramienta para el trabajo de materiales por remoción de material, que funcionan </t>
    </r>
    <r>
      <rPr>
        <b/>
        <sz val="8"/>
        <color rgb="FF002B54"/>
        <rFont val="Calibri"/>
        <family val="2"/>
        <scheme val="minor"/>
      </rPr>
      <t>...</t>
    </r>
  </si>
  <si>
    <t>Máquinas herramienta que operen por electroerosión</t>
  </si>
  <si>
    <r>
      <t xml:space="preserve">Máquinas herramienta para trabajar materiales por remoción de material, operados por chorro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</si>
  <si>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Tornos horizontales, incl. los centros de torneado, que operen por arranque de metal, de control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</si>
  <si>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Escariadoras-fresadoras, para metal, de control no numérico (exc. unidades de mecanizado de </t>
    </r>
    <r>
      <rPr>
        <b/>
        <sz val="8"/>
        <color rgb="FF002B54"/>
        <rFont val="Calibri"/>
        <family val="2"/>
        <scheme val="minor"/>
      </rPr>
      <t>...</t>
    </r>
  </si>
  <si>
    <t>Máquinas de fresar de consola, para metal, de control no numérico</t>
  </si>
  <si>
    <t>Plana de la superficie de molienda máquinas para el acabado de metal, de control numérico</t>
  </si>
  <si>
    <r>
      <t xml:space="preserve">Máquinas de cepillar y demás máquinas herramienta que operen por arranque de metal o cermet, </t>
    </r>
    <r>
      <rPr>
        <b/>
        <sz val="8"/>
        <color rgb="FF002B54"/>
        <rFont val="Calibri"/>
        <family val="2"/>
        <scheme val="minor"/>
      </rPr>
      <t>...</t>
    </r>
  </si>
  <si>
    <t>Dobladoras de paneles controladas numéricamente</t>
  </si>
  <si>
    <r>
      <t xml:space="preserve">Máquinas para trabajar tubo, tubería, sección hueca y barra, de control numérico (exc. las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</si>
  <si>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Prensas hidráulicas, para trabajar metales (exc. prensas de forjar, estampar, enrollar, curvar, </t>
    </r>
    <r>
      <rPr>
        <b/>
        <sz val="8"/>
        <color rgb="FF002B54"/>
        <rFont val="Calibri"/>
        <family val="2"/>
        <scheme val="minor"/>
      </rPr>
      <t>...</t>
    </r>
  </si>
  <si>
    <t>Partes y accesorios de máquinas herramienta para trabajar metales, nep</t>
  </si>
  <si>
    <t>Partes y accesorios de máquinas herramienta para trabajar metal sin arranque de materia, n.c.o.p.</t>
  </si>
  <si>
    <r>
      <t xml:space="preserve">Máquinas y aparatos para soldar sin gas (exc. máquinas y aparatos eléctricos de la partida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</si>
  <si>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de calcular electrónicas, con dispositivo de impresión incorporado, conectadas a la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</si>
  <si>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y aparatos para limpiar o secar botellas o demás recipientes (exc. máquinas para lavar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</si>
  <si>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"Máquinas y aparatos para empaquetar o envolver mercancías, incl. las de envolver con película </t>
    </r>
    <r>
      <rPr>
        <b/>
        <sz val="8"/>
        <color rgb="FF002B54"/>
        <rFont val="Calibri"/>
        <family val="2"/>
        <scheme val="minor"/>
      </rPr>
      <t>...</t>
    </r>
  </si>
  <si>
    <t>Instrumentos e aparatos de pesar, con capacidad &gt; 5.000 kg</t>
  </si>
  <si>
    <t>Polipastos, sin motor eléctrico</t>
  </si>
  <si>
    <t>Pórticos móviles sobre neumáticos y carretillas puente</t>
  </si>
  <si>
    <r>
      <t xml:space="preserve">Puentes (exc. puentes rodantes sobre soporte fijo, pórticos móviles sobre neumáticos y carretillas </t>
    </r>
    <r>
      <rPr>
        <b/>
        <sz val="8"/>
        <color rgb="FF002B54"/>
        <rFont val="Calibri"/>
        <family val="2"/>
        <scheme val="minor"/>
      </rPr>
      <t>...</t>
    </r>
  </si>
  <si>
    <t>Grúas concebidas para montarlas en un vehículo de carretera</t>
  </si>
  <si>
    <t>Carretillas no autopropulsadas, con dispositivo de elevación incorporado</t>
  </si>
  <si>
    <r>
      <t xml:space="preserve">Aparatos elevadores o transportadores, de acción continua, para mercancías (exc. especialmente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</si>
  <si>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Cortadoras y arrancadoras, de carbón o rocas, y máquinas para hacer túneles o galerías, no </t>
    </r>
    <r>
      <rPr>
        <b/>
        <sz val="8"/>
        <color rgb="FF002B54"/>
        <rFont val="Calibri"/>
        <family val="2"/>
        <scheme val="minor"/>
      </rPr>
      <t>...</t>
    </r>
  </si>
  <si>
    <t>"Gradas ""rastras"" de discos, agrícolas, hortícolas o silvícolas"</t>
  </si>
  <si>
    <r>
      <t xml:space="preserve">Partes de máquinas, de aparatos y de artefactos agrícolas, hortícolas o silvícolas, para la </t>
    </r>
    <r>
      <rPr>
        <b/>
        <sz val="8"/>
        <color rgb="FF002B54"/>
        <rFont val="Calibri"/>
        <family val="2"/>
        <scheme val="minor"/>
      </rPr>
      <t>...</t>
    </r>
  </si>
  <si>
    <t>Máquinas de ordeñar</t>
  </si>
  <si>
    <r>
      <t xml:space="preserve">Máquinas y aparatos para la industria lechera (exc. aparatos frigoríficos o instalaciones de </t>
    </r>
    <r>
      <rPr>
        <b/>
        <sz val="8"/>
        <color rgb="FF002B54"/>
        <rFont val="Calibri"/>
        <family val="2"/>
        <scheme val="minor"/>
      </rPr>
      <t>...</t>
    </r>
  </si>
  <si>
    <t>Incubadoras y criadoras, para la avicultura</t>
  </si>
  <si>
    <t>Partes de máquinas y aparatos para encuadernación, n.c.o.p.</t>
  </si>
  <si>
    <t>Máquinas y aparatos para el trabajo de la pasta de papel, del papel o cartón, n.c.o.p.</t>
  </si>
  <si>
    <r>
      <t xml:space="preserve">Máquinas, aparatos y material para fundir caracteres o para preparar o fabricar clisés, planchas,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</si>
  <si>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y aparatos para imprimir, tipográficas (exc. alimentados con bobinas, así como los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</si>
  <si>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"Máquinas y aparatos para imprimir offset (exc. alimentados con bobinas o con hojas de formato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</si>
  <si>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"Partes de generadores de gas pobre ""gas de aire"" o de gas de agua; partes de generadores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</si>
  <si>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"Motores del tipo fueraborda, de encendido por chispa ""motores de explosión"", para la propulsión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</si>
  <si>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Toldos de cualquier clase, de fibras sintéticas (exc. protectores planos de tejidos ligeros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</si>
  <si>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Calzado con suela y parte superior de caucho o plástico, con puntera metálica de protección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</si>
  <si>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Mecanismos para encuadernación de hojas intercambiables o para clasificadores, de metal común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</si>
  <si>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"Sujetadores, cantoneras, clips, índices de señal y objetos simil. para oficina, de metal común,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</si>
  <si>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Cierres, monturas cierre sin cerradura, hebillas, hebillas cierre y artículos simil., de metal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</si>
  <si>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Calderas acuotubulares, con una producción de vapor &lt;= 45 t/h (exc. las de calefacción central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</si>
  <si>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Aparatos mecánicos accionados a mano, de peso inferior o igual a 10 kg, utilizados para preparar, </t>
    </r>
    <r>
      <rPr>
        <b/>
        <sz val="8"/>
        <color rgb="FF002B54"/>
        <rFont val="Calibri"/>
        <family val="2"/>
        <scheme val="minor"/>
      </rPr>
      <t>...</t>
    </r>
  </si>
  <si>
    <t>Navajas y maquinillas no eléctricas de afeitar, de metal común</t>
  </si>
  <si>
    <r>
      <t xml:space="preserve">Cortapapeles, abrecartas, raspadores, sacapuntas y sus cuchillas, de metal común (exc. máquinas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</si>
  <si>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Cerraduras y cerrojos, de metal común (exc. candados y cerraduras de los tipos utilizados en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</si>
  <si>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Vidrio y otros desperdicios y desechos de vidrio; vidrio en masa (exc. vidrio en polvo, gránulos </t>
    </r>
    <r>
      <rPr>
        <b/>
        <sz val="8"/>
        <color rgb="FF002B54"/>
        <rFont val="Calibri"/>
        <family val="2"/>
        <scheme val="minor"/>
      </rPr>
      <t>...</t>
    </r>
  </si>
  <si>
    <t>Tubos, de cuarzo o demás sílices fundidos, sin trabajar</t>
  </si>
  <si>
    <r>
      <t xml:space="preserve">Vidrio flotado y vidrio desbastado o pulido por una o las dos caras, en placas o en hojas,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</si>
  <si>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Cabello peinado, afinado, blanqueado o preparado de otra forma; lana, pelo u otra materia textil, </t>
    </r>
    <r>
      <rPr>
        <b/>
        <sz val="8"/>
        <color rgb="FF002B54"/>
        <rFont val="Calibri"/>
        <family val="2"/>
        <scheme val="minor"/>
      </rPr>
      <t>...</t>
    </r>
  </si>
  <si>
    <t>Pelucas que cubran toda la cabeza, de fibras sintéticas</t>
  </si>
  <si>
    <r>
      <t xml:space="preserve">"Tiendas ""carpas"" de materia textil (exc. de algodón o de fibras sintéticas, así como las </t>
    </r>
    <r>
      <rPr>
        <b/>
        <sz val="8"/>
        <color rgb="FF002B54"/>
        <rFont val="Calibri"/>
        <family val="2"/>
        <scheme val="minor"/>
      </rPr>
      <t>...</t>
    </r>
  </si>
  <si>
    <t>Velas para embarcaciones, deslizadores o vehículos terrestres, de materia textil</t>
  </si>
  <si>
    <r>
      <t xml:space="preserve">Calzado con suela de caucho, plástico, cuero natural o regenerado y parte superior de cuero </t>
    </r>
    <r>
      <rPr>
        <b/>
        <sz val="8"/>
        <color rgb="FF002B54"/>
        <rFont val="Calibri"/>
        <family val="2"/>
        <scheme val="minor"/>
      </rPr>
      <t>...</t>
    </r>
  </si>
  <si>
    <t>Bloques y ladrillos para la construcción, de cemento, hormigón o piedra artificial, incl. armados</t>
  </si>
  <si>
    <r>
      <t xml:space="preserve">Elementos prefabricados para la construcción o ingeniería civil, de cemento, hormigón o piedra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</si>
  <si>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Artículos de fibra de celulosa-cemento o similares, que no contengan amianto (exc. ??corrugado </t>
    </r>
    <r>
      <rPr>
        <b/>
        <sz val="8"/>
        <color rgb="FF002B54"/>
        <rFont val="Calibri"/>
        <family val="2"/>
        <scheme val="minor"/>
      </rPr>
      <t>...</t>
    </r>
  </si>
  <si>
    <t>Fibras de carbono</t>
  </si>
  <si>
    <r>
      <t xml:space="preserve">Ladrillos, placas, baldosas y demás piezas cerámicas de harinas silíceas fósiles (por ejemplo: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</si>
  <si>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Abrevaderos, pilas y recipientes simil., de cerámica, para uso rural; cántaros y recipientes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</si>
  <si>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"Fregaderos ""piletas para lavar"", lavabos, pedestales de lavabo, bañeras, bidés, inodoros, </t>
    </r>
    <r>
      <rPr>
        <b/>
        <sz val="8"/>
        <color rgb="FF002B54"/>
        <rFont val="Calibri"/>
        <family val="2"/>
        <scheme val="minor"/>
      </rPr>
      <t>...</t>
    </r>
  </si>
  <si>
    <t>Vidrieras aislantes de paredes múltiples</t>
  </si>
  <si>
    <t>Tapones, tapas y demás dispositivos de cierre, de vidrio</t>
  </si>
  <si>
    <r>
      <t xml:space="preserve">Granito de cualquier forma, pulimentado, decorado o trabajado de otro modo (exc. losetas, cubos, </t>
    </r>
    <r>
      <rPr>
        <b/>
        <sz val="8"/>
        <color rgb="FF002B54"/>
        <rFont val="Calibri"/>
        <family val="2"/>
        <scheme val="minor"/>
      </rPr>
      <t>...</t>
    </r>
  </si>
  <si>
    <t>Piedras de afilar o de pulir a mano</t>
  </si>
  <si>
    <r>
      <t xml:space="preserve">Artículos de cristal al plomo, para servicio de mesa o de cocina (exc. objetos de la partida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</si>
  <si>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"Cristales para reloj y cristales análogos, cristales para gafas ""anteojos"", incl. correctores, </t>
    </r>
    <r>
      <rPr>
        <b/>
        <sz val="8"/>
        <color rgb="FF002B54"/>
        <rFont val="Calibri"/>
        <family val="2"/>
        <scheme val="minor"/>
      </rPr>
      <t>...</t>
    </r>
  </si>
  <si>
    <t>Tejidos cerrados de mechas de fibras de vidrio, aglutinados mecánicamente (exc. ​​tejidos)</t>
  </si>
  <si>
    <t>Oro, incl. el oro platinado, en polvo, para uso no monetario</t>
  </si>
  <si>
    <t>Platino, semilabrado</t>
  </si>
  <si>
    <t>Ferromanganeso, con un contenido de carbono &lt;= 2% en peso</t>
  </si>
  <si>
    <t>Ferrosilicio, con un contenido de silicio &gt; 55% en peso</t>
  </si>
  <si>
    <t>Ferro-sílico-manganeso</t>
  </si>
  <si>
    <t>Ferro-sílico-cromo</t>
  </si>
  <si>
    <t>Ferrovanadio</t>
  </si>
  <si>
    <r>
      <t xml:space="preserve">"Productos férreos obtenidos por reducción directa de minerales de hierro, en trozos, ""pellets""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</si>
  <si>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Visillos y cortinas; guardamalletas y ropadiés de cama, de fibras sintéticas (exc. de punto,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</si>
  <si>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Ropa de cama de materia textil, estampada (exc. de algodón y de fibras sintéticas o artificiales,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</si>
  <si>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Prendas de vestir del tipo descrito en la partida 6202, engomadas o impregnadas, revestidas,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</si>
  <si>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"Combinaciones y enaguas, de punto, de fibras sintéticas o artificiales, para mujeres o niñas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</si>
  <si>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Abrigos, impermeables, chaquetones, capas y artículos simil., de materia textil, para mujeres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</si>
  <si>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"Anoraks, cazadoras y artículos simil., de algodón, para mujeres o niñas (exc. de punto, así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</si>
  <si>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"Trajes ""ambos o ternos"" de fibras sintéticas, para hombres o niños (exc. de punto, así como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</si>
  <si>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Conjuntos de fibras sintéticas, para mujeres o niñas (exc. de punto, así como conjuntos de </t>
    </r>
    <r>
      <rPr>
        <b/>
        <sz val="8"/>
        <color rgb="FF002B54"/>
        <rFont val="Calibri"/>
        <family val="2"/>
        <scheme val="minor"/>
      </rPr>
      <t>...</t>
    </r>
  </si>
  <si>
    <t>Revestimientos de materia textil para paredes</t>
  </si>
  <si>
    <r>
      <t xml:space="preserve">Correas transportadoras o de transmisión, de materia textil, incluso impregnadas, recubiertas, </t>
    </r>
    <r>
      <rPr>
        <b/>
        <sz val="8"/>
        <color rgb="FF002B54"/>
        <rFont val="Calibri"/>
        <family val="2"/>
        <scheme val="minor"/>
      </rPr>
      <t>...</t>
    </r>
  </si>
  <si>
    <t>Tejidos con bucles, de punto (exc. de algodón o de fibras sintéticas o artificiales)</t>
  </si>
  <si>
    <r>
      <t xml:space="preserve">Conjuntos de punto, de fibras sintéticas, para hombres o niños (exc. monos y conjuntos de esquí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</si>
  <si>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"Alfombras y demás revestimientos para el suelo, de materia textil sintética o artificial,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</si>
  <si>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Alfombras y demás revestimientos para el suelo, de materia textil sintética o artificial, con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</si>
  <si>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Terciopelo y felpa por trama, sin cortar, de algodón (exc. los de punto y tejidos con bucles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</si>
  <si>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Terciopelo y felpa por trama, cortados, de algodón (exc. los de punto y tejidos con bucles </t>
    </r>
    <r>
      <rPr>
        <b/>
        <sz val="8"/>
        <color rgb="FF002B54"/>
        <rFont val="Calibri"/>
        <family val="2"/>
        <scheme val="minor"/>
      </rPr>
      <t>...</t>
    </r>
  </si>
  <si>
    <t>Tules, tules-bobinot y tejidos de mallas anudadas</t>
  </si>
  <si>
    <r>
      <t xml:space="preserve">Encajes en pieza, en tiras o en aplicaciones, hechos a mano (exc. productos de las partidas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</si>
  <si>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Mapas y cartas hidrográficas o similares de todo tipo, incl. atlas y planos topográficos, impresos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</si>
  <si>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Planos y dibujos originales hechos a mano, de arquitectura, ingeniería, industriales, comerciales,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</si>
  <si>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Tarjetas postales impresas o ilustradas; tarjetas impresas con felicitaciones o comunicaciones </t>
    </r>
    <r>
      <rPr>
        <b/>
        <sz val="8"/>
        <color rgb="FF002B54"/>
        <rFont val="Calibri"/>
        <family val="2"/>
        <scheme val="minor"/>
      </rPr>
      <t>...</t>
    </r>
  </si>
  <si>
    <t>Seda cruda (sin torcer)</t>
  </si>
  <si>
    <r>
      <t xml:space="preserve">Hilados de seda (excepto los hilados de desperdicios de seda) sin acondicionar para la venta </t>
    </r>
    <r>
      <rPr>
        <b/>
        <sz val="8"/>
        <color rgb="FF002B54"/>
        <rFont val="Calibri"/>
        <family val="2"/>
        <scheme val="minor"/>
      </rPr>
      <t>...</t>
    </r>
  </si>
  <si>
    <t>Lana desgrasada, sin carbonizar, sin cardar ni peinar (exc. lana esquilada)</t>
  </si>
  <si>
    <t>Hilachas de lana o pelo fino u ordinario</t>
  </si>
  <si>
    <t>Hilachas de algodón</t>
  </si>
  <si>
    <t>Pelo ordinario cardado o peinado</t>
  </si>
  <si>
    <r>
      <t xml:space="preserve">Fieltro, sin impregnar, recubrir, revestir ni estratificar (exc. de lana o pelo fino, así como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</si>
  <si>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"Tejidos de algodón, con un alto contenido de algodón, pero &lt; 85% en peso, mezclado exclusiva </t>
    </r>
    <r>
      <rPr>
        <b/>
        <sz val="8"/>
        <color rgb="FF002B54"/>
        <rFont val="Calibri"/>
        <family val="2"/>
        <scheme val="minor"/>
      </rPr>
      <t>...</t>
    </r>
  </si>
  <si>
    <t>Lino peinado o trabajado de otro modo, pero sin hilar (exc. lino agramado, espadado o enriado)</t>
  </si>
  <si>
    <r>
      <t xml:space="preserve">Coco, abacá [cáñamo de manila (Musa textilis Nee)], ramio y demás fibras textiles vegetales </t>
    </r>
    <r>
      <rPr>
        <b/>
        <sz val="8"/>
        <color rgb="FF002B54"/>
        <rFont val="Calibri"/>
        <family val="2"/>
        <scheme val="minor"/>
      </rPr>
      <t>...</t>
    </r>
  </si>
  <si>
    <t>Hilos de coser de filamentos sintéticos, incl. acondicionados para la venta al por menor</t>
  </si>
  <si>
    <t>Hilos de coser de filamentos artificiales, incl. acondicionados para la venta al por menor</t>
  </si>
  <si>
    <r>
      <t xml:space="preserve">Hilados de alta tenacidad, de filamentos de nailon o demás poliamidas (exc. hilos de coser,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</si>
  <si>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de filamentos de poliésteres, incl. los monofilamentos de título &lt; 67 decitex, retorcidos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</si>
  <si>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de filamentos de acetato de celulosa, incl. los monofilamentos de título &lt; 67 decitex,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</si>
  <si>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Monofilamentos sintéticos de título &gt;= 67 decitex y cuya mayor dimensión de la sección transversal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</si>
  <si>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de filamentos sintéticos o artificiales (excepto el hilo de coser), acondicionados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</si>
  <si>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hilados con un contenido &gt;= 85% en peso de filamentos de poliésteres sin texturar </t>
    </r>
    <r>
      <rPr>
        <b/>
        <sz val="8"/>
        <color rgb="FF002B54"/>
        <rFont val="Calibri"/>
        <family val="2"/>
        <scheme val="minor"/>
      </rPr>
      <t>...</t>
    </r>
  </si>
  <si>
    <t>Fibras discontinuas de aramidas, sin cardar, peinar ni transformar de otra forma para la hilatura</t>
  </si>
  <si>
    <r>
      <t xml:space="preserve">Fibras discontinuas de nailon o demás poliamidas, cardadas, peinadas o transformadas de otro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</si>
  <si>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con un contenido de fibras discontinuas de nailon o demás poliamidas &gt;= 85% en peso,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</si>
  <si>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con un contenido de fibras sintéticas discontinuas &gt;= 85% en peso, sencillos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</si>
  <si>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con un contenido de fibras artificiales discontinuas &gt;= 85% en peso, sencillos (exc. </t>
    </r>
    <r>
      <rPr>
        <b/>
        <sz val="8"/>
        <color rgb="FF002B54"/>
        <rFont val="Calibri"/>
        <family val="2"/>
        <scheme val="minor"/>
      </rPr>
      <t>...</t>
    </r>
  </si>
  <si>
    <t>Pasta química de madera distinta de la de coníferas, al sulfito, cruda (exc. pasta para disolver)</t>
  </si>
  <si>
    <r>
      <t xml:space="preserve">Pasta química de madera de coníferas, al sulfito, semiblanqueada o blanqueada (exc. pasta para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</si>
  <si>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"Pasta de materias fibrosas celulósicas, semiquímicas (exc. de madera y de línter de algodón,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</si>
  <si>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 para acanalar, sin estucar ni recubrir, en bobinas ""rollos"" de anchura &gt; 36 cm o en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</si>
  <si>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"Testliner, reciclado, sin estucar ni recubrir, en bobinas ""rollos"" de anchura &gt; 36 cm 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</si>
  <si>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 resistente a las grasas [""greaseproof""], en bobinas ""rollos"" de anchura &gt; 36 cm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</si>
  <si>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 y cartón, rizados [""crepés""], plisados, gofrados, estampados o perforados, en bobinas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</si>
  <si>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 y cartón, estucados por una o las dos caras con caolín u otras sustancias inorgánicas,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</si>
  <si>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 y cartón alquitranados, embetunados o asfaltados, en bobinas ""rollos"" o en hojas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</si>
  <si>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 y cartón, coloreados o decorados en la superficie o impresos, engomados o adhesivos </t>
    </r>
    <r>
      <rPr>
        <b/>
        <sz val="8"/>
        <color rgb="FF002B54"/>
        <rFont val="Calibri"/>
        <family val="2"/>
        <scheme val="minor"/>
      </rPr>
      <t>...</t>
    </r>
  </si>
  <si>
    <t>Papel de fumar, en librillos o en tubos</t>
  </si>
  <si>
    <r>
      <t xml:space="preserve">Papel para decorar y revestimientos simil. de paredes, constituidos por papel recubierto 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</si>
  <si>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 autocopia, en bobinas ""rollos"" de anchura &lt;= 36 cm o en hojas cuadradas o rectangulares </t>
    </r>
    <r>
      <rPr>
        <b/>
        <sz val="8"/>
        <color rgb="FF002B54"/>
        <rFont val="Calibri"/>
        <family val="2"/>
        <scheme val="minor"/>
      </rPr>
      <t>...</t>
    </r>
  </si>
  <si>
    <t>Desperdicios y desechos, de plomo</t>
  </si>
  <si>
    <t>"Cobre refinado en forma de barras para alambrón ""wire-bars"""</t>
  </si>
  <si>
    <t>Molibdeno en bruto, incl. las barras simplemente obtenidas por sinterizado</t>
  </si>
  <si>
    <r>
      <t xml:space="preserve">Azadas, picos, binaderas, rastrillos y raederas, con parte operante de metal común (exc. picos </t>
    </r>
    <r>
      <rPr>
        <b/>
        <sz val="8"/>
        <color rgb="FF002B54"/>
        <rFont val="Calibri"/>
        <family val="2"/>
        <scheme val="minor"/>
      </rPr>
      <t>...</t>
    </r>
  </si>
  <si>
    <t>Herramientas de taladrar o roscar, incl. las terrajas, de mano</t>
  </si>
  <si>
    <r>
      <t xml:space="preserve">Útiles intercambiables, para herramientas de mano, incl. mecánicas, o para máquinas herramienta,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</si>
  <si>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Cucharas, tenedores, cucharones, espumaderas, palas para tarta, cuchillos para pescado o para </t>
    </r>
    <r>
      <rPr>
        <b/>
        <sz val="8"/>
        <color rgb="FF002B54"/>
        <rFont val="Calibri"/>
        <family val="2"/>
        <scheme val="minor"/>
      </rPr>
      <t>...</t>
    </r>
  </si>
  <si>
    <t>Cerraduras de los tipos utilizados en vehículos automóviles, de metal común</t>
  </si>
  <si>
    <t>Cierres y monturas cierre, con cerradura, de metal común</t>
  </si>
  <si>
    <t>Guarniciones y herrajes para edificios (exc. cerraduras, cerrojos con cerradura y bisagras)</t>
  </si>
  <si>
    <t>Torneaduras y gránulos, de magnesio, calibrados; polvo de magnesio</t>
  </si>
  <si>
    <t>Manufacturas de cobalto, n.c.o.p.</t>
  </si>
  <si>
    <t>Desperdicios y desechos, de cadmio (exc. cenizas y residuos que contengan cadmio)</t>
  </si>
  <si>
    <t>Desperdicios y desechos, de antimonio (exc. cenizas y residuos que contengan antimonio)</t>
  </si>
  <si>
    <t>Manufacturas de berilio, n.c.o.p.</t>
  </si>
  <si>
    <t>Manufacturas de talio, n.c.o.p.</t>
  </si>
  <si>
    <r>
      <t xml:space="preserve">Marcos para fotografías, grabados o simil., de metal común; espejos de metal común (exc. elementos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</si>
  <si>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Placas indicadoras, placas rótulo, placas de direcciones y placas similares, cifras, letras </t>
    </r>
    <r>
      <rPr>
        <b/>
        <sz val="8"/>
        <color rgb="FF002B54"/>
        <rFont val="Calibri"/>
        <family val="2"/>
        <scheme val="minor"/>
      </rPr>
      <t>...</t>
    </r>
  </si>
  <si>
    <t>Reactores nucleares [Euratom]</t>
  </si>
  <si>
    <t>Partes de calderas para calefacción central, n.c.o.p.</t>
  </si>
  <si>
    <t>Refrigeradores de absorción, domésticos</t>
  </si>
  <si>
    <r>
      <t xml:space="preserve">Turbinas hidráulicas y ruedas hidráulicas, de potencia &gt; 1.000 kW pero &lt;= 10.000 kW (exc. motores </t>
    </r>
    <r>
      <rPr>
        <b/>
        <sz val="8"/>
        <color rgb="FF002B54"/>
        <rFont val="Calibri"/>
        <family val="2"/>
        <scheme val="minor"/>
      </rPr>
      <t>...</t>
    </r>
  </si>
  <si>
    <t>Turbopropulsores, de potencia &gt; 1.100 kW</t>
  </si>
  <si>
    <t>Turbinas de gas, de potencia &lt;= 5.000 kW</t>
  </si>
  <si>
    <t>Recipientes para gas comprimido o licuado, de fundición, hierro o acero</t>
  </si>
  <si>
    <r>
      <t xml:space="preserve">Telas metálicas tejidas, incl. las continuas o sin fin, de hierro o acero distinto del acero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</si>
  <si>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"Partes de cadenas antideslizantes, cadenas de eslabones con contrete ""travesaño"" y demás </t>
    </r>
    <r>
      <rPr>
        <b/>
        <sz val="8"/>
        <color rgb="FF002B54"/>
        <rFont val="Calibri"/>
        <family val="2"/>
        <scheme val="minor"/>
      </rPr>
      <t>...</t>
    </r>
  </si>
  <si>
    <t>"Pbarcacoas ""parrillas"", clavijas o chavetas, de fundición, hierro o acero"</t>
  </si>
  <si>
    <r>
      <t xml:space="preserve">"Muelles ""resortes"" helicoidales, de hierro o acero (exc. resortes espirales planos, muelles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</si>
  <si>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"Muelles ""resortes"" y sus hojas, de hierro o acero, incl. los resortes espirales planos (exc. </t>
    </r>
    <r>
      <rPr>
        <b/>
        <sz val="8"/>
        <color rgb="FF002B54"/>
        <rFont val="Calibri"/>
        <family val="2"/>
        <scheme val="minor"/>
      </rPr>
      <t>...</t>
    </r>
  </si>
  <si>
    <t>Matas de níquel</t>
  </si>
  <si>
    <t>Níquel sin alear, en bruto</t>
  </si>
  <si>
    <t>"Chapas, hojas y tiras, de níquel sin alear (exc. chapas y tiras extendidas ""desplegadas"")"</t>
  </si>
  <si>
    <t>Polvo de aluminio, de estructura no laminar (exc. granalla de aluminio)</t>
  </si>
  <si>
    <r>
      <t xml:space="preserve">Polvo de aluminio, de estructura laminar; escamillas de aluminio (exc. granalla de aluminio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</si>
  <si>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Hojas y tiras, delgadas, de aluminio, sin soporte, laminadas y trabajadas, de espesor &lt;= 0,2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</si>
  <si>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Lana de hierro o acero; esponjas, estropajos, guantes y artículos simil. para fregar, lustrar </t>
    </r>
    <r>
      <rPr>
        <b/>
        <sz val="8"/>
        <color rgb="FF002B54"/>
        <rFont val="Calibri"/>
        <family val="2"/>
        <scheme val="minor"/>
      </rPr>
      <t>...</t>
    </r>
  </si>
  <si>
    <t>"Fregaderos ""piletas para lavar"" y lavabos, de acero inoxidable"</t>
  </si>
  <si>
    <t>Matas de cobre; cobre de cementación (cobre precipitado)</t>
  </si>
  <si>
    <t>Cobre sin refinar; ánodos de cobre para refinado electrolítico</t>
  </si>
  <si>
    <r>
      <t xml:space="preserve">"Torneaduras, virutas ""esquirlas"", esquirlas, limaduras ""de amolado, aserrado, limado""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</si>
  <si>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Hierro y acero sin alear, en otras formas primarias (exc. lingotes, lingotes de chatarra, productos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</si>
  <si>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Productos intermedios de hierro o acero sin alear, con un contenido de carbono &lt; 0,25% en peso,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</si>
  <si>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Productos planos de hierro o acero sin alear, de anchura &gt;= 600 mm, sin enrollar, simplemente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</si>
  <si>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Productos planos de hierro o acero sin alear, de anchura &lt; 600 mm, laminados en frío o en caliente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</si>
  <si>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"Alambrón de hierro o acero sin alear, enrollado en espiras irregulares ""coronas"", con muescas,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</si>
  <si>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Barras de hierro o acero sin alear, simplemente obtenidas o acabadas en frío (exc. de acero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</si>
  <si>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Perfiles en U, en I o en H, de hierro o acero sin alear, simplemente laminados o extrudidos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</si>
  <si>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Perfiles en I, de hierro o acero sin alear, simplemente laminados o extrudidos en caliente,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</si>
  <si>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Acero inoxidable, en lingotes o demás formas primarias (exc. lingotes de chatarra y productos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</si>
  <si>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Productos planos de acero rápido, de anchura &gt;= 600 mm, laminados en frío o en caliente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</si>
  <si>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"Alambrón de aceros aleados, distinto del acero inoxidable, enrollado en espiras irregulares </t>
    </r>
    <r>
      <rPr>
        <b/>
        <sz val="8"/>
        <color rgb="FF002B54"/>
        <rFont val="Calibri"/>
        <family val="2"/>
        <scheme val="minor"/>
      </rPr>
      <t>...</t>
    </r>
  </si>
  <si>
    <t>Barras de acero silico-manganoso</t>
  </si>
  <si>
    <t>Barras huecas para perforación, de aceros aleados o sin alear</t>
  </si>
  <si>
    <t>Alambre de acero silico-manganoso, enrollado (exc. el alambrón)</t>
  </si>
  <si>
    <r>
      <t xml:space="preserve">Agujas, puntas de corazón, varillas para el mando de agujas y demás elementos para el cruce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</si>
  <si>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Tubos y perfiles huecos, sin soldadura, de sección circular, de hierro o acero sin alear, estirados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</si>
  <si>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Tubos de sección circular, de diámetro exterior &gt; 406,4 mm, fabricados a partir de productos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</si>
  <si>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"Bobinas de reactancia ""autoinducción"" (exc. bobinas de reactancia para lámparas o tubos </t>
    </r>
    <r>
      <rPr>
        <b/>
        <sz val="8"/>
        <color rgb="FF002B54"/>
        <rFont val="Calibri"/>
        <family val="2"/>
        <scheme val="minor"/>
      </rPr>
      <t>...</t>
    </r>
  </si>
  <si>
    <t>Pilas y baterías de pilas, de óxido de mercurio (exc. inservibles,)</t>
  </si>
  <si>
    <t>Cargadoras y palas cargadoras de carga frontal, autopropulsadas</t>
  </si>
  <si>
    <r>
      <t xml:space="preserve">Máquinas de sondeo o perforación, de extraer o perforar tierra o minerales, no autopropulsadas, </t>
    </r>
    <r>
      <rPr>
        <b/>
        <sz val="8"/>
        <color rgb="FF002B54"/>
        <rFont val="Calibri"/>
        <family val="2"/>
        <scheme val="minor"/>
      </rPr>
      <t>...</t>
    </r>
  </si>
  <si>
    <t>Máquinas para fabricación aditiva por depósito de yeso, cemento, cerámica o vidrio</t>
  </si>
  <si>
    <t>Generadores fotovoltaicos de CA</t>
  </si>
  <si>
    <r>
      <t xml:space="preserve">Partes y accesorios para máquinas de calcular electrónicas de las subpartidas 8470.10, 8470.21 </t>
    </r>
    <r>
      <rPr>
        <b/>
        <sz val="8"/>
        <color rgb="FF002B54"/>
        <rFont val="Calibri"/>
        <family val="2"/>
        <scheme val="minor"/>
      </rPr>
      <t>...</t>
    </r>
  </si>
  <si>
    <t>Máquinas para fabricar fibras ópticas y sus esbozos</t>
  </si>
  <si>
    <r>
      <t xml:space="preserve">Máquinas automáticas para la venta de productos, sin dispositivo de calentamiento o refrigeración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</si>
  <si>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Maquinaria para la extracción o preparación de grasas o aceites animales o vegetales fijos </t>
    </r>
    <r>
      <rPr>
        <b/>
        <sz val="8"/>
        <color rgb="FF002B54"/>
        <rFont val="Calibri"/>
        <family val="2"/>
        <scheme val="minor"/>
      </rPr>
      <t>...</t>
    </r>
  </si>
  <si>
    <t>Máquinas de cordelería o cablería (exc. máquinas para retorcer de los tipos utilizados en hilatura)</t>
  </si>
  <si>
    <r>
      <t xml:space="preserve">Máquinas y aparatos para trabajar metal, incl. las bobinadoras de hilos eléctricos, n.c.o.p. </t>
    </r>
    <r>
      <rPr>
        <b/>
        <sz val="8"/>
        <color rgb="FF002B54"/>
        <rFont val="Calibri"/>
        <family val="2"/>
        <scheme val="minor"/>
      </rPr>
      <t>...</t>
    </r>
  </si>
  <si>
    <t>Prensas isostáticas en frío</t>
  </si>
  <si>
    <r>
      <t xml:space="preserve">Partes de telefonos, telefonos celulares o para radiofonias u otros aparatos de transmisión </t>
    </r>
    <r>
      <rPr>
        <b/>
        <sz val="8"/>
        <color rgb="FF002B54"/>
        <rFont val="Calibri"/>
        <family val="2"/>
        <scheme val="minor"/>
      </rPr>
      <t>...</t>
    </r>
  </si>
  <si>
    <t>"Cajas acústicas con varios altavoces ""altoparlantes"" montados en una misma caja"</t>
  </si>
  <si>
    <r>
      <t xml:space="preserve">"Aparatos de grabación o reproducción de imagen y sonido ""vídeos"", incl. con receptor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</si>
  <si>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Aparatos emisores con aparato receptor incorporado, de radiotelefonía, radiotelegrafía, radiodifusión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</si>
  <si>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Cámaras de televisión de alta velocidad, cámaras digitales y videocámaras incluidas en la nota </t>
    </r>
    <r>
      <rPr>
        <b/>
        <sz val="8"/>
        <color rgb="FF002B54"/>
        <rFont val="Calibri"/>
        <family val="2"/>
        <scheme val="minor"/>
      </rPr>
      <t>...</t>
    </r>
  </si>
  <si>
    <t>Aparatos de radiotelemando</t>
  </si>
  <si>
    <r>
      <t xml:space="preserve">Aparatos receptores de radiodifusión que pueden funcionar sin fuente de energía exterior, incl.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</si>
  <si>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Aparatos receptores de radiodifusión, que solo funcionen conectados a la red, incl. los que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</si>
  <si>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Monitores capaces de conectar directamente con y diseñados para su uso con una máquina de procesamiento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</si>
  <si>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Projectores, principalmente para usar en máquinas procesadoras de datos automáticas de la clase </t>
    </r>
    <r>
      <rPr>
        <b/>
        <sz val="8"/>
        <color rgb="FF002B54"/>
        <rFont val="Calibri"/>
        <family val="2"/>
        <scheme val="minor"/>
      </rPr>
      <t>...</t>
    </r>
  </si>
  <si>
    <t>Partes de aparatos eléctricos de señalización, seguridad, control o mando, n.c.o.p.</t>
  </si>
  <si>
    <t>Partes de aparatos eléctricos de señalizacion acústica o visual, n.c.o.p.</t>
  </si>
  <si>
    <t>Resistencias fijas, de potencia &lt;= 20 W (exc. resistencias de calentamiento)</t>
  </si>
  <si>
    <t>Partes de aspiradoras, incl. las de materias secas y líquidas, n.c.o.p.</t>
  </si>
  <si>
    <r>
      <t xml:space="preserve">Aparatos y dispositivos eléctricos de encendido o de arranque, incl. los reguladores disyuntores,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</si>
  <si>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Aparatos de señalización acústica, eléctricos, de los tipos utilizados en velocípedos o vehículos </t>
    </r>
    <r>
      <rPr>
        <b/>
        <sz val="8"/>
        <color rgb="FF002B54"/>
        <rFont val="Calibri"/>
        <family val="2"/>
        <scheme val="minor"/>
      </rPr>
      <t>...</t>
    </r>
  </si>
  <si>
    <t>Prensas isostáticas en caliente</t>
  </si>
  <si>
    <t>Hornos que funcionen por inducción o pérdidas dieléctricas</t>
  </si>
  <si>
    <t>Soldadores y pistolas para soldar</t>
  </si>
  <si>
    <t>Resistencias calentadoras, eléctricas (exc. de carbón aglomerado o de grafito)</t>
  </si>
  <si>
    <r>
      <t xml:space="preserve">"Armarios, arcones ""cofres"", vitrinas, mostradores y muebles simil. para la producción de </t>
    </r>
    <r>
      <rPr>
        <b/>
        <sz val="8"/>
        <color rgb="FF002B54"/>
        <rFont val="Calibri"/>
        <family val="2"/>
        <scheme val="minor"/>
      </rPr>
      <t>...</t>
    </r>
  </si>
  <si>
    <t>Calentadores de calentamiento instantáneo, de gas (exc. calderas de calefacción central)</t>
  </si>
  <si>
    <t>Aparatos de liofilización, unidades de liofilización y secadores por atomización</t>
  </si>
  <si>
    <r>
      <t xml:space="preserve">Secadores para madera, pasta de papel, papel o cartón (exc. ​​aparatos de liofilización, liofilizadores, </t>
    </r>
    <r>
      <rPr>
        <b/>
        <sz val="8"/>
        <color rgb="FF002B54"/>
        <rFont val="Calibri"/>
        <family val="2"/>
        <scheme val="minor"/>
      </rPr>
      <t>...</t>
    </r>
  </si>
  <si>
    <t>Aparatos de filtrar o depurar bebidas (exc. agua)</t>
  </si>
  <si>
    <r>
      <t xml:space="preserve">Aparatos mecánicos, incl. de mano, para proyectar, dispersar o pulverizar materias líquidas </t>
    </r>
    <r>
      <rPr>
        <b/>
        <sz val="8"/>
        <color rgb="FF002B54"/>
        <rFont val="Calibri"/>
        <family val="2"/>
        <scheme val="minor"/>
      </rPr>
      <t>...</t>
    </r>
  </si>
  <si>
    <t>Ascensores y montacargas</t>
  </si>
  <si>
    <t>Teleféricos, incl. las telesillas y los telesquís; mecanismos de tracción para funiculares</t>
  </si>
  <si>
    <t>Sembradoras, plantadoras y transplantadoras, agrícolas, hortícolas o silvícolas</t>
  </si>
  <si>
    <t>Esparcidores de estiércol y distribuidores de abono, agrícolas, hortícolas o silvícolas</t>
  </si>
  <si>
    <t>Máquinas de cosechar raíces o tubérculos</t>
  </si>
  <si>
    <r>
      <t xml:space="preserve">Máquinas y aparatos de cosechar productos agrícolas (exc. guadañadoras; máquinas y aparatos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</si>
  <si>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para limpieza o clasificación de huevos, frutos o demás productos agrícolas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</si>
  <si>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de máquinas y aparatos para la agricultura, horticultura, silvicultura o apicultura, </t>
    </r>
    <r>
      <rPr>
        <b/>
        <sz val="8"/>
        <color rgb="FF002B54"/>
        <rFont val="Calibri"/>
        <family val="2"/>
        <scheme val="minor"/>
      </rPr>
      <t>...</t>
    </r>
  </si>
  <si>
    <t>Máquinas para limpieza, clasificación o cribado de semillas, granos u hortalizas de vaina seca</t>
  </si>
  <si>
    <r>
      <t xml:space="preserve">Máquinas y aparatos para molienda o tratamiento de cereales u hortalizas de vaina seca; sus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</si>
  <si>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"Máquinas para la fabricación de sacos, bolsas ""bolsas"" o sobres, de pasta de papel, de papel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</si>
  <si>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de máquinas, aparatos y material para fundir o componer caracteres o para preparar o </t>
    </r>
    <r>
      <rPr>
        <b/>
        <sz val="8"/>
        <color rgb="FF002B54"/>
        <rFont val="Calibri"/>
        <family val="2"/>
        <scheme val="minor"/>
      </rPr>
      <t>...</t>
    </r>
  </si>
  <si>
    <t>Máquinas circulares de tricotar, con cilindro de diámetro &gt; 165 cm</t>
  </si>
  <si>
    <r>
      <t xml:space="preserve">Máquinas de entorchar, para fabricar tul, encaje, bordados, pasamanería, trenzas, redes o </t>
    </r>
    <r>
      <rPr>
        <b/>
        <sz val="8"/>
        <color rgb="FF002B54"/>
        <rFont val="Calibri"/>
        <family val="2"/>
        <scheme val="minor"/>
      </rPr>
      <t>...</t>
    </r>
  </si>
  <si>
    <t>Husos, aletas y anillos y cursores, para máquinas de la partida 8445</t>
  </si>
  <si>
    <t>Partes y accesorios para máquinas de la partida 8447, n.c.o.p.</t>
  </si>
  <si>
    <r>
      <t xml:space="preserve">Máquinas totalmente automáticas, para lavar ropa, de capacidad unitaria, expresada en peso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</si>
  <si>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de máquinas y aparatos para lavar, limpiar, escurrir, secar, planchar, prensar, blanquear,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</si>
  <si>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y aparatos para la fabricación o reparación de calzado de cuero o piel (exc. máquinas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</si>
  <si>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"Partes de convertidores, de cucharas de colada, de lingoteras y de máquinas de colar ""moldear"",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</si>
  <si>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Laminadores para metal, para laminar en caliente o combinados para laminar en caliente y en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</si>
  <si>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Tornos, incl. los centros de torneado, que operen por arranque de metal, de control numérico </t>
    </r>
    <r>
      <rPr>
        <b/>
        <sz val="8"/>
        <color rgb="FF002B54"/>
        <rFont val="Calibri"/>
        <family val="2"/>
        <scheme val="minor"/>
      </rPr>
      <t>...</t>
    </r>
  </si>
  <si>
    <t>Unidades de mecanizado de correderas, de taladrar, fresar o roscar metal</t>
  </si>
  <si>
    <r>
      <t xml:space="preserve">Máquinas de taladrar metal, de control no numérico (exc. unidades de mecanizado de correderas,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</si>
  <si>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Escariadoras-fresadoras, para metal, de control numérico (exc. unidades de mecanizado de c </t>
    </r>
    <r>
      <rPr>
        <b/>
        <sz val="8"/>
        <color rgb="FF002B54"/>
        <rFont val="Calibri"/>
        <family val="2"/>
        <scheme val="minor"/>
      </rPr>
      <t>...</t>
    </r>
  </si>
  <si>
    <t>Máquinas de afilar para metal, de control no numérico</t>
  </si>
  <si>
    <t>Prensas para trabajar metales en frío (exc. ​​Prensas hidráulicas, mecánicas y servoprensas)</t>
  </si>
  <si>
    <r>
      <t xml:space="preserve">Máquinas herramienta, para trabajar madera, plástico rígido o materias duras simil., que efectúen </t>
    </r>
    <r>
      <rPr>
        <b/>
        <sz val="8"/>
        <color rgb="FF002B54"/>
        <rFont val="Calibri"/>
        <family val="2"/>
        <scheme val="minor"/>
      </rPr>
      <t>...</t>
    </r>
  </si>
  <si>
    <t>Herramientas neumáticas, de uso manual, no rotativas</t>
  </si>
  <si>
    <r>
      <t xml:space="preserve">Partes de herramientas hidráulicas o con motor incorporado, incl. eléctrico, de uso manual,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</si>
  <si>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de calcular electrónicas, sin dispositivo de impresión incorporado, conectadas a la </t>
    </r>
    <r>
      <rPr>
        <b/>
        <sz val="8"/>
        <color rgb="FF002B54"/>
        <rFont val="Calibri"/>
        <family val="2"/>
        <scheme val="minor"/>
      </rPr>
      <t>...</t>
    </r>
  </si>
  <si>
    <t>Correas transportadoras, de caucho vulcanizado, reforzadas solamente con metal</t>
  </si>
  <si>
    <r>
      <t xml:space="preserve">"Correas de transmisión, de caucho vulcanizado (exc. correas de transmisión, sin fin, estriadas,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</si>
  <si>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"Neumáticos ""llantas neumáticas"" recauchutados, de caucho, de los tipos utilizados en autobuses </t>
    </r>
    <r>
      <rPr>
        <b/>
        <sz val="8"/>
        <color rgb="FF002B54"/>
        <rFont val="Calibri"/>
        <family val="2"/>
        <scheme val="minor"/>
      </rPr>
      <t>...</t>
    </r>
  </si>
  <si>
    <t>Manufacturas de caucho celular sin endurecer, n.c.o.p.</t>
  </si>
  <si>
    <r>
      <t xml:space="preserve">Gomas de borrar, de caucho vulcanizado sin endurecer, trabajadas y listas para el uso, cortadas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</si>
  <si>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"Todo cueros y pieles de bovino "", incl. Búfalo"", o de equino, depilados o no, una sola pieza,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</si>
  <si>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Cueros y pieles, en bruto, de porcino, frescos o salados, secos, encalados, piquelados o conservados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</si>
  <si>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"Cueros y pieles, depilados, de antílopes, corzos, gamuzas, renos, alces, elefantes y demás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</si>
  <si>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Contraventanas, persianas, incl. las venecianas, y artículos simil. y sus partes, de plástico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</si>
  <si>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"Caucho natural, en formas primarias o en placas, hojas o tiras (exc. hojas ahumadas, cauchos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</si>
  <si>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Balata, gutapercha, guayule, chicle y gomas naturales análogas, en formas primarias o en placas, </t>
    </r>
    <r>
      <rPr>
        <b/>
        <sz val="8"/>
        <color rgb="FF002B54"/>
        <rFont val="Calibri"/>
        <family val="2"/>
        <scheme val="minor"/>
      </rPr>
      <t>...</t>
    </r>
  </si>
  <si>
    <t>Preparaciones antioxidantes y demás estabilizantes compuestos para caucho o plástico</t>
  </si>
  <si>
    <r>
      <t xml:space="preserve">Líquidos para frenos hidráulicos y demás líquidos preparados para transmisiones hidráulicas,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</si>
  <si>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"Placas, láminas, hojas y tiras, de poli""butiral de vinilo"" no celular y sin esfuerzo, estratificación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</si>
  <si>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Placas, láminas, hojas y tiras, de resinas amínicas no celulares y sin esfuerzo, estratificación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</si>
  <si>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Peletería en bruto, enteras, con o sin cabeza, cola o patas (exc. ??de visón, de cordero - </t>
    </r>
    <r>
      <rPr>
        <b/>
        <sz val="8"/>
        <color rgb="FF002B54"/>
        <rFont val="Calibri"/>
        <family val="2"/>
        <scheme val="minor"/>
      </rPr>
      <t>...</t>
    </r>
  </si>
  <si>
    <t>leña, en los registros, palanquillas, ramitas, leña o formas similares, de coníferas</t>
  </si>
  <si>
    <r>
      <t xml:space="preserve">Madera de coníferas en bruto, cuya sección transversal mínima sea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</si>
  <si>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"Madera de haya ""Fagus spp."", en bruto, incl. descortezada, desalburada o escuadrada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</si>
  <si>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"Haya ""Fagus spp."" en bruto, de las cuales ninguna dimensión de la sección transversal es </t>
    </r>
    <r>
      <rPr>
        <b/>
        <sz val="8"/>
        <color rgb="FF002B54"/>
        <rFont val="Calibri"/>
        <family val="2"/>
        <scheme val="minor"/>
      </rPr>
      <t>...</t>
    </r>
  </si>
  <si>
    <t>Lana de madera; harina de madera</t>
  </si>
  <si>
    <t>"Traviesas ""durmientes"" de madera para vías férreas o simil., impregnadas"</t>
  </si>
  <si>
    <r>
      <t xml:space="preserve">Madera de coníferas, aserrada o desbastada longitudinalmente, cortada o desenrollada, incl.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</si>
  <si>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"Cereza ""Prunus spp."", aserrada o desbastada longitudinalmente, cortada o desenrollada,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</si>
  <si>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"Abedul ""Betula spp."", Aserrada o desbastada longitudinalmente, cortada o desenrollada, incluso </t>
    </r>
    <r>
      <rPr>
        <b/>
        <sz val="8"/>
        <color rgb="FF002B54"/>
        <rFont val="Calibri"/>
        <family val="2"/>
        <scheme val="minor"/>
      </rPr>
      <t>...</t>
    </r>
  </si>
  <si>
    <t>"Fibra de media densidad ""MDF"", de madera y de medida &lt;= 5mm"</t>
  </si>
  <si>
    <r>
      <t xml:space="preserve">Madera contrachapada constituida exclusivamente por hojas de madera &lt;= 6 mm de espesor, con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</si>
  <si>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"Madera contrachapada laminada ""LVL"", con ambas capas exteriores de madera de coníferas (exc. </t>
    </r>
    <r>
      <rPr>
        <b/>
        <sz val="8"/>
        <color rgb="FF002B54"/>
        <rFont val="Calibri"/>
        <family val="2"/>
        <scheme val="minor"/>
      </rPr>
      <t>...</t>
    </r>
  </si>
  <si>
    <t>Marcos de madera para cuadros, fotografías, espejos u objetos similares</t>
  </si>
  <si>
    <t>Ventanas, contraventanas y sus marcos, de madera (exc. ​​de madera tropical)</t>
  </si>
  <si>
    <t>Postes y vigas de madera</t>
  </si>
  <si>
    <t>"Esterillas y biombos, de ""ratán"" plateado, platelminto o unidos en paralelo"</t>
  </si>
  <si>
    <t>Las mezclas y preparados que contengan tetra, penta, hexa, hepta o éteres de octabromodifenilo</t>
  </si>
  <si>
    <r>
      <t xml:space="preserve">"Las mezclas y preparados que contienen principalmente ""5-etil-2-metil-2-oxido-1,3,2-dioxaphosphinan-5-il"" </t>
    </r>
    <r>
      <rPr>
        <b/>
        <sz val="8"/>
        <color rgb="FF002B54"/>
        <rFont val="Calibri"/>
        <family val="2"/>
        <scheme val="minor"/>
      </rPr>
      <t>...</t>
    </r>
  </si>
  <si>
    <t>Productos residuales de la industria química o de las industrias conexas, n.c.o.p. (exc. desechos)</t>
  </si>
  <si>
    <r>
      <t xml:space="preserve">Biodiésel y sus mezclas, sin aceites de petróleo o de mineral bituminoso o con un contenido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</si>
  <si>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"Mezclas que contengan clorofluorocarbono ""CFCs"" que no contengan hidroclorofluorocarbono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</si>
  <si>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"Mezclas que contengan hidroclorofluorocarbonos ""HCFC"" (exc. los que contengan clorofluorocarbonos </t>
    </r>
    <r>
      <rPr>
        <b/>
        <sz val="8"/>
        <color rgb="FF002B54"/>
        <rFont val="Calibri"/>
        <family val="2"/>
        <scheme val="minor"/>
      </rPr>
      <t>...</t>
    </r>
  </si>
  <si>
    <t>Mezclas que contienen derivados halogenados de metano, etano o propano, n.c.o.p.</t>
  </si>
  <si>
    <t>Copolímeros de etileno y acetato de vinilo, en formas primarias</t>
  </si>
  <si>
    <t>"Copolímeros de acrilonitrilo-butadieno-estireno ""ABS"", en formas primarias"</t>
  </si>
  <si>
    <r>
      <t xml:space="preserve">"Polímeros de estireno, en formas primarias (exc. poliestireno, copolímeros de estireno-acrilonitrilo </t>
    </r>
    <r>
      <rPr>
        <b/>
        <sz val="8"/>
        <color rgb="FF002B54"/>
        <rFont val="Calibri"/>
        <family val="2"/>
        <scheme val="minor"/>
      </rPr>
      <t>...</t>
    </r>
  </si>
  <si>
    <t>Bis (polioxietilen) metilfosfonato, en formas primarias</t>
  </si>
  <si>
    <t>Resinas melamínicas, en formas primarias</t>
  </si>
  <si>
    <r>
      <t xml:space="preserve">Polisulfuros, polisulfonas y demás polímeros y prepolímeros obtenidos por síntesis química, </t>
    </r>
    <r>
      <rPr>
        <b/>
        <sz val="8"/>
        <color rgb="FF002B54"/>
        <rFont val="Calibri"/>
        <family val="2"/>
        <scheme val="minor"/>
      </rPr>
      <t>...</t>
    </r>
  </si>
  <si>
    <t>Tubos flexibles, de plástico, sin reforzar ni combinar con otras materias y con accesorios</t>
  </si>
  <si>
    <t>"Juntas, codos, empalmes ""eacores"" y demás accesorios de tubería, de plástico."</t>
  </si>
  <si>
    <r>
      <t xml:space="preserve">Aceites y demás productos de la destilación de los alquitranes de hulla de alta temperatura;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</si>
  <si>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Agentes de superficie orgánicos, incl. acondicionados para la venta al por menor (exc. aniónicos,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</si>
  <si>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Agentes de superficie orgánicos aniónicos, incluso acondicionados para la venta al por menor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</si>
  <si>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"Abrillantadores ""lustres"" para vidrio o metal, incl. papel, guata, fieltro, tela sin tejer, </t>
    </r>
    <r>
      <rPr>
        <b/>
        <sz val="8"/>
        <color rgb="FF002B54"/>
        <rFont val="Calibri"/>
        <family val="2"/>
        <scheme val="minor"/>
      </rPr>
      <t>...</t>
    </r>
  </si>
  <si>
    <t>"Ovoalbúmina seca ""p.ej. en hojas, escamas, cristales, polvos"""</t>
  </si>
  <si>
    <r>
      <t xml:space="preserve">Albúminas, albuminatos y demás derivados de las albúminas (excepto la albúmina de huevo y albúmina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</si>
  <si>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Dextrina, almidones y féculas pregelatinizados o esterificados y demás almidones o féculas </t>
    </r>
    <r>
      <rPr>
        <b/>
        <sz val="8"/>
        <color rgb="FF002B54"/>
        <rFont val="Calibri"/>
        <family val="2"/>
        <scheme val="minor"/>
      </rPr>
      <t>...</t>
    </r>
  </si>
  <si>
    <t>Fósforos (cerillas) (excepto los artículos de pirotecnia de la partida 3604)</t>
  </si>
  <si>
    <r>
      <t xml:space="preserve">Películas en rollos, sensibilizadas, sin impresionar, para rayos X (exc. de papel, de cartón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</si>
  <si>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Películas fotográficas en rollos, sensibilizadas, sin impresionar, sin perforar, de anchura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</si>
  <si>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Papel, cartón y textiles, fotográficos, sensibilizados, sin impresionar, para fotografía en </t>
    </r>
    <r>
      <rPr>
        <b/>
        <sz val="8"/>
        <color rgb="FF002B54"/>
        <rFont val="Calibri"/>
        <family val="2"/>
        <scheme val="minor"/>
      </rPr>
      <t>...</t>
    </r>
  </si>
  <si>
    <t>Placas, películas, papel, cartón y textiles, fotográficos, impresionados pero sin revelar</t>
  </si>
  <si>
    <r>
      <t xml:space="preserve">Placas y películas, fotográficas, impresionadas y reveladas, para la reproducción offset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</si>
  <si>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"Películas cinematográficas ""filmes"", impresionadas y reveladas, con registro de sonido 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</si>
  <si>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Dipentano bruto, sulfato turpentano y otras paracimanos brutas, aceites terpanicos producidos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</si>
  <si>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Fungicidas, presentados en formas o envases para la venta al por menor, o como preparaciones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</si>
  <si>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Desinfectantes, presentados en formas o envases para la venta al por menor, o como preparaciones </t>
    </r>
    <r>
      <rPr>
        <b/>
        <sz val="8"/>
        <color rgb="FF002B54"/>
        <rFont val="Calibri"/>
        <family val="2"/>
        <scheme val="minor"/>
      </rPr>
      <t>...</t>
    </r>
  </si>
  <si>
    <t>Corindón artificial, aunque no sea químicamente definido</t>
  </si>
  <si>
    <t>Óxido de aluminio (exc. corindón artificial)</t>
  </si>
  <si>
    <t>Hidróxido de aluminio</t>
  </si>
  <si>
    <t>Dióxido de manganeso</t>
  </si>
  <si>
    <t>Óxidos de manganeso (exc. dióxido de manganeso)</t>
  </si>
  <si>
    <t>Hidrazina e hidroxilamina y sus sales inorgánicas</t>
  </si>
  <si>
    <t>Óxidos e hidróxidos de níquel</t>
  </si>
  <si>
    <t>Bromuros de sodio o potasio</t>
  </si>
  <si>
    <t>Bromuros y oxibromuros (exc. de sodio, de potasio y de mercurio)</t>
  </si>
  <si>
    <t>Sulfitos de sodio</t>
  </si>
  <si>
    <r>
      <t xml:space="preserve">"Polifosfatos, aunque no de constitución química definida (excepto los de sodio trifosfato </t>
    </r>
    <r>
      <rPr>
        <b/>
        <sz val="8"/>
        <color rgb="FF002B54"/>
        <rFont val="Calibri"/>
        <family val="2"/>
        <scheme val="minor"/>
      </rPr>
      <t>...</t>
    </r>
  </si>
  <si>
    <t>Cianuros y oxicianuros (exc. de sodio)</t>
  </si>
  <si>
    <r>
      <t xml:space="preserve">Cromatos, dicromatos y peroxocromatos (exc. dicromato de sodio y compuestos inorganicos u organicos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</si>
  <si>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Compuestos inorgánicos u orgánicos de metal precioso, aunque no sean de constitución química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</si>
  <si>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Tritio y sus compuestos; aleaciones, dispersiones incl. cermet, productos cerámicos y mezclas </t>
    </r>
    <r>
      <rPr>
        <b/>
        <sz val="8"/>
        <color rgb="FF002B54"/>
        <rFont val="Calibri"/>
        <family val="2"/>
        <scheme val="minor"/>
      </rPr>
      <t>...</t>
    </r>
  </si>
  <si>
    <t>Fosfuros, aunque no sean de constitución química definida, excepto los ferrofósforos</t>
  </si>
  <si>
    <r>
      <t xml:space="preserve">"Hidrocarburos acíclicos, no saturados (exc. etileno, propeno ""propileno"", buteno ""butileno""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</si>
  <si>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"Derivados clorados saturados de los hidrocarburos acíclicos (exc. clorometano ""cloruro de </t>
    </r>
    <r>
      <rPr>
        <b/>
        <sz val="8"/>
        <color rgb="FF002B54"/>
        <rFont val="Calibri"/>
        <family val="2"/>
        <scheme val="minor"/>
      </rPr>
      <t>...</t>
    </r>
  </si>
  <si>
    <t>"Tetracloroetileno ""percloroetileno"""</t>
  </si>
  <si>
    <r>
      <t xml:space="preserve">Fluoruro, brominado o yodinado derivados de hidrocarbonos (exc. ethylene dribromodo (ISO)(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</si>
  <si>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"1,1,1,3,3-pentafluorobutano ""HFC-365mfc"" y 1,1,1,2,2,3,4,5,5,5-decafluoropentano ""HFC-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</si>
  <si>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Derivados halogenados de los hidrocarburos : Derivados halogenados de los hidrocarburos ciclánicos, </t>
    </r>
    <r>
      <rPr>
        <b/>
        <sz val="8"/>
        <color rgb="FF002B54"/>
        <rFont val="Calibri"/>
        <family val="2"/>
        <scheme val="minor"/>
      </rPr>
      <t>...</t>
    </r>
  </si>
  <si>
    <t>Bromoclorodifluorometano, bromotrifluorometano y dibromotetrafluoroethanes</t>
  </si>
  <si>
    <t>"Mirex ""ISO"""</t>
  </si>
  <si>
    <r>
      <t xml:space="preserve">"Derivados halogenados de los hidrocarburos ciclánicos, ciclénicos o cicloterpénicos (exc. </t>
    </r>
    <r>
      <rPr>
        <b/>
        <sz val="8"/>
        <color rgb="FF002B54"/>
        <rFont val="Calibri"/>
        <family val="2"/>
        <scheme val="minor"/>
      </rPr>
      <t>...</t>
    </r>
  </si>
  <si>
    <t>hexabromobifenilos</t>
  </si>
  <si>
    <r>
      <t xml:space="preserve">"Derivados sulfonados, nitrados o nitrosados los hidrocarburos, incluso halogenados (exc. </t>
    </r>
    <r>
      <rPr>
        <b/>
        <sz val="8"/>
        <color rgb="FF002B54"/>
        <rFont val="Calibri"/>
        <family val="2"/>
        <scheme val="minor"/>
      </rPr>
      <t>...</t>
    </r>
  </si>
  <si>
    <t>"Butanoles (exc. butan-1-ol ""alcohol n-butílico"")"</t>
  </si>
  <si>
    <t>"Octanol ""alcohol octílico"" y sus isómeros"</t>
  </si>
  <si>
    <t>"Etilenglicol ""etanodiol"""</t>
  </si>
  <si>
    <t>Éteres monobutílicos del etilenglicol o del dietilenglicol</t>
  </si>
  <si>
    <t>"Butanona ""metiletilcetona"""</t>
  </si>
  <si>
    <r>
      <t xml:space="preserve">"Derivados halogenados, sulfonados, nitrados o nitrosados, de las cetonas o quinonas (excl. </t>
    </r>
    <r>
      <rPr>
        <b/>
        <sz val="8"/>
        <color rgb="FF002B54"/>
        <rFont val="Calibri"/>
        <family val="2"/>
        <scheme val="minor"/>
      </rPr>
      <t>...</t>
    </r>
  </si>
  <si>
    <t>Ácido acético</t>
  </si>
  <si>
    <t>Acetato de etilo</t>
  </si>
  <si>
    <t>Acetato de n-butilo</t>
  </si>
  <si>
    <t>Ácido metacrílico y sus sales</t>
  </si>
  <si>
    <r>
      <t xml:space="preserve">Ácidos monocarboxílicos aromáticos, sus anhídridos, halogenuros, peróxidos, peroxiácidos y </t>
    </r>
    <r>
      <rPr>
        <b/>
        <sz val="8"/>
        <color rgb="FF002B54"/>
        <rFont val="Calibri"/>
        <family val="2"/>
        <scheme val="minor"/>
      </rPr>
      <t>...</t>
    </r>
  </si>
  <si>
    <t>Ácido oxálico, sus sales y sus ésteres (exc. compuestos inorgánicos u orgánicos de mercurio)</t>
  </si>
  <si>
    <t>Ácido azelaico, ácido sebácico, sus sales y sus ésteres</t>
  </si>
  <si>
    <t>Ortoftalatos de dinonilo o didecilo</t>
  </si>
  <si>
    <t>Anhídrido ftálico</t>
  </si>
  <si>
    <t>"Tris ""2,3-dibromopropil"" fosfato"</t>
  </si>
  <si>
    <r>
      <t xml:space="preserve">"Ésteres tiofosfóricos ""fosforotioatos"" y sus sales; sus derivados halogenados, sulfonados, </t>
    </r>
    <r>
      <rPr>
        <b/>
        <sz val="8"/>
        <color rgb="FF002B54"/>
        <rFont val="Calibri"/>
        <family val="2"/>
        <scheme val="minor"/>
      </rPr>
      <t>...</t>
    </r>
  </si>
  <si>
    <t>fosfito de trimetilo</t>
  </si>
  <si>
    <r>
      <t xml:space="preserve">"Ésteres de ácidos inorgánicos de los no metales y sus sales; sus derivados halogenados, sulfonados, </t>
    </r>
    <r>
      <rPr>
        <b/>
        <sz val="8"/>
        <color rgb="FF002B54"/>
        <rFont val="Calibri"/>
        <family val="2"/>
        <scheme val="minor"/>
      </rPr>
      <t>...</t>
    </r>
  </si>
  <si>
    <t>Mono-, di- o trimetilamina y sus sales</t>
  </si>
  <si>
    <r>
      <t xml:space="preserve">Monoaminas acíclicas y sus derivados; sales de estos productos (exc. mono-, di- o trimetilamina, </t>
    </r>
    <r>
      <rPr>
        <b/>
        <sz val="8"/>
        <color rgb="FF002B54"/>
        <rFont val="Calibri"/>
        <family val="2"/>
        <scheme val="minor"/>
      </rPr>
      <t>...</t>
    </r>
  </si>
  <si>
    <t>Etilendiamina y sus sales</t>
  </si>
  <si>
    <t>Derivados de la anilina y sus sales</t>
  </si>
  <si>
    <t>Difenilamina y sus derivados; sales de estos productos</t>
  </si>
  <si>
    <t>Metildietanolamina y etildietanolamina</t>
  </si>
  <si>
    <r>
      <t xml:space="preserve">"Amino-alcoholes, sus éteres y sus ésteres; sales de estos productos (exc. con otras funciones </t>
    </r>
    <r>
      <rPr>
        <b/>
        <sz val="8"/>
        <color rgb="FF002B54"/>
        <rFont val="Calibri"/>
        <family val="2"/>
        <scheme val="minor"/>
      </rPr>
      <t>...</t>
    </r>
  </si>
  <si>
    <t>Ácidos aminonaftolsulfónicos y sus sales</t>
  </si>
  <si>
    <t>"Tilidina ""DCI"" y sus sales"</t>
  </si>
  <si>
    <r>
      <t xml:space="preserve">"Amidas acíclicas, incl. los carbamatos, y sus derivados; sales de estos productos (exc. meprobamato </t>
    </r>
    <r>
      <rPr>
        <b/>
        <sz val="8"/>
        <color rgb="FF002B54"/>
        <rFont val="Calibri"/>
        <family val="2"/>
        <scheme val="minor"/>
      </rPr>
      <t>...</t>
    </r>
  </si>
  <si>
    <t>Ureínas y sus derivados; sales de estos productos</t>
  </si>
  <si>
    <t>Sacarina y sus sales</t>
  </si>
  <si>
    <t>"1-Cianoguanidina ""diciandiamida"""</t>
  </si>
  <si>
    <r>
      <t xml:space="preserve">"Compuestos con función nitrilo (exc. acrilonitrilo; 1-cianoguanidina ""diciandiamida""; fenproporex </t>
    </r>
    <r>
      <rPr>
        <b/>
        <sz val="8"/>
        <color rgb="FF002B54"/>
        <rFont val="Calibri"/>
        <family val="2"/>
        <scheme val="minor"/>
      </rPr>
      <t>...</t>
    </r>
  </si>
  <si>
    <t>Mono-, di- o tetrasulfuros de tiourama</t>
  </si>
  <si>
    <t>2-(N,N-Diethylamino)ethanethiol</t>
  </si>
  <si>
    <t>Etilfosfonato de dietilo</t>
  </si>
  <si>
    <t>3,9-dimetil-2,4,8,10-tetraoxa-3,9-difosphaspiro [5.5] undecano 3,9-dióxido</t>
  </si>
  <si>
    <t>Dicloruro propilfosfónico</t>
  </si>
  <si>
    <t>"Triclorfón ""ISO"""</t>
  </si>
  <si>
    <t>Safrol</t>
  </si>
  <si>
    <t>"Carbofurano ""ISO"""</t>
  </si>
  <si>
    <r>
      <t xml:space="preserve">Compuestos heterocíclicos con heteroátomo [s] de nitrógeno únicamente, que contengan un ciclo </t>
    </r>
    <r>
      <rPr>
        <b/>
        <sz val="8"/>
        <color rgb="FF002B54"/>
        <rFont val="Calibri"/>
        <family val="2"/>
        <scheme val="minor"/>
      </rPr>
      <t>...</t>
    </r>
  </si>
  <si>
    <t>Vitaminas A y sus derivados utilizados principalmente como vitaminas</t>
  </si>
  <si>
    <t>Insulina y sus sales</t>
  </si>
  <si>
    <t>"Ergometrina ""DCI"" y sus sales"</t>
  </si>
  <si>
    <r>
      <t xml:space="preserve">"Alcaloides vegetales, naturales o reproducidos por síntesis, y sus sales, éteres, ésteres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</si>
  <si>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alcaloides no vegetales, naturales o reproducidos por síntesis, sus sales, éteres, ésteres </t>
    </r>
    <r>
      <rPr>
        <b/>
        <sz val="8"/>
        <color rgb="FF002B54"/>
        <rFont val="Calibri"/>
        <family val="2"/>
        <scheme val="minor"/>
      </rPr>
      <t>...</t>
    </r>
  </si>
  <si>
    <t>Extractos de glándulas o de otros órganos o de sus secreciones, para usos opoterápicos</t>
  </si>
  <si>
    <r>
      <t xml:space="preserve">Productos inmunológicos, nep (Código posiblemente vacío, las subpartidas precedentes parecen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</si>
  <si>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Medicamentos, que contengan efedrina o sus sales, sin hormonas ni esteroides utilizados como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</si>
  <si>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"Los medicamentos que contienen cualquiera de los siguientes principios activos: antimaláricos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</si>
  <si>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"Medicamentos, que contengan estreptomicinas o derivados de estos productos, incl. en compuestos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</si>
  <si>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"Medicamentos, que contengan alcaloides o sus derivados, sin hormonas ni esteroides utilizados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</si>
  <si>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Apósitos y demás artículos con una capa adhesiva, impregnados o recubiertos de sustancias farmacéuticas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</si>
  <si>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Preparaciones químicas anticonceptivas a base de hormonas, prostaglandinas, tromboxanos, leucotrienos,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</si>
  <si>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Preparaciones en forma de gel, concebidas para ser utilizadas en medicina o veterinaria como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</si>
  <si>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Productos orgánicos sintéticos de los tipos utilizados como luminóforos, incl. de constitución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</si>
  <si>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Hojas para el marcado a fuego de los tipos utilizados para encuadernaciones o guarniciones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</si>
  <si>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"Aceites esenciales de menta, desterpenados o no, incl. los ""concretos"" o ""absolutos"" (exc. </t>
    </r>
    <r>
      <rPr>
        <b/>
        <sz val="8"/>
        <color rgb="FF002B54"/>
        <rFont val="Calibri"/>
        <family val="2"/>
        <scheme val="minor"/>
      </rPr>
      <t>...</t>
    </r>
  </si>
  <si>
    <t>Creta</t>
  </si>
  <si>
    <r>
      <t xml:space="preserve">Mármol y travertinos, simplemente troceados, por aserrado o de otro modo, en bloques o en placas </t>
    </r>
    <r>
      <rPr>
        <b/>
        <sz val="8"/>
        <color rgb="FF002B54"/>
        <rFont val="Calibri"/>
        <family val="2"/>
        <scheme val="minor"/>
      </rPr>
      <t>...</t>
    </r>
  </si>
  <si>
    <t>Cemento Portland, blanco, incl. coloreado artificialmente</t>
  </si>
  <si>
    <r>
      <t xml:space="preserve">"Mica, en bruto o exfoliada en hojas o en laminillas irregulares; desperdicios de mica [""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</si>
  <si>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"Minerales de hierro y sus concentrados, aglomeradas (exc. piritas de hierro tostadas ""cenizas </t>
    </r>
    <r>
      <rPr>
        <b/>
        <sz val="8"/>
        <color rgb="FF002B54"/>
        <rFont val="Calibri"/>
        <family val="2"/>
        <scheme val="minor"/>
      </rPr>
      <t>...</t>
    </r>
  </si>
  <si>
    <t>Tabaco, total o parcialmente desvenado o desnervado pero sin elaborar de otro modo</t>
  </si>
  <si>
    <t>Desperdicios de tabaco</t>
  </si>
  <si>
    <r>
      <t xml:space="preserve">"Cigarros ""puros"", incl. despuntados, cigarritos ""puritos"" y cigarrillos, exclusivamente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</si>
  <si>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Tabaco para fumar, incluso con sucedáneos de tabaco en cualquier proporción (sin agua, tabaco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</si>
  <si>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Productos que contienen nicotina, destinados a la inhalación sin combustión (exc. que contienen </t>
    </r>
    <r>
      <rPr>
        <b/>
        <sz val="8"/>
        <color rgb="FF002B54"/>
        <rFont val="Calibri"/>
        <family val="2"/>
        <scheme val="minor"/>
      </rPr>
      <t>...</t>
    </r>
  </si>
  <si>
    <t>Vodka</t>
  </si>
  <si>
    <r>
      <t xml:space="preserve">Tortas y demás residuos sólidos de la extracción del aceite de soja (soya), incluso molidos </t>
    </r>
    <r>
      <rPr>
        <b/>
        <sz val="8"/>
        <color rgb="FF002B54"/>
        <rFont val="Calibri"/>
        <family val="2"/>
        <scheme val="minor"/>
      </rPr>
      <t>...</t>
    </r>
  </si>
  <si>
    <t>Minerales de titanio y sus concentrados</t>
  </si>
  <si>
    <t>Minerales de circonio y sus concentrados</t>
  </si>
  <si>
    <r>
      <t xml:space="preserve">Lodos de gasolina con plomo y lodos de compuestos antidetonantes con plomo, procedentes de </t>
    </r>
    <r>
      <rPr>
        <b/>
        <sz val="8"/>
        <color rgb="FF002B54"/>
        <rFont val="Calibri"/>
        <family val="2"/>
        <scheme val="minor"/>
      </rPr>
      <t>...</t>
    </r>
  </si>
  <si>
    <t>"Cianuro de hidrógeno ""ácido cianhídrico"""</t>
  </si>
  <si>
    <r>
      <t xml:space="preserve">Compuestos oxigenados inorgánicos de los elementos no metálicos (exc. pentaóxido de difósforo, </t>
    </r>
    <r>
      <rPr>
        <b/>
        <sz val="8"/>
        <color rgb="FF002B54"/>
        <rFont val="Calibri"/>
        <family val="2"/>
        <scheme val="minor"/>
      </rPr>
      <t>...</t>
    </r>
  </si>
  <si>
    <t>"Hidróxido de potasio ""potasa cáustica"""</t>
  </si>
  <si>
    <r>
      <t xml:space="preserve">Hidrocarburos gaseosos, licuados, n.c.o.p. (exc. gas natural, propano, butanos, etileno, propileno, </t>
    </r>
    <r>
      <rPr>
        <b/>
        <sz val="8"/>
        <color rgb="FF002B54"/>
        <rFont val="Calibri"/>
        <family val="2"/>
        <scheme val="minor"/>
      </rPr>
      <t>...</t>
    </r>
  </si>
  <si>
    <t>Gas natural, en estado gaseoso</t>
  </si>
  <si>
    <t>Betún de petróleo</t>
  </si>
  <si>
    <t>Residuos de los aceites de petróleo o de mineral bituminoso (exc. coque y betún de petróleo)</t>
  </si>
  <si>
    <t>Yodo</t>
  </si>
  <si>
    <t>Argón</t>
  </si>
  <si>
    <t>Selenio</t>
  </si>
  <si>
    <r>
      <t xml:space="preserve">Jugo de toronja o de pomelo, sin fermentar y sin adición de alcohol, incl. con adición de azúcar </t>
    </r>
    <r>
      <rPr>
        <b/>
        <sz val="8"/>
        <color rgb="FF002B54"/>
        <rFont val="Calibri"/>
        <family val="2"/>
        <scheme val="minor"/>
      </rPr>
      <t>...</t>
    </r>
  </si>
  <si>
    <t>Harina de mostaza y mostaza preparada</t>
  </si>
  <si>
    <r>
      <t xml:space="preserve">Preparaciones para la alimentación infantil o para usos dietéticos que consistan en una mezcla </t>
    </r>
    <r>
      <rPr>
        <b/>
        <sz val="8"/>
        <color rgb="FF002B54"/>
        <rFont val="Calibri"/>
        <family val="2"/>
        <scheme val="minor"/>
      </rPr>
      <t>...</t>
    </r>
  </si>
  <si>
    <t>cerveza sin alcohol &lt;= 0,5% alc vol</t>
  </si>
  <si>
    <r>
      <t xml:space="preserve">Vino de uvas frescas, incl. encabezado, y mosto de uva en el que la fermentación se ha impedido </t>
    </r>
    <r>
      <rPr>
        <b/>
        <sz val="8"/>
        <color rgb="FF002B54"/>
        <rFont val="Calibri"/>
        <family val="2"/>
        <scheme val="minor"/>
      </rPr>
      <t>...</t>
    </r>
  </si>
  <si>
    <t>"Cacahuetes ""cacahuetes, maníes"", preparados o conservados (exc. confitados con azúcar)"</t>
  </si>
  <si>
    <r>
      <t xml:space="preserve">Cerezas, preparadas o conservadas, incl. con adición de azúcar u otro edulcorante o alcohol </t>
    </r>
    <r>
      <rPr>
        <b/>
        <sz val="8"/>
        <color rgb="FF002B54"/>
        <rFont val="Calibri"/>
        <family val="2"/>
        <scheme val="minor"/>
      </rPr>
      <t>...</t>
    </r>
  </si>
  <si>
    <t>"Conos de lúpulo, frescos o secos (exc. quebrantados, molidos o en ""pellets"")"</t>
  </si>
  <si>
    <t>Mucílagos y espesativos de algarroba o de su semilla o de las semillas de guar, incl. modificados</t>
  </si>
  <si>
    <r>
      <t xml:space="preserve">"Caña, junco, mimbre, rafia, paja de cereales, limpiada, blanqueada o teñida, corteza de tilo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</si>
  <si>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"Aceite de oliva virgen ""UE cat. 2"" obtenido del fruto del olivo únicamente por medios mecánicos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</si>
  <si>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"Los demás aceites y sus fracciones ""Cat. UE 7 y 8"", obtenidos únicamente a partir de aceitunas,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</si>
  <si>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"Aceite de coco ""copra"" y sus fracciones, incl. refinados, sin modificar químicamente (exc. </t>
    </r>
    <r>
      <rPr>
        <b/>
        <sz val="8"/>
        <color rgb="FF002B54"/>
        <rFont val="Calibri"/>
        <family val="2"/>
        <scheme val="minor"/>
      </rPr>
      <t>...</t>
    </r>
  </si>
  <si>
    <t>Degrás; residuos procedentes del tratamiento de grasas o ceras, animales o vegetales</t>
  </si>
  <si>
    <r>
      <t xml:space="preserve">Preparaciones y conservas de sardina, de sardinela y de espadín, enteros o en trozos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</si>
  <si>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"Semillas forrajeras, para siembra (exc. de cereales, de remolacha azucarera, de alfalfa, de </t>
    </r>
    <r>
      <rPr>
        <b/>
        <sz val="8"/>
        <color rgb="FF002B54"/>
        <rFont val="Calibri"/>
        <family val="2"/>
        <scheme val="minor"/>
      </rPr>
      <t>...</t>
    </r>
  </si>
  <si>
    <t>Los erizos de mar, preparados o conservados (sin ahumar)</t>
  </si>
  <si>
    <r>
      <t xml:space="preserve">Azúcar de caña, en estado sólido, sin adición de aromatizante ni colorante, que se obtiene </t>
    </r>
    <r>
      <rPr>
        <b/>
        <sz val="8"/>
        <color rgb="FF002B54"/>
        <rFont val="Calibri"/>
        <family val="2"/>
        <scheme val="minor"/>
      </rPr>
      <t>...</t>
    </r>
  </si>
  <si>
    <t>Fructosa químicamente pura</t>
  </si>
  <si>
    <t>"Patatas ""papas"" para siembra"</t>
  </si>
  <si>
    <r>
      <t xml:space="preserve">Remolachas para ensalada, salsifíes, apionabos, rábanos y raíces comestibles, frescas o refrigeradas </t>
    </r>
    <r>
      <rPr>
        <b/>
        <sz val="8"/>
        <color rgb="FF002B54"/>
        <rFont val="Calibri"/>
        <family val="2"/>
        <scheme val="minor"/>
      </rPr>
      <t>...</t>
    </r>
  </si>
  <si>
    <t>Hígados, huevas o lechas comestibles, frescos o refrigerados</t>
  </si>
  <si>
    <r>
      <t xml:space="preserve">"Bulbos, cebollas, tubérculos, raíces y bulbos tuberosos, turiones, rizomas, en vegetación </t>
    </r>
    <r>
      <rPr>
        <b/>
        <sz val="8"/>
        <color rgb="FF002B54"/>
        <rFont val="Calibri"/>
        <family val="2"/>
        <scheme val="minor"/>
      </rPr>
      <t>...</t>
    </r>
  </si>
  <si>
    <t>Trufas, frescas o refrigeradas</t>
  </si>
  <si>
    <t>"Alcachofas ""alcauciles"", frescas o refrigeradas"</t>
  </si>
  <si>
    <t>Melones, frescos (exc. sandías)</t>
  </si>
  <si>
    <t>Las peras frescas</t>
  </si>
  <si>
    <t>Caquis frescos</t>
  </si>
  <si>
    <t>Grano de sorgo, para siembra</t>
  </si>
  <si>
    <t>Almidón de trigo</t>
  </si>
  <si>
    <r>
      <t xml:space="preserve">"Semillas de nabo ""nabina"" o de colza con alto contenido de ácido erúcico ""de las que se </t>
    </r>
    <r>
      <rPr>
        <b/>
        <sz val="8"/>
        <color rgb="FF002B54"/>
        <rFont val="Calibri"/>
        <family val="2"/>
        <scheme val="minor"/>
      </rPr>
      <t>...</t>
    </r>
  </si>
  <si>
    <t>Semilla de algodón, para siembra</t>
  </si>
  <si>
    <t>"Arroz con cáscara o arroz ""paddy"""</t>
  </si>
  <si>
    <t>Nueces frescas o secas, sin cáscara</t>
  </si>
  <si>
    <t>Nueces de macadamia, frescas o secas, con cáscara</t>
  </si>
  <si>
    <t>Té verde sin fermentar, presentado en envases inmediatos con un contenido &lt;= 3 kg</t>
  </si>
  <si>
    <r>
      <t xml:space="preserve">Filetes de pescado, secos, salados o en salmuera, sin ahumar (exc. ??tilapia, bagre, carpa,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</si>
  <si>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"Fumado tilapia ""Oreochromis spp."", El bagre ""Pangasius spp. Silurus spp. Clarias spp. Ictalurus </t>
    </r>
    <r>
      <rPr>
        <b/>
        <sz val="8"/>
        <color rgb="FF002B54"/>
        <rFont val="Calibri"/>
        <family val="2"/>
        <scheme val="minor"/>
      </rPr>
      <t>...</t>
    </r>
  </si>
  <si>
    <t>Arenque (Clupea harengus, Clupea pallasii), sólo salados o en salmuera (exc. ??filetes y vísceras)</t>
  </si>
  <si>
    <t>"Anchoas ""Engraulis spp."", (Exc. filetes y vísceras) salados o en salmuera"</t>
  </si>
  <si>
    <r>
      <t xml:space="preserve">Crustáceos, incluso ahumados, aptos para el consumo humano, incluso pelados, vivos, frescos,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</si>
  <si>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Invertebrados acuáticos vivos, frescos, refrigerados, congelados, secos, salados o en salmuera,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</si>
  <si>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Pieles y demás partes de ave, con sus plumas o plumón, plumas y partes de plumas, incl. recortadas, </t>
    </r>
    <r>
      <rPr>
        <b/>
        <sz val="8"/>
        <color rgb="FF002B54"/>
        <rFont val="Calibri"/>
        <family val="2"/>
        <scheme val="minor"/>
      </rPr>
      <t>...</t>
    </r>
  </si>
  <si>
    <t>Atún del Atlántico y el atún rojo del Pacífico (Thunnus thynnus, Thunnus orientalis) congelados</t>
  </si>
  <si>
    <r>
      <t xml:space="preserve">"Atún congelado del género ""Thunnus"" (sin Thunnus alalunga, Thunnus albacares, Thunnus obesus, </t>
    </r>
    <r>
      <rPr>
        <b/>
        <sz val="8"/>
        <color rgb="FF002B54"/>
        <rFont val="Calibri"/>
        <family val="2"/>
        <scheme val="minor"/>
      </rPr>
      <t>...</t>
    </r>
  </si>
  <si>
    <t>"Eglefinos ""Melanogrammus aeglefinus"", congelados"</t>
  </si>
  <si>
    <r>
      <t xml:space="preserve">Aletas de pescado congeladas, cabezas, colas, peces y demás despojos de pescado comestibles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</si>
  <si>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"Filetes frescos o refrigerados de bagre ""Pangasius spp. Silurus spp. Clarias spp. Ictalurus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</si>
  <si>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Pescado fresco o refrigerado de carne, incluso picada (sin todos los filetes, tilapia, bagre, </t>
    </r>
    <r>
      <rPr>
        <b/>
        <sz val="8"/>
        <color rgb="FF002B54"/>
        <rFont val="Calibri"/>
        <family val="2"/>
        <scheme val="minor"/>
      </rPr>
      <t>...</t>
    </r>
  </si>
  <si>
    <t>De raza pura para la cría de búfalos</t>
  </si>
  <si>
    <t>Gansos de las especies domésticas, vivos, de peso &lt;= 185 g</t>
  </si>
  <si>
    <t>Gallos y gallinas de las especies domésticas, vivos, de peso &gt; 185 g</t>
  </si>
  <si>
    <t>Conejos y liebres vivas</t>
  </si>
  <si>
    <t>Abejas vivas</t>
  </si>
  <si>
    <t>Carne deshuesada, de bovinos, congelada</t>
  </si>
  <si>
    <r>
      <t xml:space="preserve">Carne de porcinos, fresca o refrigerada (exc. canales o medias canales, así como piernas, paletas </t>
    </r>
    <r>
      <rPr>
        <b/>
        <sz val="8"/>
        <color rgb="FF002B54"/>
        <rFont val="Calibri"/>
        <family val="2"/>
        <scheme val="minor"/>
      </rPr>
      <t>...</t>
    </r>
  </si>
  <si>
    <t>Canales o medias canales de porcinos, congeladas</t>
  </si>
  <si>
    <t>Canales o medias canales de ovinos, frescas o refrigeradas (exc. corderos)</t>
  </si>
  <si>
    <t>Carnes deshuesadas de ovinos, frescas o refrigeradas</t>
  </si>
  <si>
    <t>Lenguas de bovinos, comestibles, congeladas</t>
  </si>
  <si>
    <t>Despojos de bovinos, comestibles, congelados (exc. lenguas e hígados)</t>
  </si>
  <si>
    <r>
      <t xml:space="preserve">Despojos de animales de las especies ovina, caprina, caballar, asnal o mular, comestibles, </t>
    </r>
    <r>
      <rPr>
        <b/>
        <sz val="8"/>
        <color rgb="FF002B54"/>
        <rFont val="Calibri"/>
        <family val="2"/>
        <scheme val="minor"/>
      </rPr>
      <t>...</t>
    </r>
  </si>
  <si>
    <t>"Pavos ""gallipavos"" de especies domésticas, sin trocear, congelados"</t>
  </si>
  <si>
    <t>"Trozos y despojos comestibles, de pavo ""gallipavo"", de especies domésticas, congelados"</t>
  </si>
  <si>
    <t>Carne fresca o refrigerada y despojos comestibles de patos domésticos (exc. ??hígados grasos)</t>
  </si>
  <si>
    <r>
      <t xml:space="preserve">Jamones, paletas, y sus trozos, sin deshuesar, de porcinos, salados o en salmuera, secos 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</si>
  <si>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"Salmón del Pacífico fresco o refrigerado del Atlantico ""Salmo salar"" y salmones del Danubio </t>
    </r>
    <r>
      <rPr>
        <b/>
        <sz val="8"/>
        <color rgb="FF002B54"/>
        <rFont val="Calibri"/>
        <family val="2"/>
        <scheme val="minor"/>
      </rPr>
      <t>...</t>
    </r>
  </si>
  <si>
    <t>"Lenguados ""Solea spp."", frescos o refrigerados"</t>
  </si>
  <si>
    <r>
      <t xml:space="preserve">"Caballas ""Scomber scombrus"", ""Scomber australasicus"", ""Scomber japonicus"", frescos o </t>
    </r>
    <r>
      <rPr>
        <b/>
        <sz val="8"/>
        <color rgb="FF002B54"/>
        <rFont val="Calibri"/>
        <family val="2"/>
        <scheme val="minor"/>
      </rPr>
      <t>...</t>
    </r>
  </si>
  <si>
    <t>"Cobia fresca o refrigerada ""Rachycentron canadum"""</t>
  </si>
  <si>
    <t>"Tilapia fresca o refrigerada ""Oreochromis spp."""</t>
  </si>
  <si>
    <r>
      <t xml:space="preserve">Partes y accesorios de cuentarrevoluciones, contadores de producción, taxímetros, cuentakilómetros, </t>
    </r>
    <r>
      <rPr>
        <b/>
        <sz val="8"/>
        <color rgb="FF002B54"/>
        <rFont val="Calibri"/>
        <family val="2"/>
        <scheme val="minor"/>
      </rPr>
      <t>...</t>
    </r>
  </si>
  <si>
    <t>Osciloscopios y oscilógrafos</t>
  </si>
  <si>
    <r>
      <t xml:space="preserve">"Relojes de pulsera, eléctricos, incl. con contador de tiempo incorporado, de metal precioso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</si>
  <si>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Relojes de tablero de instrumentos y relojes similares, para automóviles, aeronaves, barcos </t>
    </r>
    <r>
      <rPr>
        <b/>
        <sz val="8"/>
        <color rgb="FF002B54"/>
        <rFont val="Calibri"/>
        <family val="2"/>
        <scheme val="minor"/>
      </rPr>
      <t>...</t>
    </r>
  </si>
  <si>
    <t>Relojes de pared (exc. eléctricos)</t>
  </si>
  <si>
    <r>
      <t xml:space="preserve">Pequeños mecanismos de relojería completos y montados, eléctricos, con indicador mecánico solamente </t>
    </r>
    <r>
      <rPr>
        <b/>
        <sz val="8"/>
        <color rgb="FF002B54"/>
        <rFont val="Calibri"/>
        <family val="2"/>
        <scheme val="minor"/>
      </rPr>
      <t>...</t>
    </r>
  </si>
  <si>
    <t>"Mecanismos en blanco ""ébauches"""</t>
  </si>
  <si>
    <r>
      <t xml:space="preserve">"Mecanismos de relojería completos, sin montar o parcialmente montados ""chablons"", así como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</si>
  <si>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"Cajas de relojes de pulsera, bolsillo y relojes simil., de metal precioso o chapado de metal </t>
    </r>
    <r>
      <rPr>
        <b/>
        <sz val="8"/>
        <color rgb="FF002B54"/>
        <rFont val="Calibri"/>
        <family val="2"/>
        <scheme val="minor"/>
      </rPr>
      <t>...</t>
    </r>
  </si>
  <si>
    <t>Partes de cajas de relojes de pulsera, bolsillo y relojes simil., n.c.o.p.</t>
  </si>
  <si>
    <r>
      <t xml:space="preserve">Acordeones e instrumentos musicales sin teclado en los que el sonido se produzca o tenga que </t>
    </r>
    <r>
      <rPr>
        <b/>
        <sz val="8"/>
        <color rgb="FF002B54"/>
        <rFont val="Calibri"/>
        <family val="2"/>
        <scheme val="minor"/>
      </rPr>
      <t>...</t>
    </r>
  </si>
  <si>
    <t>Lanzacohetes; lanzallamas; lanzagranadas; lanzatorpedos y lanzadores similares</t>
  </si>
  <si>
    <r>
      <t xml:space="preserve">Armas largas de caza o tiro deportivo con uno o más cañones de ánima rayada (exc. fusiles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</si>
  <si>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y accesorios de armas y artefactos similares de las partidas 9303 y 9304, n.c.o.p. (exc. </t>
    </r>
    <r>
      <rPr>
        <b/>
        <sz val="8"/>
        <color rgb="FF002B54"/>
        <rFont val="Calibri"/>
        <family val="2"/>
        <scheme val="minor"/>
      </rPr>
      <t>...</t>
    </r>
  </si>
  <si>
    <t>Cartuchos para escopetas y rifles con cañón de ánima lisa</t>
  </si>
  <si>
    <r>
      <t xml:space="preserve">Asientos giratorios de altura ajustable (exc. como asientos giratorios para medicina, cirugía </t>
    </r>
    <r>
      <rPr>
        <b/>
        <sz val="8"/>
        <color rgb="FF002B54"/>
        <rFont val="Calibri"/>
        <family val="2"/>
        <scheme val="minor"/>
      </rPr>
      <t>...</t>
    </r>
  </si>
  <si>
    <t>"Asientos de roten o materiales similares (exc. de bambú o ""ratán"")"</t>
  </si>
  <si>
    <r>
      <t xml:space="preserve">Mesas de operaciones, mesas de reconocimiento y demás mobiliario especial para medicina, cirugía, </t>
    </r>
    <r>
      <rPr>
        <b/>
        <sz val="8"/>
        <color rgb="FF002B54"/>
        <rFont val="Calibri"/>
        <family val="2"/>
        <scheme val="minor"/>
      </rPr>
      <t>...</t>
    </r>
  </si>
  <si>
    <t>Contadores de gas, incl. los de calibración</t>
  </si>
  <si>
    <t>Muebles de bambú (exc. Asientos y mobiliario para medicina, cirugía, odontología o veterinaria)</t>
  </si>
  <si>
    <r>
      <t xml:space="preserve">"Lámparas y tubos de incandescencia, de potencia &lt;= 200 W, para una tensión &gt; 100 V (exc. lámparas </t>
    </r>
    <r>
      <rPr>
        <b/>
        <sz val="8"/>
        <color rgb="FF002B54"/>
        <rFont val="Calibri"/>
        <family val="2"/>
        <scheme val="minor"/>
      </rPr>
      <t>...</t>
    </r>
  </si>
  <si>
    <t>"Módulos de fuente de luz de diodos emisores de luz ""LED"""</t>
  </si>
  <si>
    <t>Tubos catódicos para aparatos receptores de televisión, incl. para videomonitores, en colores</t>
  </si>
  <si>
    <t>Tiristores, diacs y triacs (exc. dispositivos de material semiconductor fotosensibles)</t>
  </si>
  <si>
    <t>Dispositivos semiconductores fotosensibles (exc. células y generadores fotovoltaicos)</t>
  </si>
  <si>
    <t>Cristales piezoeléctricos montados</t>
  </si>
  <si>
    <t>Esquís para nieve</t>
  </si>
  <si>
    <t>Patines para hielo y patines de ruedas, incl. el calzado con patines fijos</t>
  </si>
  <si>
    <t>Cañas de pescar</t>
  </si>
  <si>
    <t>Carruseles, columpios y rotondas</t>
  </si>
  <si>
    <r>
      <t xml:space="preserve">Toboganes de parques de atracciones (exc. montañas rusas, carruseles, columpios, rotondas,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</si>
  <si>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Pinceles y brochas para pintura artística, pinceles para escribir y pinceles simil. para aplicación </t>
    </r>
    <r>
      <rPr>
        <b/>
        <sz val="8"/>
        <color rgb="FF002B54"/>
        <rFont val="Calibri"/>
        <family val="2"/>
        <scheme val="minor"/>
      </rPr>
      <t>...</t>
    </r>
  </si>
  <si>
    <t>Cepillos que constituyan partes de máquinas, aparatos o vehículos</t>
  </si>
  <si>
    <t>Botones de plástico, sin forrar con materia textil (exc. botones de presión y gemelos)</t>
  </si>
  <si>
    <t>"Pasteles, carboncillos, tizas para escribir o dibujar y jaboncillos ""tizas"" de sastre"</t>
  </si>
  <si>
    <t>Partes de encendedores y mecheros, n.c.o.p.</t>
  </si>
  <si>
    <t>Electrificadores de cercas</t>
  </si>
  <si>
    <t>Aisladores eléctricos de vidrio (exc. piezas aislantes)</t>
  </si>
  <si>
    <t>Piezas aislantes para electricidad, de cerámica</t>
  </si>
  <si>
    <r>
      <t xml:space="preserve">Desperdicios y desechos de pilas, baterías de pilas o acumuladores, eléctricos; pilas, baterías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</si>
  <si>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Pilas primarias, baterías primarias y acumuladores eléctricos (exc. plomo-ácido): bienes gastados </t>
    </r>
    <r>
      <rPr>
        <b/>
        <sz val="8"/>
        <color rgb="FF002B54"/>
        <rFont val="Calibri"/>
        <family val="2"/>
        <scheme val="minor"/>
      </rPr>
      <t>...</t>
    </r>
  </si>
  <si>
    <t>Locomotoras y locotractores, de fuente externa de electricidad</t>
  </si>
  <si>
    <r>
      <t xml:space="preserve">Vehículos para mantenimiento o servicio de vías férreas o similares, incluso autopropulsados </t>
    </r>
    <r>
      <rPr>
        <b/>
        <sz val="8"/>
        <color rgb="FF002B54"/>
        <rFont val="Calibri"/>
        <family val="2"/>
        <scheme val="minor"/>
      </rPr>
      <t>...</t>
    </r>
  </si>
  <si>
    <t>"Vagones cisterna y simil., sobre carriles ""rieles"""</t>
  </si>
  <si>
    <r>
      <t xml:space="preserve">"Vagones para transporte de mercancías, sobre carriles ""rieles"", cubiertos y cerrados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</si>
  <si>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"Ejes montados y sin montar, ruedas y sus partes, así como partes de bojes y ""bissels"" propios </t>
    </r>
    <r>
      <rPr>
        <b/>
        <sz val="8"/>
        <color rgb="FF002B54"/>
        <rFont val="Calibri"/>
        <family val="2"/>
        <scheme val="minor"/>
      </rPr>
      <t>...</t>
    </r>
  </si>
  <si>
    <t>Tractores de carretera para semirremolques, con solo motor eléctrico de propulsión</t>
  </si>
  <si>
    <r>
      <t xml:space="preserve">"Tractores o ""automotores"" (exc. carretillas tractor de la partida 8709, así como motocultores,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</si>
  <si>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"Vehículos de motor para el transporte de mercancías, con motor de pistón de combustión interna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</si>
  <si>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Instrumentos y aparatos para navegación (exc. los destinados para la navegación aérea o espacial, </t>
    </r>
    <r>
      <rPr>
        <b/>
        <sz val="8"/>
        <color rgb="FF002B54"/>
        <rFont val="Calibri"/>
        <family val="2"/>
        <scheme val="minor"/>
      </rPr>
      <t>...</t>
    </r>
  </si>
  <si>
    <t>Niveles</t>
  </si>
  <si>
    <r>
      <t xml:space="preserve">Mesas y máquinas de dibujar, incl. automáticas (exc. unidades para máquinas automáticas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</si>
  <si>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Agujas, catéteres, cánulas e instrumentos simil., para uso médico (exc. jeringas, agujas tubulares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</si>
  <si>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Aparatos de tomografía regidos por una máquina automática de tratamiento o procesamiento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</si>
  <si>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Aparatos de rayos X y aparatos para uso médico, quirúrgico o veterinario (exc. para uso odontológico,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</si>
  <si>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Aparatos basados ​​en el uso de radiaciones alfa, beta, gamma u otras radiaciones ionizantes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</si>
  <si>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de carretillas automóvil sin dispositivo de elevación de los tipos utilizados para transporte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</si>
  <si>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Motocicletas, incl. ciclomotores, y velocípedos equipados con motor auxiliar, con motor eléctrico </t>
    </r>
    <r>
      <rPr>
        <b/>
        <sz val="8"/>
        <color rgb="FF002B54"/>
        <rFont val="Calibri"/>
        <family val="2"/>
        <scheme val="minor"/>
      </rPr>
      <t>...</t>
    </r>
  </si>
  <si>
    <t>Bicicletas y demás velocípedos, incluidos los triciclos de reparto, sin motor</t>
  </si>
  <si>
    <r>
      <t xml:space="preserve">Sillones de ruedas y demás vehículos para inválidos, con motor u otro mecanismo de propulsión </t>
    </r>
    <r>
      <rPr>
        <b/>
        <sz val="8"/>
        <color rgb="FF002B54"/>
        <rFont val="Calibri"/>
        <family val="2"/>
        <scheme val="minor"/>
      </rPr>
      <t>...</t>
    </r>
  </si>
  <si>
    <t>Llantas y radios, para los ciclos (excepto para motocicletas)</t>
  </si>
  <si>
    <r>
      <t xml:space="preserve">Frenos, incl. montaña frenado los bujes con freno, y sus partes, para los ciclos (excepto para </t>
    </r>
    <r>
      <rPr>
        <b/>
        <sz val="8"/>
        <color rgb="FF002B54"/>
        <rFont val="Calibri"/>
        <family val="2"/>
        <scheme val="minor"/>
      </rPr>
      <t>...</t>
    </r>
  </si>
  <si>
    <t>Remolques y semirremolques, autocargadores o autodescargadores, para uso agrícola</t>
  </si>
  <si>
    <t>"Cisternas no desplazables sobre carriles ""rieles"""</t>
  </si>
  <si>
    <t>Aeronave no tripulada, diseñada para el transporte de pasajeros</t>
  </si>
  <si>
    <r>
      <t xml:space="preserve">Aeronaves no tripuladas, solo para vuelos controlados a distancia, con un peso máximo de despegue&gt;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</si>
  <si>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Aeronaves no tripuladas, solo para vuelo teledirigido, con un peso máximo de despegue&gt; 25 kg </t>
    </r>
    <r>
      <rPr>
        <b/>
        <sz val="8"/>
        <color rgb="FF002B54"/>
        <rFont val="Calibri"/>
        <family val="2"/>
        <scheme val="minor"/>
      </rPr>
      <t>...</t>
    </r>
  </si>
  <si>
    <t>Veleros, con o sin motor auxiliar, de eslora &lt;= 7,5 m (exc. ​​hinchables)</t>
  </si>
  <si>
    <r>
      <t xml:space="preserve">Barcos, incl. los barcos de salvamento (exc. navíos de guerra, barcas de remos y otros barcos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</si>
  <si>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Fibras ópticas, haces y cables de fibras ópticas (exc. cables constituidos por fibras ópticas </t>
    </r>
    <r>
      <rPr>
        <b/>
        <sz val="8"/>
        <color rgb="FF002B54"/>
        <rFont val="Calibri"/>
        <family val="2"/>
        <scheme val="minor"/>
      </rPr>
      <t>...</t>
    </r>
  </si>
  <si>
    <t>Hojas y placas de materia polarizante</t>
  </si>
  <si>
    <r>
      <t xml:space="preserve">"Lentes, prismas, espejos y demás elementos de óptica de cualquier materia, sin montar (exc. </t>
    </r>
    <r>
      <rPr>
        <b/>
        <sz val="8"/>
        <color rgb="FF002B54"/>
        <rFont val="Calibri"/>
        <family val="2"/>
        <scheme val="minor"/>
      </rPr>
      <t>...</t>
    </r>
  </si>
  <si>
    <t>Cámaras cinematográficas</t>
  </si>
  <si>
    <t>Construcciones prefabricadas de madera, si es o no completa o ya montado</t>
  </si>
  <si>
    <t>Unidades de construcción modulares, de acero</t>
  </si>
  <si>
    <t>Antigüedades de más de cien años</t>
  </si>
  <si>
    <r>
      <t xml:space="preserve">"Cueros y pieles, en bruto, sin lana ""depilados"", de ovino, frescos o salados, secos, encalados,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</si>
  <si>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"Cueros y pieles, de bovino, incl. el búfalo, o de equino, en estado húmedo incl. el ""wet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</si>
  <si>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"Plena flor dividida, de porcino, en estado seco ""crust"", depilados o no (exc. preparados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</si>
  <si>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Cueros preparados después del curtido o del secado y cueros y pieles apergaminados, divididos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</si>
  <si>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Plena flor sin dividir, de trozos, hojas o placas de cueros preparados después del curtido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</si>
  <si>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"Caucho cloropreno ""clorobutadieno"" ""CR"", en formas primarias o en placas, hojas o tiras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</si>
  <si>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"Caucho acrilonitrilo-butadieno ""NBR"", en formas primarias o en placas, hojas o tiras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</si>
  <si>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"Caucho etileno-propileno-dieno no conjugado ""EPDM"", en formas primarias o en placas, hojas </t>
    </r>
    <r>
      <rPr>
        <b/>
        <sz val="8"/>
        <color rgb="FF002B54"/>
        <rFont val="Calibri"/>
        <family val="2"/>
        <scheme val="minor"/>
      </rPr>
      <t>...</t>
    </r>
  </si>
  <si>
    <t>Varillas y perfiles, de caucho no celular, vulcanizado y sin endurecer</t>
  </si>
  <si>
    <r>
      <t xml:space="preserve">Placas, láminas, hojas y tiras, de celulosa regenerada no celular y sin esfuerzo, estratificación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</si>
  <si>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Agentes de superficie orgánicos, incluso acondicionados para la venta al por menor (exc. ​​Jabón,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</si>
  <si>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"Complementos ""accesorios"" de vestir, de cuero natural cuero regenerado (exc. guantes, mitones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</si>
  <si>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"Pieles enteras, trozos y recortes de pieles, curtidos o adobados, ensamblados, sin otras materias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</si>
  <si>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Madera en bruto, tratada con pintura, creosota u otros agentes de conservación (exc. madera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</si>
  <si>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Madera en bruto, tratada con pintura, tinte, creosota u otros agentes de conservación, no coníferas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</si>
  <si>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"Pino ""Pinus spp."" en bruto, cuya sección transversal mínima sea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</si>
  <si>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"Abeto ""Abies spp."" y abeto ""Picea spp."" en bruto, cuya sección transversal mínima sea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</si>
  <si>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"Abedul ""Betula spp."" en bruto, de las cuales ninguna dimensión de la sección transversal </t>
    </r>
    <r>
      <rPr>
        <b/>
        <sz val="8"/>
        <color rgb="FF002B54"/>
        <rFont val="Calibri"/>
        <family val="2"/>
        <scheme val="minor"/>
      </rPr>
      <t>...</t>
    </r>
  </si>
  <si>
    <t>"Traviesas de ferrocarril o tranvía ""traviesas"" de madera, impregnada, no coníferas"</t>
  </si>
  <si>
    <r>
      <t xml:space="preserve">"S-P-F (abeto ""Picea spp."", Pino ""Pinus spp."" Y abeto ""Abies spp."") Aserrados o desbastados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</si>
  <si>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"Mahogany ""Swietenia spp"", aserrada o desbastada longitudinalmente, cortada o desenrollada,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</si>
  <si>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"White lauan, ""white meranti"", ""white seraya"", ""yellow meranti"" y ""alan"", aserradas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</si>
  <si>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Iroko, aserrada o desbastada longitudinalmente, cortada o desenrollada, de espesor &gt; 6 mm,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</si>
  <si>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"Madera de haya ""Fagus spp."", aserrada o desbastada longitudinalmente, cortada o desenrollada,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</si>
  <si>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"Maderas tropicales citadas en la nota de subpartida 1 del capítulo 44, en hojas para chapado,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</si>
  <si>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Bambú y frisos para parqués, sin ensamblar, perfilados longitudinalmente con lengüetas, ranuras,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</si>
  <si>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Tableros de escamillas y tableros simil., de bagazo, de bambú, de paja de cereales u otras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</si>
  <si>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"Madera contrachapada laminada ""LVL"", con al menos una capa exterior de madera distinta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</si>
  <si>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Tableros de madera maciza, tableros laminados y listones, con al menos una capa exterior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</si>
  <si>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Tablero de bloques, tableros laminados y listones, con ambas capas exteriores de madera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</si>
  <si>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Madera laminada con al menos una capa exterior de madera tropical (exc. bambú, madera contrachapada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</si>
  <si>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"Bidés, inodoros, cisternas ""depósitos de agua"" y artículos sanitarios o higiénicos similares,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</si>
  <si>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Cueros preparados después del curtido o del secado y cueros y pieles apergaminados, de reptil,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</si>
  <si>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Cueros preparados después del curtido o del secado y cueros y pieles apergaminados, de antílopes,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</si>
  <si>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"Trenzas y productos similares, de ""ratán"" trazado, sin ensamblar, material trenzado, y productos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</si>
  <si>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"Corcho natural en bruto o simplemente preparado ""simplemente limpiado en la superficie 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</si>
  <si>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Bloques, placas, hojas y tiras; baldosas y revestimientos simil. de pared, cualquier forma; </t>
    </r>
    <r>
      <rPr>
        <b/>
        <sz val="8"/>
        <color rgb="FF002B54"/>
        <rFont val="Calibri"/>
        <family val="2"/>
        <scheme val="minor"/>
      </rPr>
      <t>...</t>
    </r>
  </si>
  <si>
    <t>"Madera laminada encolada ""glulam"""</t>
  </si>
  <si>
    <t>Vigas de madera</t>
  </si>
  <si>
    <r>
      <t xml:space="preserve">Ebanistería y carpintería para la construcción, de bambú (exc. ventanas, ventanas francesas </t>
    </r>
    <r>
      <rPr>
        <b/>
        <sz val="8"/>
        <color rgb="FF002B54"/>
        <rFont val="Calibri"/>
        <family val="2"/>
        <scheme val="minor"/>
      </rPr>
      <t>...</t>
    </r>
  </si>
  <si>
    <t>tablas de cortar, tablas de cortar y tableros similares, de bambú</t>
  </si>
  <si>
    <t>Estatuillas y demás objeto de adorno, de madera (exc. marquetería y taracea)</t>
  </si>
  <si>
    <r>
      <t xml:space="preserve">"Pasta química, de madera de coníferas, a la sosa ""soda"" o al sulfato, cruda (exc. pasta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</si>
  <si>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Papeles y cartones, sin estucar ni recubrir, de los tipos utilizados para escribir, imprimir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</si>
  <si>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 semiquímico para acanalar, sin estucar ni recubrir, en bobinas ""rollos"" de anchura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</si>
  <si>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 vegetal ""papel calco"", en bobinas ""rollos"" de anchura &gt; 36 cm o en hojas de forma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</si>
  <si>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 autocopia, incl. impreso, en bobinas ""rollos"" de anchura &gt; 36 cm o en hojas cuadradas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</si>
  <si>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 y cartón Kraft, blanqueados uniformemente en la masa y con un contenido de fibras de </t>
    </r>
    <r>
      <rPr>
        <b/>
        <sz val="8"/>
        <color rgb="FF002B54"/>
        <rFont val="Calibri"/>
        <family val="2"/>
        <scheme val="minor"/>
      </rPr>
      <t>...</t>
    </r>
  </si>
  <si>
    <t>Álbumes o libros de estampas y cuadernos para dibujar o colorear, par niños</t>
  </si>
  <si>
    <r>
      <t xml:space="preserve">Mapas y cartas hidrográficas o similares de todo tipo, incl. atlas, mapas murales, planos topográficos </t>
    </r>
    <r>
      <rPr>
        <b/>
        <sz val="8"/>
        <color rgb="FF002B54"/>
        <rFont val="Calibri"/>
        <family val="2"/>
        <scheme val="minor"/>
      </rPr>
      <t>...</t>
    </r>
  </si>
  <si>
    <t>Calcomanías de cualquier clase (exc. vitrificables)</t>
  </si>
  <si>
    <t>Bloques y placas, filtrantes, de pasta de papel</t>
  </si>
  <si>
    <r>
      <t xml:space="preserve">"Papel de fumar, incl. cortado al tamaño adecuado (exc. en librillos o en tubos, así como en </t>
    </r>
    <r>
      <rPr>
        <b/>
        <sz val="8"/>
        <color rgb="FF002B54"/>
        <rFont val="Calibri"/>
        <family val="2"/>
        <scheme val="minor"/>
      </rPr>
      <t>...</t>
    </r>
  </si>
  <si>
    <t>Sobres de papel o cartón (exc. sobres carta)</t>
  </si>
  <si>
    <r>
      <t xml:space="preserve">Sales dobles y mezclas entre sí de nitrato de calcio y de nitrato de amonio (exc. en tabletas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</si>
  <si>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"Superfosfatos que contengan en peso =&gt; ??35% de pentóxido de difósforo ""P2O5"" (excl. Tales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</si>
  <si>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"Abonos minerales o químicos, que contengan los dos elementos fertilizantes nitrógeno y fósforo </t>
    </r>
    <r>
      <rPr>
        <b/>
        <sz val="8"/>
        <color rgb="FF002B54"/>
        <rFont val="Calibri"/>
        <family val="2"/>
        <scheme val="minor"/>
      </rPr>
      <t>...</t>
    </r>
  </si>
  <si>
    <t>"Extracto de mimosa ""acacia"""</t>
  </si>
  <si>
    <r>
      <t xml:space="preserve">Colorantes reactivos sintéticos orgánicos; preparaciones a base de colorantes reactivos sintéticos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</si>
  <si>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Materias colorantes de carotenoides sintéticos y preparaciones a base de ellas de los tipos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</si>
  <si>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Pigmentos y preparaciones a base de compuestos de cromo, del tipo de las usadas para colorear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</si>
  <si>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Litopón, otros pigmentos y preparaciones a base de sulfuro de cinc, del tipo de las usadas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</si>
  <si>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Pinturas y barnices a base de poliésteres, dispersos o disueltos en un medio no acuoso; disoluciones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</si>
  <si>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Pinturas y barnices a base de polímeros acrílicos o vinílicos, dispersos o disueltos en un </t>
    </r>
    <r>
      <rPr>
        <b/>
        <sz val="8"/>
        <color rgb="FF002B54"/>
        <rFont val="Calibri"/>
        <family val="2"/>
        <scheme val="minor"/>
      </rPr>
      <t>...</t>
    </r>
  </si>
  <si>
    <t>Preparaciones para afeitar o para antes o después del afeitado</t>
  </si>
  <si>
    <t>Fosfatos de calcio naturales, fosfatos aluminocálcicos naturales y cretas fosfatadas, molidos</t>
  </si>
  <si>
    <r>
      <t xml:space="preserve">Granito, en bruto o desbastado (exc. con las características de adoquines, bordillos de aceras, </t>
    </r>
    <r>
      <rPr>
        <b/>
        <sz val="8"/>
        <color rgb="FF002B54"/>
        <rFont val="Calibri"/>
        <family val="2"/>
        <scheme val="minor"/>
      </rPr>
      <t>...</t>
    </r>
  </si>
  <si>
    <t>Esteatita natural y talco, incl. desbastados, triturados o pulverizados</t>
  </si>
  <si>
    <t>Espato flúor, con un contenido de fluoruro de calcio &lt;= 97% en peso</t>
  </si>
  <si>
    <t>Leucita; nefelina y nefelina sienita</t>
  </si>
  <si>
    <t>Vermiculita,perlita y cloritas, sin dilatar</t>
  </si>
  <si>
    <t>"Kieserita y epsomita ""sulfatos de magnesio naturales"""</t>
  </si>
  <si>
    <t>Minerales de cobre y sus concentrados</t>
  </si>
  <si>
    <r>
      <t xml:space="preserve">Preparaciones lubricantes, incl. los aceites de corte, las preparaciones para aflojar tuercas,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</si>
  <si>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Caseinatos y otros derivados de la caseína; colas de caseína (exc. ??acondicionadas para la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</si>
  <si>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Peptonas y sus derivados; las demás materias proteínicas y sus derivados, no expresados ni </t>
    </r>
    <r>
      <rPr>
        <b/>
        <sz val="8"/>
        <color rgb="FF002B54"/>
        <rFont val="Calibri"/>
        <family val="2"/>
        <scheme val="minor"/>
      </rPr>
      <t>...</t>
    </r>
  </si>
  <si>
    <t>Explosivos preparados (excepto la pólvora)</t>
  </si>
  <si>
    <r>
      <t xml:space="preserve">"Placas y películas planas, fotográficas, sensibilizadas, sin impresionar, para fotografía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</si>
  <si>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Papel, cartón y textiles, fotográficos, sensibilizados, sin impresionar, en rollos de anchura </t>
    </r>
    <r>
      <rPr>
        <b/>
        <sz val="8"/>
        <color rgb="FF002B54"/>
        <rFont val="Calibri"/>
        <family val="2"/>
        <scheme val="minor"/>
      </rPr>
      <t>...</t>
    </r>
  </si>
  <si>
    <t>Grafito coloidal o semicoloidal</t>
  </si>
  <si>
    <r>
      <t xml:space="preserve">Sales de colofonias, de ácidos resínicos o de derivados de colofonias o de ácidos resínicos </t>
    </r>
    <r>
      <rPr>
        <b/>
        <sz val="8"/>
        <color rgb="FF002B54"/>
        <rFont val="Calibri"/>
        <family val="2"/>
        <scheme val="minor"/>
      </rPr>
      <t>...</t>
    </r>
  </si>
  <si>
    <t>Gomas éster</t>
  </si>
  <si>
    <r>
      <t xml:space="preserve">Derivados de colofonia, incl. las sales de aductos de colofonias, o de ácidos resínicos; esencia </t>
    </r>
    <r>
      <rPr>
        <b/>
        <sz val="8"/>
        <color rgb="FF002B54"/>
        <rFont val="Calibri"/>
        <family val="2"/>
        <scheme val="minor"/>
      </rPr>
      <t>...</t>
    </r>
  </si>
  <si>
    <t>Aditivos para aceites lubricantes, que no contengan aceites de petróleo o de mineral bituminoso</t>
  </si>
  <si>
    <r>
      <t xml:space="preserve">Catalizadores sobre soporte, n.c.o.p. (exc. con níquel o sus compuestos o con metal precioso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</si>
  <si>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Iniciadores y aceleradores de reacción y preparaciones catalíticas, n.c.o.p. (exc. aceleradores </t>
    </r>
    <r>
      <rPr>
        <b/>
        <sz val="8"/>
        <color rgb="FF002B54"/>
        <rFont val="Calibri"/>
        <family val="2"/>
        <scheme val="minor"/>
      </rPr>
      <t>...</t>
    </r>
  </si>
  <si>
    <t>Alcoholes grasos industriales</t>
  </si>
  <si>
    <t>Carburos metálicos, sin aglomerar, mezclados entre sí o con aglutinantes metálicos</t>
  </si>
  <si>
    <t>Desechos de disolventes orgánicos, no halogenados</t>
  </si>
  <si>
    <t>"Mezclas que contengan hidrobromofluorocarbono ""HBFCs"""</t>
  </si>
  <si>
    <t>"Mezclas que contienen bromuro de metilo ""bromometano"" o bromoclorometano"</t>
  </si>
  <si>
    <t>Polietileno de densidad &gt;= 0,94, en formas primarias</t>
  </si>
  <si>
    <t>Poliestireno, en formas primarias, expandible</t>
  </si>
  <si>
    <t>"Poli""cloruro de vinilo"", en formas primarias, mezclado con otras sustancias, plastificado"</t>
  </si>
  <si>
    <t>Copolímeros de acetato de vinilo, en dispersión acuosa</t>
  </si>
  <si>
    <t>"Poli""alcohol vinílico"", incl. con grupos acetato sin hidrolizar, en formas primarias"</t>
  </si>
  <si>
    <t>Resinas epoxi, en formas primarias</t>
  </si>
  <si>
    <r>
      <t xml:space="preserve">"Poliésteres, saturados, en formas primarias (exc. plicarbonatos, resinas alcídas y poli""tereftalato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</si>
  <si>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"Aminoácidos y sus ésteres; sales de estos productos (exc. los que contengan funciones oxigenadas </t>
    </r>
    <r>
      <rPr>
        <b/>
        <sz val="8"/>
        <color rgb="FF002B54"/>
        <rFont val="Calibri"/>
        <family val="2"/>
        <scheme val="minor"/>
      </rPr>
      <t>...</t>
    </r>
  </si>
  <si>
    <t>Sales e hidróxidos de amonio cuaternario (exc. colina y sus sales)</t>
  </si>
  <si>
    <t>Acrilonitrilo</t>
  </si>
  <si>
    <t>Isocianatos</t>
  </si>
  <si>
    <t>"Captafol ""ISO"" y metamidofos ""ISO"""</t>
  </si>
  <si>
    <t>Metilfosfonato de dimetilo</t>
  </si>
  <si>
    <t>Metilfosfonato de bis[(5-etil-2-metil-2-óxido-1,3,2-dioxafosfinan-5- il) metilo]</t>
  </si>
  <si>
    <t>Sal del ácido metilfosfónico y (aminoiminometil)urea (1 : 1)</t>
  </si>
  <si>
    <t>Tetrahidrofurano</t>
  </si>
  <si>
    <t>Alcohol furfurílico y alcohol tetrahidrofurfurílico</t>
  </si>
  <si>
    <t>"Fenazona ""antipirina"" y sus derivados"</t>
  </si>
  <si>
    <r>
      <t xml:space="preserve">"Alobarbital ""DCI"", amobarbital ""DCI"", barbital ""DCI"", butalbital ""DCI"", butobarbital, </t>
    </r>
    <r>
      <rPr>
        <b/>
        <sz val="8"/>
        <color rgb="FF002B54"/>
        <rFont val="Calibri"/>
        <family val="2"/>
        <scheme val="minor"/>
      </rPr>
      <t>...</t>
    </r>
  </si>
  <si>
    <t>"Clobazam ""DCI"" y metiprilona ""DCI"""</t>
  </si>
  <si>
    <r>
      <t xml:space="preserve">"Alprazolam ""DCI"", camazepam ""DCI"", clorodiazepóxido ""DCI"", clonazepam ""DCI"", clorazepato, </t>
    </r>
    <r>
      <rPr>
        <b/>
        <sz val="8"/>
        <color rgb="FF002B54"/>
        <rFont val="Calibri"/>
        <family val="2"/>
        <scheme val="minor"/>
      </rPr>
      <t>...</t>
    </r>
  </si>
  <si>
    <t>Compuestos heterocíclicos cuya estructura contenga ciclo tiazol, incl. hidrogenado, sin condensar</t>
  </si>
  <si>
    <r>
      <t xml:space="preserve">"Ácidos nucleicos y sus sales, aunque no sean de constitución química definida; compuestos </t>
    </r>
    <r>
      <rPr>
        <b/>
        <sz val="8"/>
        <color rgb="FF002B54"/>
        <rFont val="Calibri"/>
        <family val="2"/>
        <scheme val="minor"/>
      </rPr>
      <t>...</t>
    </r>
  </si>
  <si>
    <t>sulfonamida N-Ethylperfluorooctane</t>
  </si>
  <si>
    <r>
      <t xml:space="preserve">"Hormonas corticosteroides, sus derivados y análogos estructurales, utilizados principalmente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</si>
  <si>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"Concentrado de paja de adormidera; buprenorfina ""DCI"", codeína, dihidrocodeína ""DCI"", </t>
    </r>
    <r>
      <rPr>
        <b/>
        <sz val="8"/>
        <color rgb="FF002B54"/>
        <rFont val="Calibri"/>
        <family val="2"/>
        <scheme val="minor"/>
      </rPr>
      <t>...</t>
    </r>
  </si>
  <si>
    <t>"Catina ""DCI"" y sus sales"</t>
  </si>
  <si>
    <r>
      <t xml:space="preserve">Productos inmunológicos, mezclados, sin dosificar ni en formas o envases para la venta al por </t>
    </r>
    <r>
      <rPr>
        <b/>
        <sz val="8"/>
        <color rgb="FF002B54"/>
        <rFont val="Calibri"/>
        <family val="2"/>
        <scheme val="minor"/>
      </rPr>
      <t>...</t>
    </r>
  </si>
  <si>
    <t>Vacunas para medicina humana</t>
  </si>
  <si>
    <r>
      <t xml:space="preserve">Medicamentos, que contengan alcaloides o sus derivados, sin hormonas ni esteroides utilizados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</si>
  <si>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"Medicamentos, que contengan hormonas corticosteroides, sus derivados y análogos estructurales </t>
    </r>
    <r>
      <rPr>
        <b/>
        <sz val="8"/>
        <color rgb="FF002B54"/>
        <rFont val="Calibri"/>
        <family val="2"/>
        <scheme val="minor"/>
      </rPr>
      <t>...</t>
    </r>
  </si>
  <si>
    <t>"Etclorvinol ""DCI"""</t>
  </si>
  <si>
    <t>Ciclohexanol, metilciclohexanoles y dimetilciclohexanoles</t>
  </si>
  <si>
    <r>
      <t xml:space="preserve">Derivados halogenados, sulfonados, nitrados o nitrosados ??de los fenoles o fenoles-alcoholes </t>
    </r>
    <r>
      <rPr>
        <b/>
        <sz val="8"/>
        <color rgb="FF002B54"/>
        <rFont val="Calibri"/>
        <family val="2"/>
        <scheme val="minor"/>
      </rPr>
      <t>...</t>
    </r>
  </si>
  <si>
    <t>"2,2'-Oxidietanol ""dietilenglicol"""</t>
  </si>
  <si>
    <r>
      <t xml:space="preserve">"Epóxidos, epoxialcoholes, epoxifenoles y epoxiéteres, con tres átomos en el ciclo, y sus derivados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</si>
  <si>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"Alcoholes aldehídos, éteres aldehídos, aldehídos-fenoles y aldehídos con otras funciones oxigenadas </t>
    </r>
    <r>
      <rPr>
        <b/>
        <sz val="8"/>
        <color rgb="FF002B54"/>
        <rFont val="Calibri"/>
        <family val="2"/>
        <scheme val="minor"/>
      </rPr>
      <t>...</t>
    </r>
  </si>
  <si>
    <t>Ácido fórmico</t>
  </si>
  <si>
    <t>Ácido acrílico y sus sales</t>
  </si>
  <si>
    <t>Ácido glucónico, sus sales y sus ésteres</t>
  </si>
  <si>
    <t>"Clorobencilato ""ISO"""</t>
  </si>
  <si>
    <r>
      <t xml:space="preserve">ésteres de fosfito y sus sales; sus derivados halogenados, sulfonados, nitrados o nitrosados </t>
    </r>
    <r>
      <rPr>
        <b/>
        <sz val="8"/>
        <color rgb="FF002B54"/>
        <rFont val="Calibri"/>
        <family val="2"/>
        <scheme val="minor"/>
      </rPr>
      <t>...</t>
    </r>
  </si>
  <si>
    <t>"El endosulfán ""ISO"""</t>
  </si>
  <si>
    <t>"2- ""N, N-dietilamino"" clorhidrato de cloruro de etilo"</t>
  </si>
  <si>
    <r>
      <t xml:space="preserve">Monoaminas y poliaminas, ciclánicas, ciclénicas o cicloterpénicas, y sus derivados; sales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</si>
  <si>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"Monoaminas aromáticas y sus derivados; sales de estos productos (exc. anilina, toluidinas, </t>
    </r>
    <r>
      <rPr>
        <b/>
        <sz val="8"/>
        <color rgb="FF002B54"/>
        <rFont val="Calibri"/>
        <family val="2"/>
        <scheme val="minor"/>
      </rPr>
      <t>...</t>
    </r>
  </si>
  <si>
    <t>O-, m- y p-Fenilendiamina, diaminotoluenos y sus derivados; sales de estos productos</t>
  </si>
  <si>
    <r>
      <t xml:space="preserve">Amino-naftoles y demás amino-fenoles, sus éteres y sus ésteres; sales de estos productos (exc. </t>
    </r>
    <r>
      <rPr>
        <b/>
        <sz val="8"/>
        <color rgb="FF002B54"/>
        <rFont val="Calibri"/>
        <family val="2"/>
        <scheme val="minor"/>
      </rPr>
      <t>...</t>
    </r>
  </si>
  <si>
    <t>Opio</t>
  </si>
  <si>
    <t>Extracto vegetal, de lúpulo</t>
  </si>
  <si>
    <t>"Aceite de soja ""soya"" en bruto, incl. desgomado"</t>
  </si>
  <si>
    <t>Aceite de maíz, en bruto</t>
  </si>
  <si>
    <t>Aceite de ricino y sus fracciones, incl. refinados, sin modificar químicamente</t>
  </si>
  <si>
    <r>
      <t xml:space="preserve">"Cera de abejas o de otros insectos y esperma de ballena y de otros cetáceos ""espermaceti"",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</si>
  <si>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Embutidos y productos similares de carne, despojos, sangre o insectos; preparaciones alimenticias </t>
    </r>
    <r>
      <rPr>
        <b/>
        <sz val="8"/>
        <color rgb="FF002B54"/>
        <rFont val="Calibri"/>
        <family val="2"/>
        <scheme val="minor"/>
      </rPr>
      <t>...</t>
    </r>
  </si>
  <si>
    <t>Piernas y trozos de pierna, de porcinos, preparadas o conservadas</t>
  </si>
  <si>
    <t>Semillas de trigo duro para la siembra</t>
  </si>
  <si>
    <t>"Arroz descascarillado ""arroz cargo"" o ""arroz pardo"""</t>
  </si>
  <si>
    <t>Melaza de remolacha, procedente de la extracción o del refinado del azúcar</t>
  </si>
  <si>
    <t>Chicle, incl. recubierto de azúcar</t>
  </si>
  <si>
    <r>
      <t xml:space="preserve">Preparaciones alimenticias de harina, grañones, sémola, almidón, fécula o extracto de malta, </t>
    </r>
    <r>
      <rPr>
        <b/>
        <sz val="8"/>
        <color rgb="FF002B54"/>
        <rFont val="Calibri"/>
        <family val="2"/>
        <scheme val="minor"/>
      </rPr>
      <t>...</t>
    </r>
  </si>
  <si>
    <t>"Pan crujiente llam. ""Knäckebrot"""</t>
  </si>
  <si>
    <r>
      <t xml:space="preserve">"Setas y trufas, preparadas o conservadas, excepto en vinagre o ácido acético (exc. ??hongos </t>
    </r>
    <r>
      <rPr>
        <b/>
        <sz val="8"/>
        <color rgb="FF002B54"/>
        <rFont val="Calibri"/>
        <family val="2"/>
        <scheme val="minor"/>
      </rPr>
      <t>...</t>
    </r>
  </si>
  <si>
    <t>Caolín y demás arcillas caolínicas, incluso calcinados</t>
  </si>
  <si>
    <r>
      <t xml:space="preserve">Levaduras muertas; los demás microorganismos monocelulares muertos (exc. microorganismos monocelulares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</si>
  <si>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Confituras, jaleas y mermeladas, purés y pastas de frutas u otros frutos, obtenidos por cocción, </t>
    </r>
    <r>
      <rPr>
        <b/>
        <sz val="8"/>
        <color rgb="FF002B54"/>
        <rFont val="Calibri"/>
        <family val="2"/>
        <scheme val="minor"/>
      </rPr>
      <t>...</t>
    </r>
  </si>
  <si>
    <t>Heces y desperdicios de cervecería o de destilería</t>
  </si>
  <si>
    <r>
      <t xml:space="preserve">"Tabaco de mascar, rapé y demás tabacos elaborados y sucedáneos del tabaco elaborados, y tabaco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</si>
  <si>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Productos que contengan tabaco o sucedáneos de la nicotina, destinados a la inhalación sin </t>
    </r>
    <r>
      <rPr>
        <b/>
        <sz val="8"/>
        <color rgb="FF002B54"/>
        <rFont val="Calibri"/>
        <family val="2"/>
        <scheme val="minor"/>
      </rPr>
      <t>...</t>
    </r>
  </si>
  <si>
    <t>Permanganato de potasio</t>
  </si>
  <si>
    <t>Molibdatos</t>
  </si>
  <si>
    <r>
      <t xml:space="preserve">"Sales de los ácidos o peroxoácidos inorgánicos (exc. de los ácidos oxometálicos o peroxometálicos, </t>
    </r>
    <r>
      <rPr>
        <b/>
        <sz val="8"/>
        <color rgb="FF002B54"/>
        <rFont val="Calibri"/>
        <family val="2"/>
        <scheme val="minor"/>
      </rPr>
      <t>...</t>
    </r>
  </si>
  <si>
    <t>Nitrato de plata</t>
  </si>
  <si>
    <r>
      <t xml:space="preserve">Elementos e isótopos y compuestos radiactivos; aleaciones, dispersiones incl. cermet, productos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</si>
  <si>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Compuestos inorgánicos u orgánicos, de metales de las tierras raras, del itrio, del escandio </t>
    </r>
    <r>
      <rPr>
        <b/>
        <sz val="8"/>
        <color rgb="FF002B54"/>
        <rFont val="Calibri"/>
        <family val="2"/>
        <scheme val="minor"/>
      </rPr>
      <t>...</t>
    </r>
  </si>
  <si>
    <t>Ciclohexano</t>
  </si>
  <si>
    <t>Tolueno</t>
  </si>
  <si>
    <t>Estireno</t>
  </si>
  <si>
    <t>Tetracloruro de carbono</t>
  </si>
  <si>
    <t>"Cloruro de vinilo ""cloroetileno"""</t>
  </si>
  <si>
    <r>
      <t xml:space="preserve">"Derivados clorados no saturados de los hidrocarburos acíclicos (exc. cloruro de vinilo ""cloroetileno"", </t>
    </r>
    <r>
      <rPr>
        <b/>
        <sz val="8"/>
        <color rgb="FF002B54"/>
        <rFont val="Calibri"/>
        <family val="2"/>
        <scheme val="minor"/>
      </rPr>
      <t>...</t>
    </r>
  </si>
  <si>
    <t>Clorobenceno, o-diclorobenceno y p-diclorobenceno</t>
  </si>
  <si>
    <t>Derivados de los hidrocarburos, solamente sulfonados, sus sales y sus ésteres etílicos</t>
  </si>
  <si>
    <t>Derivados de los hidrocarburos, solamente nitrados o solamente nitrosados</t>
  </si>
  <si>
    <t>"Propan-1-ol ""alcohol propílico"" y propan-2-ol ""alcohol isopropílico"""</t>
  </si>
  <si>
    <t>Matas de galvanización</t>
  </si>
  <si>
    <t>Cenizas y residuos, que contengan principalmente cobre</t>
  </si>
  <si>
    <t>Cenizas y residuos, que contengan principalmente aluminio</t>
  </si>
  <si>
    <r>
      <t xml:space="preserve">Cenizas y residuos, que contengan arsénico, mercurio, talio o sus mezclas, de los tipos utilizados </t>
    </r>
    <r>
      <rPr>
        <b/>
        <sz val="8"/>
        <color rgb="FF002B54"/>
        <rFont val="Calibri"/>
        <family val="2"/>
        <scheme val="minor"/>
      </rPr>
      <t>...</t>
    </r>
  </si>
  <si>
    <t>Hulla bituminosa , incl. pulverizada, pero sin aglomerar</t>
  </si>
  <si>
    <t>Coque de brea de alquitrán de hulla o de otros alquitranes minerales</t>
  </si>
  <si>
    <t>Coque de petróleo, sin calcinar</t>
  </si>
  <si>
    <t>Cloro</t>
  </si>
  <si>
    <t>Azufre sublimado o precipitado; azufre coloidal</t>
  </si>
  <si>
    <t>Hidrógeno</t>
  </si>
  <si>
    <t>Gases nobles (exc. argón)</t>
  </si>
  <si>
    <t>Oxígeno</t>
  </si>
  <si>
    <t>Silicio, con un contenido de silicio &gt;= 99,99% en peso</t>
  </si>
  <si>
    <t>Ácido sulfúrico; óleum</t>
  </si>
  <si>
    <t>Ácido fosfórico; ácidos polifosfóricos, incl. de constitución química no definida</t>
  </si>
  <si>
    <t>Tricloruro de fósforo</t>
  </si>
  <si>
    <t>Hidróxido y peróxido de magnesio</t>
  </si>
  <si>
    <t>Óxidos, hidróxidos y peróxidos, de estroncio o de bario</t>
  </si>
  <si>
    <t>"Monóxido de plomo ""litargirio, masicot"""</t>
  </si>
  <si>
    <t>"Hexafluoroaluminato de sodio ""criolita sintética"""</t>
  </si>
  <si>
    <t>Cloruro de amonio</t>
  </si>
  <si>
    <t>Cloruro de calcio</t>
  </si>
  <si>
    <t>Nitratos de potasio</t>
  </si>
  <si>
    <t>Carbonato de estroncio</t>
  </si>
  <si>
    <r>
      <t xml:space="preserve">Pepinos y pepinillos, conservadas provisionalmente, p.ej., con gas sulfuroso o con agua salada,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</si>
  <si>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"Setas y trufas secas, enteras, cortadas, en rodajas, quebradas o en polvo, pero sin otra preparación </t>
    </r>
    <r>
      <rPr>
        <b/>
        <sz val="8"/>
        <color rgb="FF002B54"/>
        <rFont val="Calibri"/>
        <family val="2"/>
        <scheme val="minor"/>
      </rPr>
      <t>...</t>
    </r>
  </si>
  <si>
    <t>"Bacaladilla ""Micromesistius poutassou, Micromesistius australis"" congelada"</t>
  </si>
  <si>
    <t>"Filetes frescos o refrigerados de tilapia ""Oreochromis spp."""</t>
  </si>
  <si>
    <r>
      <t xml:space="preserve">"Filetes frescos o refrigerados de pescados planos ""Pleuronectidae, Bótidos, Cynoglósidos, </t>
    </r>
    <r>
      <rPr>
        <b/>
        <sz val="8"/>
        <color rgb="FF002B54"/>
        <rFont val="Calibri"/>
        <family val="2"/>
        <scheme val="minor"/>
      </rPr>
      <t>...</t>
    </r>
  </si>
  <si>
    <t>"Patatas ""papas"" frescas o refrigeradas (exc. las de siembra)"</t>
  </si>
  <si>
    <r>
      <t xml:space="preserve">"Achicorias, comprendidas la escarola y la endibia ""Cichorium spp."", frescas o refrigeradas </t>
    </r>
    <r>
      <rPr>
        <b/>
        <sz val="8"/>
        <color rgb="FF002B54"/>
        <rFont val="Calibri"/>
        <family val="2"/>
        <scheme val="minor"/>
      </rPr>
      <t>...</t>
    </r>
  </si>
  <si>
    <t>Zanahorias y nabos, frescos o refrigerados (exc. remolachas para ensalada)</t>
  </si>
  <si>
    <t>Nuez moscada, sin triturar ni pulverizar</t>
  </si>
  <si>
    <t>Mace, triturada o pulverizada</t>
  </si>
  <si>
    <t>Cardamomo, sin triturar ni pulverizar</t>
  </si>
  <si>
    <t>Bayas de enebro y las semillas de anís, badiana, alcaravea o hinojo, sin triturar ni pulverizar</t>
  </si>
  <si>
    <t>Inulina</t>
  </si>
  <si>
    <t>Semillas de cacahuete, para siembra</t>
  </si>
  <si>
    <t>Semilla de ricino</t>
  </si>
  <si>
    <t>"Cártamo ""Carthamus tinctorius"" semillas"</t>
  </si>
  <si>
    <t>Paja y cascabillo de cereales, en bruto, incluso picados, molidos, prensados o en pellets</t>
  </si>
  <si>
    <t>Lentejas secas desvainadas, aunque estén mondadas o partidas</t>
  </si>
  <si>
    <t>"Nueces de marañón [merey, cajuil, anacardo, ""cajú""], frescas o secas, con cáscara"</t>
  </si>
  <si>
    <t>Almendras frescas o secas, sin cáscara</t>
  </si>
  <si>
    <t>Piñones frescos o secos, sin cáscara</t>
  </si>
  <si>
    <t>Dátiles, frescos o secos</t>
  </si>
  <si>
    <r>
      <t xml:space="preserve">Frutas y otros frutos conservados provisionalmente, p.ej. con gas sulfuroso o con agua salada </t>
    </r>
    <r>
      <rPr>
        <b/>
        <sz val="8"/>
        <color rgb="FF002B54"/>
        <rFont val="Calibri"/>
        <family val="2"/>
        <scheme val="minor"/>
      </rPr>
      <t>...</t>
    </r>
  </si>
  <si>
    <t>Mezclas de frutos secos comestibles o de frutos de cáscara comestibles</t>
  </si>
  <si>
    <t>Secas, incl. las pasas</t>
  </si>
  <si>
    <t>"Guindas ""Prunus cerasus"", frescas"</t>
  </si>
  <si>
    <t>"Carne fresca o refrigerada, incluso picada, de rayas y patines ""Rajidae"" (excepto filetes)"</t>
  </si>
  <si>
    <t>"Filetes de róbalos de profundidad ""Dissostichus spp."", congelados"</t>
  </si>
  <si>
    <r>
      <t xml:space="preserve">"Filetes congelados de atún ""del género Thunnus"", listados o bonitos de vientre rayado ""Euthynnus </t>
    </r>
    <r>
      <rPr>
        <b/>
        <sz val="8"/>
        <color rgb="FF002B54"/>
        <rFont val="Calibri"/>
        <family val="2"/>
        <scheme val="minor"/>
      </rPr>
      <t>...</t>
    </r>
  </si>
  <si>
    <t>"Arenque ahumado ""Clupea harengus, Clupea pallasii"", incl. filetes (exc. ??despojos)"</t>
  </si>
  <si>
    <r>
      <t xml:space="preserve">Pescado ahumado, incl. filetes (exc. ??los despojos, el salmón del Pacífico, salmón del Atlántico,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</si>
  <si>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Aletas de los peces y otros despojos comestibles de pescado, ahumado, seco, salado o en salmuera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</si>
  <si>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Crustáceos congelados, incluso ahumados, aptos para la alimentación humana, incluso pelados,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</si>
  <si>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Camarones y langostinos, incluso ahumado, incluso pelados, vivos, frescos, refrigerados, secos, </t>
    </r>
    <r>
      <rPr>
        <b/>
        <sz val="8"/>
        <color rgb="FF002B54"/>
        <rFont val="Calibri"/>
        <family val="2"/>
        <scheme val="minor"/>
      </rPr>
      <t>...</t>
    </r>
  </si>
  <si>
    <t>"Mejillones ""Mytilus spp., Perna spp."", Congelados, incluso con cáscara"</t>
  </si>
  <si>
    <t>"Pulpo ""Octopus spp."", Vivos, frescos o refrigerados"</t>
  </si>
  <si>
    <t>"Abulón ahumados, congelados, secos, salados o en salmuera ""Haliotis spp."", Incluso con cáscara"</t>
  </si>
  <si>
    <r>
      <t xml:space="preserve">"Harina, polvo y ""pellets"" de crustáceos, moluscos y demás invertebrados acuáticos, aptos </t>
    </r>
    <r>
      <rPr>
        <b/>
        <sz val="8"/>
        <color rgb="FF002B54"/>
        <rFont val="Calibri"/>
        <family val="2"/>
        <scheme val="minor"/>
      </rPr>
      <t>...</t>
    </r>
  </si>
  <si>
    <t>Yogur, incl. aromatizado, con adición de azúcar u otro edulcorante, frutas o cacao</t>
  </si>
  <si>
    <t>Huevos frescos de aves domésticas, con cáscara (sin fertilizados para incubar)</t>
  </si>
  <si>
    <r>
      <t xml:space="preserve">"Huevos de ave sin cáscara ""cascarón"", secos, incl. con adición de azúcar u otro edulcorante </t>
    </r>
    <r>
      <rPr>
        <b/>
        <sz val="8"/>
        <color rgb="FF002B54"/>
        <rFont val="Calibri"/>
        <family val="2"/>
        <scheme val="minor"/>
      </rPr>
      <t>...</t>
    </r>
  </si>
  <si>
    <t>Psitaciformes, incl. los loros, guacamayos, cacatúas y demás papagayos</t>
  </si>
  <si>
    <r>
      <t xml:space="preserve">Aves vivas (excepto las aves de rapiña, psitaciformes, loros, pericos, guacamayos, cacatúas, </t>
    </r>
    <r>
      <rPr>
        <b/>
        <sz val="8"/>
        <color rgb="FF002B54"/>
        <rFont val="Calibri"/>
        <family val="2"/>
        <scheme val="minor"/>
      </rPr>
      <t>...</t>
    </r>
  </si>
  <si>
    <t>Canales o medias canales, de bovinos, frescas o refrigeradas</t>
  </si>
  <si>
    <t>Trozos de bovinos, sin deshuesar, congelados (exc. canales o medias canales)</t>
  </si>
  <si>
    <t>Canales o medias canales de cordero, frescas o refrigeradas</t>
  </si>
  <si>
    <t>Hígados de porcinos, comestibles, congelados</t>
  </si>
  <si>
    <t>Gansos domésticos congelados, sin trocear</t>
  </si>
  <si>
    <r>
      <t xml:space="preserve">Manteca de cerdo, sin partes magras, sin fundir ni extraer de otro modo, frescos, refrigerados,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</si>
  <si>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Peces vivos (exc. ??peces ornamentales, la trucha [Salmo trutta, Oncorhynchus mykiss, Oncorhynchus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</si>
  <si>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"Halibut ""fletán"" ""Reinhardtius hippoglossoides"", ""Hippoglossus hippoglossus"" e ""Hippoglossus </t>
    </r>
    <r>
      <rPr>
        <b/>
        <sz val="8"/>
        <color rgb="FF002B54"/>
        <rFont val="Calibri"/>
        <family val="2"/>
        <scheme val="minor"/>
      </rPr>
      <t>...</t>
    </r>
  </si>
  <si>
    <t>"Eglefinos ""Melanogrammus aeglefinus"", frescos o refrigerados"</t>
  </si>
  <si>
    <t>"Bacaladilla ""Micromesistius poutassou, Micromesistius australis"" frescos o refrigerados"</t>
  </si>
  <si>
    <t>"Dorada ""Sparidae"" fresca o refrigerada"</t>
  </si>
  <si>
    <r>
      <t xml:space="preserve">"Truchas congeladas ""Salmo trutta, Oncorhynchus mykiss, Oncorhynchus clarki, Oncorhynchus </t>
    </r>
    <r>
      <rPr>
        <b/>
        <sz val="8"/>
        <color rgb="FF002B54"/>
        <rFont val="Calibri"/>
        <family val="2"/>
        <scheme val="minor"/>
      </rPr>
      <t>...</t>
    </r>
  </si>
  <si>
    <t>"Albacoras o atunes blancos ""Thunnus alalunga"", congelados"</t>
  </si>
  <si>
    <t>Listados o bonitos de vientre rayado, congelados</t>
  </si>
  <si>
    <r>
      <t xml:space="preserve">"Sacos ""bolsas"" y talegas, para envasar, de materia textil (exc. de fibras sintéticas o artificiales, </t>
    </r>
    <r>
      <rPr>
        <b/>
        <sz val="8"/>
        <color rgb="FF002B54"/>
        <rFont val="Calibri"/>
        <family val="2"/>
        <scheme val="minor"/>
      </rPr>
      <t>...</t>
    </r>
  </si>
  <si>
    <t>Artículos con astil o mango telescópico (exc. destinados al entretenimiento de los niños)</t>
  </si>
  <si>
    <r>
      <t xml:space="preserve">Barbas, cejas, pestañas, mechones y artículos análogos, de fibras sintéticas (exc. pelucas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</si>
  <si>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"Losetas, cubos, dados y demás piedras naturales trabajadas, incl. la pizarra, para mosaicos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</si>
  <si>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Granito y sus manufacturas, simplemente talladas o aserradas, con superficie plana o lisa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</si>
  <si>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Piedra de talla, natural, distinta de las piedras calizas, el granito y la pizarra, y sus manufacturas,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</si>
  <si>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"Papel, cartón y fieltro, de amianto ""asbesto"" o de mezclas a base de amianto o a base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</si>
  <si>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Fibras de amianto fabricadas; mezclas a base de amianto o a base de amianto y carbonato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</si>
  <si>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Camisetas interiores, albornoces de baño, batas de casa y artículos simil., para hombres 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</si>
  <si>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Guantes, manoplas y manoplas, de materia textil, de punto (exc. lana, pelo fino, algodón 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</si>
  <si>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"Anoraks, cazadoras y artículos simil., de algodón, para hombres o niños (exc. de punto, así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</si>
  <si>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"Conjuntos de materia textil, para hombres o niños (exc. de lana o pelo fino, de algodón 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</si>
  <si>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Conjuntos de materia textil, para mujeres o niñas (exc. de lana o pelo fino, de algodón o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</si>
  <si>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Artículos de cerámica con una dureza &gt;= 9 en la escala de Mohs, para usos químicos o demás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</si>
  <si>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Placas, hojas y tiras de mica aglomerada o reconstituida, incl. con soporte de papel, cartón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</si>
  <si>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"Ladrillos, placas, baldosas y demás piezas cerámicas análogas de construcción, refractarios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</si>
  <si>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Ladrillos de construcción (exc. de harinas silíceas fósiles o de tierras silíceas análogas, </t>
    </r>
    <r>
      <rPr>
        <b/>
        <sz val="8"/>
        <color rgb="FF002B54"/>
        <rFont val="Calibri"/>
        <family val="2"/>
        <scheme val="minor"/>
      </rPr>
      <t>...</t>
    </r>
  </si>
  <si>
    <t>Tubos, canalones y accesorios de tubería, de cerámica</t>
  </si>
  <si>
    <t>Ampollas de vidrio</t>
  </si>
  <si>
    <r>
      <t xml:space="preserve">Vidrio en bolas, sin trabajar (exc. microesferas de vidrio con un diámetro &lt;= 1 mm, así como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</si>
  <si>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Tubos de vidrio, sin trabajar (exc. con un coeficiente de dilatación lineal &lt;= 5 x 10-6 por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</si>
  <si>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Hojas de vidrio estirado o soplado, pero sin trabajar de otro modo (exc. coloreadas en la masa,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</si>
  <si>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Vidrio de las partidas 7003, 7004 ó 7005, curvado, biselado, grabado, taladrado, esmaltado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</si>
  <si>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"Artículos de orfebrería y sus partes, de plata, incl. revestidos o chapado de metal precioso </t>
    </r>
    <r>
      <rPr>
        <b/>
        <sz val="8"/>
        <color rgb="FF002B54"/>
        <rFont val="Calibri"/>
        <family val="2"/>
        <scheme val="minor"/>
      </rPr>
      <t>...</t>
    </r>
  </si>
  <si>
    <t>Catalizadores de platino en forma de tela o enrejado</t>
  </si>
  <si>
    <t>"Manufacturas de metal precioso o manufacturas de chapado de metal precioso ""plaqué"", n.c.o.p."</t>
  </si>
  <si>
    <t>Ferroníquel</t>
  </si>
  <si>
    <t>"Ferrovolframio ""tungsteno"" y ferro-sílico-volframio ""tungsteno"""</t>
  </si>
  <si>
    <t>Barras de acero inoxidable, simplemente obtenidas o acabadas en frío</t>
  </si>
  <si>
    <r>
      <t xml:space="preserve">Acero aleado, distinto del acero inoxidable, en lingotes o demás formas primarias (exc. lingotes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</si>
  <si>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"Productos planos de aceros aleados, distinto del acero inoxidable, de anchura &lt; 600 mm, simplemente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</si>
  <si>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Barras de aceros aleados, distinto del acero inoxidable, simplemente forjadas (exc. de acero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</si>
  <si>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Barras de aceros aleados, distinto del acero inoxidable, simplemente obtenidas o acabadas en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</si>
  <si>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Tubos de perforación, sin soldadura, de hierro o acero, de los tipos utilizados para la extracción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</si>
  <si>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Tubos y perfiles huecos, sin soldadura, de sección circular, de aceros aleados distinto del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</si>
  <si>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Tubos y perfiles huecos, sin soldadura, de sección distinta de la circular, de hierro o acero </t>
    </r>
    <r>
      <rPr>
        <b/>
        <sz val="8"/>
        <color rgb="FF002B54"/>
        <rFont val="Calibri"/>
        <family val="2"/>
        <scheme val="minor"/>
      </rPr>
      <t>...</t>
    </r>
  </si>
  <si>
    <t>Accesorios de tubería para soldar a tope, de acero inoxidable (exc. moldeados)</t>
  </si>
  <si>
    <r>
      <t xml:space="preserve">Accesorios de tubería, de acero inoxidable (exc. moldeados, así como codos, curvas y manguitos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</si>
  <si>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Accesorios de tubería, de hierro o acero, para soldar a tope (exc. moldeados o de acero inoxidable, </t>
    </r>
    <r>
      <rPr>
        <b/>
        <sz val="8"/>
        <color rgb="FF002B54"/>
        <rFont val="Calibri"/>
        <family val="2"/>
        <scheme val="minor"/>
      </rPr>
      <t>...</t>
    </r>
  </si>
  <si>
    <t>Puertas, ventanas y sus marcos, contramarcos y umbrales, de fundición, hierro o acero</t>
  </si>
  <si>
    <r>
      <t xml:space="preserve">"Tejidos de punto, de anchura &lt;= 30 cm, con un contenido de hilados de elastómeros y de hilos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</si>
  <si>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"Tejidos de punto, de anchura &gt; 30 cm, de fibras sintéticas, estampados (exc. tejidos de punto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</si>
  <si>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"Tejidos de punto, de anchura &gt; 30 cm, de fibras artificiales, con hilados de distintos colores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</si>
  <si>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Alfombras y demás revestimientos para el suelo, de materia textile vegetal o de pelo ordinario,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</si>
  <si>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Las baldosas del suelo, de fieltro, excepto los de mechón insertado y los flocados, con una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</si>
  <si>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con bucles del tipo toalla, de algodón (exc. crudos, así como cintas de la partida </t>
    </r>
    <r>
      <rPr>
        <b/>
        <sz val="8"/>
        <color rgb="FF002B54"/>
        <rFont val="Calibri"/>
        <family val="2"/>
        <scheme val="minor"/>
      </rPr>
      <t>...</t>
    </r>
  </si>
  <si>
    <t>Tejidos de gasa de vuelta (excepto los productos de la partida 5806)</t>
  </si>
  <si>
    <r>
      <t xml:space="preserve">Napas tramadas para neumáticos fabricadas con hilados de alta tenacidad de rayón viscosa, incl.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</si>
  <si>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Cintas adhesivas de tejidos cauchutados, de anchura &lt;= 20 cm (exc. impregnadas o recubiertas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</si>
  <si>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Tela y fieltro sin fin o con dispositivos de unión, de los tipos utilizados en las máquinas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</si>
  <si>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Capachos y telas gruesas de los tipos utilizados en las prensas de aceite o para usos técnicos </t>
    </r>
    <r>
      <rPr>
        <b/>
        <sz val="8"/>
        <color rgb="FF002B54"/>
        <rFont val="Calibri"/>
        <family val="2"/>
        <scheme val="minor"/>
      </rPr>
      <t>...</t>
    </r>
  </si>
  <si>
    <t>"Tejidos de punto ""de pelo largo"""</t>
  </si>
  <si>
    <t>Tejidos con bucles, de punto, de fibras sintéticas o artificiales</t>
  </si>
  <si>
    <r>
      <t xml:space="preserve">"Cartonajes en forma de recipientes rígidos de los tipos utilizados en oficinas, tiendas ""carpas""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</si>
  <si>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con alto contenido de seda o desperdicios de seda, distintos de la borrilla, pero &lt; </t>
    </r>
    <r>
      <rPr>
        <b/>
        <sz val="8"/>
        <color rgb="FF002B54"/>
        <rFont val="Calibri"/>
        <family val="2"/>
        <scheme val="minor"/>
      </rPr>
      <t>...</t>
    </r>
  </si>
  <si>
    <t>Lana sucia, incl. la lavada en vivo, sin cardar ni peinar (exc. lana esquilada)</t>
  </si>
  <si>
    <t>Desperdicios de lana o pelo fino, carbonizados (exc. borras e las hilachas)</t>
  </si>
  <si>
    <t>Lana cardada</t>
  </si>
  <si>
    <r>
      <t xml:space="preserve">Yute y demás fibras textiles del líber, trabajadas, pero sin hilar; estopas y desperdicios </t>
    </r>
    <r>
      <rPr>
        <b/>
        <sz val="8"/>
        <color rgb="FF002B54"/>
        <rFont val="Calibri"/>
        <family val="2"/>
        <scheme val="minor"/>
      </rPr>
      <t>...</t>
    </r>
  </si>
  <si>
    <t>Hilados de yute o demás fibras textiles del líber de la partida 5303</t>
  </si>
  <si>
    <t>Tejidos de lino, con un alto contenido de lino, pero &lt; 85% en peso, blanqueados o crudos</t>
  </si>
  <si>
    <t>Tejidos de yute o demás fibras textiles del líber de la partida 5303, crudos</t>
  </si>
  <si>
    <r>
      <t xml:space="preserve">Hilados texturados, de filamentos de nailon o demás poliamidas, de título &lt;= 50 tex por hilo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</si>
  <si>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de filamentos de rayón viscosa, incl. los monofilamentos de título &lt; 67 decitex, sencillos,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</si>
  <si>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Monofilamentos polipropilano de título &gt;= 67 decitex y cuya mayor dimensión de &lt;= 1 mm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</si>
  <si>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hilados con un contenido de filamentos sintéticos &gt;= 85% en peso, incl. los monofilamentos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</si>
  <si>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hilados de alta tenacidad de rayón viscosa, incl. los monofilamentos de título &gt;=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</si>
  <si>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Fibras artificiales discontinuas, sin cardar, peinar ni transformar de otra forma para la hilatura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</si>
  <si>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fibras discontinuas de polipropileno, cardadas, peinadas o transformadas de otro modo para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</si>
  <si>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con un alto contenido de fibras discontinuas de poliéster, pero &lt; 85% en peso, mezclados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</si>
  <si>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Guata de fibras sintéticas o artificiales y artículos de esta guata (exc. compresas y tampones </t>
    </r>
    <r>
      <rPr>
        <b/>
        <sz val="8"/>
        <color rgb="FF002B54"/>
        <rFont val="Calibri"/>
        <family val="2"/>
        <scheme val="minor"/>
      </rPr>
      <t>...</t>
    </r>
  </si>
  <si>
    <t>Pilas y baterías de pilas, de óxido de plata (exc. inservibles)</t>
  </si>
  <si>
    <r>
      <t xml:space="preserve">Pilas y baterías de pilas, eléctricas (exc. inservibles, así como pilas y baterías de pilas </t>
    </r>
    <r>
      <rPr>
        <b/>
        <sz val="8"/>
        <color rgb="FF002B54"/>
        <rFont val="Calibri"/>
        <family val="2"/>
        <scheme val="minor"/>
      </rPr>
      <t>...</t>
    </r>
  </si>
  <si>
    <t>Partes de pilas y de baterías de pilas, eléctricas, n.c.o.p.</t>
  </si>
  <si>
    <r>
      <t xml:space="preserve">Acumuladores eléctricos (exc. ​​Acumuladores usados ​​y acumuladores de plomo-ácido, níquel-cadmio, </t>
    </r>
    <r>
      <rPr>
        <b/>
        <sz val="8"/>
        <color rgb="FF002B54"/>
        <rFont val="Calibri"/>
        <family val="2"/>
        <scheme val="minor"/>
      </rPr>
      <t>...</t>
    </r>
  </si>
  <si>
    <t>Placas, separadores y los demás partes de acumuladores eléctricos, n.c.o.p.</t>
  </si>
  <si>
    <t>Máquinas de cortar el pelo o esquilar, con motor eléctrico incorporado</t>
  </si>
  <si>
    <t>Aparatos de depilar, con motor eléctrico incorporado</t>
  </si>
  <si>
    <r>
      <t xml:space="preserve">Máquinas y aparatos para la fabricación de papel o cartón (exc. secadoras y demás aparatos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</si>
  <si>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para la fabricación de cajas, tubos, tambores o continentes simil. (no obtenidos por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</si>
  <si>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"Máquinas y aparatos para imprimir offset, alimentados con hojas de formato &lt;= 22 x 36 cm ""offset </t>
    </r>
    <r>
      <rPr>
        <b/>
        <sz val="8"/>
        <color rgb="FF002B54"/>
        <rFont val="Calibri"/>
        <family val="2"/>
        <scheme val="minor"/>
      </rPr>
      <t>...</t>
    </r>
  </si>
  <si>
    <t>Máquinas y aparatos para imprimir, tipográficas, alimentados con bobinas (exc. flexográficos)</t>
  </si>
  <si>
    <t>Máquinas y aparatos para imprimir, flexográficos</t>
  </si>
  <si>
    <t>Bolas, rodillos y agujas para rodamientos (exc. bolas de acero de la partida 7326)</t>
  </si>
  <si>
    <r>
      <t xml:space="preserve">"Máquinas de moldear o recauchutar neumáticos ""llantas neumáticos"" o de moldear o formar </t>
    </r>
    <r>
      <rPr>
        <b/>
        <sz val="8"/>
        <color rgb="FF002B54"/>
        <rFont val="Calibri"/>
        <family val="2"/>
        <scheme val="minor"/>
      </rPr>
      <t>...</t>
    </r>
  </si>
  <si>
    <t>Puentes de embarque de pasajeros, de los tipos utilizados en los aeropuertos</t>
  </si>
  <si>
    <t>Mecheras para la preparación de materia textil</t>
  </si>
  <si>
    <t>Telares para tejidos de anchura &lt;= 30 cm</t>
  </si>
  <si>
    <r>
      <t xml:space="preserve">Maquinitas para lizos mecanismos Jacquard; reductoras, perforadoras y copiadoras de cartones;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</si>
  <si>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y accesorios para máquinas de la partida 8445 ó de sus máquinas o aparatos auxiliares,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</si>
  <si>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para lavar ropa, de capacidad unitaria, expresada en peso de ropa seca &lt;= 6 kg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</si>
  <si>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para secar ropa, de capacidad unitaria, expresada en peso de ropa seca &lt;= 10 kg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</si>
  <si>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y aparatos para la preparación, curtido o trabajo de cuero o piel (exc. secadoras,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</si>
  <si>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"Máquinas herramienta que operen mediante láser u otros haces de luz o de fotones (exc. máquinas </t>
    </r>
    <r>
      <rPr>
        <b/>
        <sz val="8"/>
        <color rgb="FF002B54"/>
        <rFont val="Calibri"/>
        <family val="2"/>
        <scheme val="minor"/>
      </rPr>
      <t>...</t>
    </r>
  </si>
  <si>
    <t>"Máquinas de roscar ""incl. aterrajar"" metal (exc. unidades de mecanizado de corredera)"</t>
  </si>
  <si>
    <r>
      <t xml:space="preserve">Máquinas para rectificado cilíndrico para el acabado de metal, de control numérico (exc. máquinas </t>
    </r>
    <r>
      <rPr>
        <b/>
        <sz val="8"/>
        <color rgb="FF002B54"/>
        <rFont val="Calibri"/>
        <family val="2"/>
        <scheme val="minor"/>
      </rPr>
      <t>...</t>
    </r>
  </si>
  <si>
    <t>Máquinas perfiladoras controladas numéricamente</t>
  </si>
  <si>
    <t>Líneas de corte longitudinal y líneas de corte longitudinal, para productos planos</t>
  </si>
  <si>
    <r>
      <t xml:space="preserve">Máquinas para trabajar tubos, tuberías, perfiles huecos y barras (exc. las prensas y de control </t>
    </r>
    <r>
      <rPr>
        <b/>
        <sz val="8"/>
        <color rgb="FF002B54"/>
        <rFont val="Calibri"/>
        <family val="2"/>
        <scheme val="minor"/>
      </rPr>
      <t>...</t>
    </r>
  </si>
  <si>
    <t>Prensas hidráulicas para trabajar metales en frío</t>
  </si>
  <si>
    <t>Servoprensas para trabajar metales en frío</t>
  </si>
  <si>
    <r>
      <t xml:space="preserve">Máquinas para trabajar alambres, que no trabajen por arranque de materia (exc. bancos de estirar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</si>
  <si>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de aserrar para trabajar piedra, cerámica, hormigón, amiantocemento o materias minerales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</si>
  <si>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de aserrar para trabajar madera, plástico rígido o materias duras simil. (exc. accionadas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</si>
  <si>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y accesorios de máquinas herramienta para trabajar madera, corcho, hueso, caucho endurecido, </t>
    </r>
    <r>
      <rPr>
        <b/>
        <sz val="8"/>
        <color rgb="FF002B54"/>
        <rFont val="Calibri"/>
        <family val="2"/>
        <scheme val="minor"/>
      </rPr>
      <t>...</t>
    </r>
  </si>
  <si>
    <t>Partes de máquinas y aparatos para soldar o para temple superficial, no eléctricos, n.c.o.p.</t>
  </si>
  <si>
    <t>Máquinas de calcular no electrónicas</t>
  </si>
  <si>
    <t>Partes y accesorios para máquinas y aparatos de oficina de la partida 8472, n.c.o.p.</t>
  </si>
  <si>
    <r>
      <t xml:space="preserve">Máquinas y aparatos de clasificar, cribar, separar o lavar materias minerales sólidas, incl. </t>
    </r>
    <r>
      <rPr>
        <b/>
        <sz val="8"/>
        <color rgb="FF002B54"/>
        <rFont val="Calibri"/>
        <family val="2"/>
        <scheme val="minor"/>
      </rPr>
      <t>...</t>
    </r>
  </si>
  <si>
    <t>Máquinas de mezclar materia mineral con asfalto</t>
  </si>
  <si>
    <r>
      <t xml:space="preserve">Máquinas para montar lámparas, tubos o válvulas eléctricos o electrónicos o lámparas de destello, </t>
    </r>
    <r>
      <rPr>
        <b/>
        <sz val="8"/>
        <color rgb="FF002B54"/>
        <rFont val="Calibri"/>
        <family val="2"/>
        <scheme val="minor"/>
      </rPr>
      <t>...</t>
    </r>
  </si>
  <si>
    <t>Generadores fotovoltaicos de CC, de potencia&gt; 50 W</t>
  </si>
  <si>
    <t>Transformadores de dieléctrico líquido, de potencia &gt; 650 kVA pero &lt;= 10.000 kVA</t>
  </si>
  <si>
    <t>Máquinas para fabricación aditiva por depósito de plásticos o caucho</t>
  </si>
  <si>
    <r>
      <t xml:space="preserve">"Módulos de visualización de pantalla plana, incluso con pantalla táctil incorporada, sin controladores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</si>
  <si>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Aparatos receptores para televisión en color, sin radio receptor incorporado, aparatos reproductodes,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</si>
  <si>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"Hornos eléctricos industriales o de laboratorio (exc. hornos de resistencia ""de calentamiento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</si>
  <si>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"Partes de hornos eléctricos industriales o de laboratorio, incl. los que funcionen por inducción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</si>
  <si>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de máquinas y de aparatos eléctricos para soldar o para proyectar en caliente metal </t>
    </r>
    <r>
      <rPr>
        <b/>
        <sz val="8"/>
        <color rgb="FF002B54"/>
        <rFont val="Calibri"/>
        <family val="2"/>
        <scheme val="minor"/>
      </rPr>
      <t>...</t>
    </r>
  </si>
  <si>
    <t>Aparatos eléctricos para calefacción de espacios o suelos (exc. radiadores de acumulación)</t>
  </si>
  <si>
    <t>Aparatos electrotérmicos para la preparación de café o té, de uso doméstico</t>
  </si>
  <si>
    <t>"Telefonía celular ""teléfonos móviles"" o radiotelefonía"</t>
  </si>
  <si>
    <r>
      <t xml:space="preserve">"Desechos y desechos eléctricos y electrónicos, de los tipos utilizados principalmente para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</si>
  <si>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"Desechos y desechos eléctricos y electrónicos (exc. p​ara la recuperación de metales preciosos,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</si>
  <si>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Locomotoras y locotractores (exc. los de fuente externa de electricidad o de acumuladores eléctricos,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</si>
  <si>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Coches de viajeros, furgones de equipajes, coches correo y demás coches especiales, para vías </t>
    </r>
    <r>
      <rPr>
        <b/>
        <sz val="8"/>
        <color rgb="FF002B54"/>
        <rFont val="Calibri"/>
        <family val="2"/>
        <scheme val="minor"/>
      </rPr>
      <t>...</t>
    </r>
  </si>
  <si>
    <t>Partes de locomotoras o de locotractores, n.c.o.p.</t>
  </si>
  <si>
    <r>
      <t xml:space="preserve">Material fijo de vías férreas o similares; aparatos mecánicos, incluso electromecánicos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</si>
  <si>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"Tractores de carretera para semirremolques, con solo motor de pistón de combustión interna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</si>
  <si>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"Vehículos automóviles para transporte de &gt;= 10 personas, incl. el conductor, con motor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</si>
  <si>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vehículos automóviles para transporte de&gt; = 10 personas, incl. conductor, tanto con motor diesel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</si>
  <si>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"Vehículos automóviles para el transporte de mercancías, con solo motor de émbolo (pistón)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</si>
  <si>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Vehículos automóviles para el transporte de mercancías, con motor de émbolo (pistón) de combustión </t>
    </r>
    <r>
      <rPr>
        <b/>
        <sz val="8"/>
        <color rgb="FF002B54"/>
        <rFont val="Calibri"/>
        <family val="2"/>
        <scheme val="minor"/>
      </rPr>
      <t>...</t>
    </r>
  </si>
  <si>
    <t>Camiones hormigonera</t>
  </si>
  <si>
    <r>
      <t xml:space="preserve">Carretillas automóvil sin dispositivo de elevación de los tipos utilizados para transporte </t>
    </r>
    <r>
      <rPr>
        <b/>
        <sz val="8"/>
        <color rgb="FF002B54"/>
        <rFont val="Calibri"/>
        <family val="2"/>
        <scheme val="minor"/>
      </rPr>
      <t>...</t>
    </r>
  </si>
  <si>
    <t>Pedales y mecanismos de pedal, y sus partes, n.c.o.p.</t>
  </si>
  <si>
    <r>
      <t xml:space="preserve">Aviones y demás aeronaves con motor de peso en vacío&gt; 2.000 kg pero &lt;= 15.000 kg (exc. helicópteros,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</si>
  <si>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de aeronaves y de vehículos espaciales y sus vehículos de lanzamiento y vehículos suborbitales,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</si>
  <si>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Aparatos de entrenamiento de vuelo en tierra y sus partes, n.c.o.p. (exc. los simuladores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</si>
  <si>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Aeronaves no tripuladas, con un peso máximo de despegue&gt; 250 g pero &lt;= 7 kg (exc. el transporte </t>
    </r>
    <r>
      <rPr>
        <b/>
        <sz val="8"/>
        <color rgb="FF002B54"/>
        <rFont val="Calibri"/>
        <family val="2"/>
        <scheme val="minor"/>
      </rPr>
      <t>...</t>
    </r>
  </si>
  <si>
    <t>Lanchas a motor, de eslora &lt;= 7,5 m, para recreo o deporte (exc. ​​Neumáticas y fuera de borda)</t>
  </si>
  <si>
    <t>Embarcaciones a motor, de eslora&gt; 24 m, para recreo o deporte (exc. ​​Fueraborda)</t>
  </si>
  <si>
    <t>Barcos y yates de vela de recreo o deporte, incl. con motor auxiliar</t>
  </si>
  <si>
    <r>
      <t xml:space="preserve">Lanchas fueraborda, de recreo o deporte, y botes de remos y canoas, de eslora &lt;= 7,5 m (exc. </t>
    </r>
    <r>
      <rPr>
        <b/>
        <sz val="8"/>
        <color rgb="FF002B54"/>
        <rFont val="Calibri"/>
        <family val="2"/>
        <scheme val="minor"/>
      </rPr>
      <t>...</t>
    </r>
  </si>
  <si>
    <t>Remolcadores y barcos empujadores</t>
  </si>
  <si>
    <t>Plataformas de perforación o explotación, flotantes o sumergibles</t>
  </si>
  <si>
    <r>
      <t xml:space="preserve">Yunques, fraguas portátiles, las ruedas de mano o pedal-en grano, con bastidor juegos de artículos </t>
    </r>
    <r>
      <rPr>
        <b/>
        <sz val="8"/>
        <color rgb="FF002B54"/>
        <rFont val="Calibri"/>
        <family val="2"/>
        <scheme val="minor"/>
      </rPr>
      <t>...</t>
    </r>
  </si>
  <si>
    <t>Hileras intercambiables de extrudir metal</t>
  </si>
  <si>
    <r>
      <t xml:space="preserve">Partes de navajas y de maquinillas no eléctricas de afeitar, de metal común (exc. hojas de </t>
    </r>
    <r>
      <rPr>
        <b/>
        <sz val="8"/>
        <color rgb="FF002B54"/>
        <rFont val="Calibri"/>
        <family val="2"/>
        <scheme val="minor"/>
      </rPr>
      <t>...</t>
    </r>
  </si>
  <si>
    <t>Candados de metal común</t>
  </si>
  <si>
    <t>Bisagras de cualquier clase, incl. los pernios y demás goznes, de metal común</t>
  </si>
  <si>
    <t>Bombas de vacío</t>
  </si>
  <si>
    <t>Compresores de aire montados en chasis remolcable de ruedas</t>
  </si>
  <si>
    <t>Bombas manuales (exc. las bombas de las subpartidas 8413.11 u 8413.19)</t>
  </si>
  <si>
    <r>
      <t xml:space="preserve">Corchetes, ganchos y anillos para ojetes, de metal común, para prendas de vestir, calzado,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</si>
  <si>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"Varillas recubiertas y alambre ""relleno"" para soldar al soplete, de metal común (exc. alambres </t>
    </r>
    <r>
      <rPr>
        <b/>
        <sz val="8"/>
        <color rgb="FF002B54"/>
        <rFont val="Calibri"/>
        <family val="2"/>
        <scheme val="minor"/>
      </rPr>
      <t>...</t>
    </r>
  </si>
  <si>
    <t>Calderas acuotubulares, con una producción de vapor &gt; 45 t/h</t>
  </si>
  <si>
    <r>
      <t xml:space="preserve">Economizadores, recalentadores, deshollinadores, recuperadores de gas y demás aparatos auxiliares </t>
    </r>
    <r>
      <rPr>
        <b/>
        <sz val="8"/>
        <color rgb="FF002B54"/>
        <rFont val="Calibri"/>
        <family val="2"/>
        <scheme val="minor"/>
      </rPr>
      <t>...</t>
    </r>
  </si>
  <si>
    <t>Turbinas de vapor para la propulsión de barcos</t>
  </si>
  <si>
    <r>
      <t xml:space="preserve">Motores de émbolo (pistón) alternativo y motores rotativos, de encendido por chispa (motores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</si>
  <si>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"Básculas y balanzas para pesada constante, incl. las dedescargar pesos determinados en sacos </t>
    </r>
    <r>
      <rPr>
        <b/>
        <sz val="8"/>
        <color rgb="FF002B54"/>
        <rFont val="Calibri"/>
        <family val="2"/>
        <scheme val="minor"/>
      </rPr>
      <t>...</t>
    </r>
  </si>
  <si>
    <t>Pesas para toda clase de básculas o balanzas; partes de instrumentos o aparatos de pesar, n.c.o.p.</t>
  </si>
  <si>
    <r>
      <t xml:space="preserve">Máquinas y aparatos para la industria azucarera (exc. centrifugadoras, filtros y aparatos de </t>
    </r>
    <r>
      <rPr>
        <b/>
        <sz val="8"/>
        <color rgb="FF002B54"/>
        <rFont val="Calibri"/>
        <family val="2"/>
        <scheme val="minor"/>
      </rPr>
      <t>...</t>
    </r>
  </si>
  <si>
    <t>Cortadoras de césped, con motor, en las que el dispositivo de corte gire en un plano horizontal</t>
  </si>
  <si>
    <r>
      <t xml:space="preserve">Partes de máquinas, de aparatos y de artefactos de cosechar o trillar; partes de cortadoras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</si>
  <si>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y aparatos para la avicultura (exc. clasificadoras de huevos y desplumadoras de la </t>
    </r>
    <r>
      <rPr>
        <b/>
        <sz val="8"/>
        <color rgb="FF002B54"/>
        <rFont val="Calibri"/>
        <family val="2"/>
        <scheme val="minor"/>
      </rPr>
      <t>...</t>
    </r>
  </si>
  <si>
    <t>Gatos hidráulicos (exc. los elevadores fijos para vehículos, de los tipos utilizados en talleres)</t>
  </si>
  <si>
    <t>Puentes, incl. las vigas, rodantes, sobre soporte fijo</t>
  </si>
  <si>
    <t>Carretillas autopropulsadas sin motor eléctrico, con dispositivo de elevación incorporado</t>
  </si>
  <si>
    <t>Niveladoras autopropulsadas</t>
  </si>
  <si>
    <r>
      <t xml:space="preserve">Quitanieves (exc. aparatos montados en vagones para redes ferroviarias o artefactos montados </t>
    </r>
    <r>
      <rPr>
        <b/>
        <sz val="8"/>
        <color rgb="FF002B54"/>
        <rFont val="Calibri"/>
        <family val="2"/>
        <scheme val="minor"/>
      </rPr>
      <t>...</t>
    </r>
  </si>
  <si>
    <t>Máquinas y aparatos para explanar, autopropulsados, n.c.o.p.</t>
  </si>
  <si>
    <r>
      <t xml:space="preserve">Partes de refrigeradores, de congeladores y demás material, máquinas y aparatos para producción </t>
    </r>
    <r>
      <rPr>
        <b/>
        <sz val="8"/>
        <color rgb="FF002B54"/>
        <rFont val="Calibri"/>
        <family val="2"/>
        <scheme val="minor"/>
      </rPr>
      <t>...</t>
    </r>
  </si>
  <si>
    <t>Esterilizadores médicos, quirúrgicos o de laboratorio</t>
  </si>
  <si>
    <t>Calandrias y laminadores (exc. metal o vidrio)</t>
  </si>
  <si>
    <r>
      <t xml:space="preserve">Centrifugadoras, incl. las secadoras centrífugas (exc. para la separación de isótopos, así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</si>
  <si>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De mesa, cocina o artículos de uso doméstico y sus partes, de hierro salvo el hierro fundido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</si>
  <si>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"Aleaciones de cobre, en bruto (exc. a base de cobre-cinc ""latón"", de cobre-estaño ""bronce"", </t>
    </r>
    <r>
      <rPr>
        <b/>
        <sz val="8"/>
        <color rgb="FF002B54"/>
        <rFont val="Calibri"/>
        <family val="2"/>
        <scheme val="minor"/>
      </rPr>
      <t>...</t>
    </r>
  </si>
  <si>
    <t>Aleaciones madre de cobre</t>
  </si>
  <si>
    <r>
      <t xml:space="preserve">"Chapas y tiras, de aleaciones a base de cobre-cinc ""latón"", de espesor &gt; 0,15 mm, sin enrollar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</si>
  <si>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Redes y rejas, de alambre de hierro o acero, soldados en los puntos de cruce (exc. cincados,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</si>
  <si>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"Cadenas de fundición, hierro o acero (exc. cadenas de eslabones articulados, antideslizantes, </t>
    </r>
    <r>
      <rPr>
        <b/>
        <sz val="8"/>
        <color rgb="FF002B54"/>
        <rFont val="Calibri"/>
        <family val="2"/>
        <scheme val="minor"/>
      </rPr>
      <t>...</t>
    </r>
  </si>
  <si>
    <t>Imperdibles y otros alfileres de hierro o acero, nep</t>
  </si>
  <si>
    <r>
      <t xml:space="preserve">Ballestas y sus hojas, de hierro o acero (exc. muelles de relojería y barras de torsión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</si>
  <si>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Vidrio para señalización y elementos de óptica de vidrio (excepto los de la partida 7015),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</si>
  <si>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"Tortas de fibra de vidrio ""tortas textiles"" y hebras de fibra de vidrio cortadas de una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</si>
  <si>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"Napas, colchones, paneles y productos simil. sin tejer, de fibras de vidrio (exc. ""mats"" </t>
    </r>
    <r>
      <rPr>
        <b/>
        <sz val="8"/>
        <color rgb="FF002B54"/>
        <rFont val="Calibri"/>
        <family val="2"/>
        <scheme val="minor"/>
      </rPr>
      <t>...</t>
    </r>
  </si>
  <si>
    <t>Tejidos cerrados, de ligamento tafetán, de hilados de fibra de vidrio, revestidos o estratificados</t>
  </si>
  <si>
    <t>Tejidos abiertos de fibras de vidrio aglomerados químicamente (exc. ​​velos)</t>
  </si>
  <si>
    <t>Diamantes, sintéticas o reconstituidas, en bruto o simplemente aserradas o desbastadas</t>
  </si>
  <si>
    <t>Polvo de diamante, incl. de diamante sintético</t>
  </si>
  <si>
    <t>Desperdicios y desechos, de estaño</t>
  </si>
  <si>
    <t>Polvo de molibdeno</t>
  </si>
  <si>
    <t>Bismuto y sus manufacturas, incluidos los desperdicios y desechos</t>
  </si>
  <si>
    <t>Manufacturas de titanio, n.c.o.p.</t>
  </si>
  <si>
    <t>Circonio en bruto; polvo de circonio</t>
  </si>
  <si>
    <r>
      <t xml:space="preserve">Desperdicios y desechos de circonio, que contengan </t>
    </r>
    <r>
      <rPr>
        <b/>
        <sz val="8"/>
        <color rgb="FF002B54"/>
        <rFont val="Calibri"/>
        <family val="2"/>
        <scheme val="minor"/>
      </rPr>
      <t>...</t>
    </r>
  </si>
  <si>
    <t>Manufacturas de circonio, n.c.o.p.</t>
  </si>
  <si>
    <t>Hafnio y desperdicios, desechos y polvos de hafnio en bruto (exc. ​​Cenizas y residuos)</t>
  </si>
  <si>
    <t>Manufacturas de renio, n.c.o.p.</t>
  </si>
  <si>
    <r>
      <t xml:space="preserve">Cizallas para setos, tijeras de podar y herramientas simil., para usar con las dos manos, con </t>
    </r>
    <r>
      <rPr>
        <b/>
        <sz val="8"/>
        <color rgb="FF002B54"/>
        <rFont val="Calibri"/>
        <family val="2"/>
        <scheme val="minor"/>
      </rPr>
      <t>...</t>
    </r>
  </si>
  <si>
    <t>Hojas de sierra rectas, de metal común, para trabajar metal</t>
  </si>
  <si>
    <t>Limas, escofinas y herramientas simil., de mano, de metal común</t>
  </si>
  <si>
    <t>Cepillos, formones, gubias y herramientas cortantes simil., para trabajar madera</t>
  </si>
  <si>
    <t>"Tubos de aleaciones a base de cobre-níquel ""cuproníquel"" o de cobre-níquel-cinc ""alpaca"""</t>
  </si>
  <si>
    <t>Manufacturas de cobre, moldeadas, estampadas o forjadas pero sin trabajar de otro modo, n.c.o.p.</t>
  </si>
  <si>
    <t>Polvo y escamillas, de níquel</t>
  </si>
  <si>
    <t>Barras y perfiles, de níquel sin alear, n.c.o.p. (exc. artículos aislados, para electricidad)</t>
  </si>
  <si>
    <t>Alambre, de aleaciones de níquel (exc. artículos aislados, para electricidad)</t>
  </si>
  <si>
    <r>
      <t xml:space="preserve">Alambre de aluminio sin alear, cuya mayor dimensión de la sección transversal sea &lt;= 7 mm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</si>
  <si>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Alambre de aleaciones de aluminio, cuya mayor dimensión de la sección transversal sea &gt; 7 mm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</si>
  <si>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"Chapas y tiras, de aleaciones de aluminio, de espesor &gt; 0,2 mm, cuadradas o rectangulares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</si>
  <si>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Chapas y tiras, de aleaciones de aluminio, de espesor &gt; 0,2 mm, de forma distinta a la cuadrada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</si>
  <si>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De mesa, cocina o artículos de uso doméstico y sus partes, y esponjas y estropajos, guantes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</si>
  <si>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Puntas, clavos, grapas apuntadas, tornillos, pernos, tuercas, escarpias roscadas, remaches, </t>
    </r>
    <r>
      <rPr>
        <b/>
        <sz val="8"/>
        <color rgb="FF002B54"/>
        <rFont val="Calibri"/>
        <family val="2"/>
        <scheme val="minor"/>
      </rPr>
      <t>...</t>
    </r>
  </si>
  <si>
    <t>Collages y placas decorativas similares, con antigüedad de más de 100 años (exc. ​​mosaicos)</t>
  </si>
  <si>
    <r>
      <t xml:space="preserve">Sellos (estampillas) de correo, timbres fiscales, marcas postales, sobres primer día, enteros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</si>
  <si>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Colecciones y especímenes para colecciones de zoología, botánica, mineralogía o anatomía 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</si>
  <si>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Especies extintas o en peligro y sus partes, como colecciones o piezas de colección de interés </t>
    </r>
    <r>
      <rPr>
        <b/>
        <sz val="8"/>
        <color rgb="FF002B54"/>
        <rFont val="Calibri"/>
        <family val="2"/>
        <scheme val="minor"/>
      </rPr>
      <t>...</t>
    </r>
  </si>
  <si>
    <t>Construcciones prefabricadas</t>
  </si>
  <si>
    <t>Accesorios de billares y accesorios</t>
  </si>
  <si>
    <t>"Palos de golf ""clubs"" completos"</t>
  </si>
  <si>
    <t>Simuladores y teatros con movimiento</t>
  </si>
  <si>
    <t>Atracciones de parques acuáticos</t>
  </si>
  <si>
    <t>Lápices</t>
  </si>
  <si>
    <t>Tampones, incl. impregnados o con caja</t>
  </si>
  <si>
    <r>
      <t xml:space="preserve">Pulverizadores de tocador, sus monturas y cabezas de monturas (exc. los activados con monedas </t>
    </r>
    <r>
      <rPr>
        <b/>
        <sz val="8"/>
        <color rgb="FF002B54"/>
        <rFont val="Calibri"/>
        <family val="2"/>
        <scheme val="minor"/>
      </rPr>
      <t>...</t>
    </r>
  </si>
  <si>
    <t>Borlas y simil. para aplicación de polvos, otros cosméticos o productos de tocador</t>
  </si>
  <si>
    <r>
      <t xml:space="preserve">Partes de muebles, de madera, n.c.o.p. (exc. asientos o mobiliario médico, quirúrgico, dental </t>
    </r>
    <r>
      <rPr>
        <b/>
        <sz val="8"/>
        <color rgb="FF002B54"/>
        <rFont val="Calibri"/>
        <family val="2"/>
        <scheme val="minor"/>
      </rPr>
      <t>...</t>
    </r>
  </si>
  <si>
    <t>Somieres para armazones de camas (exc. muelles metálicos para asientos)</t>
  </si>
  <si>
    <t>Aparatos eléctricos de alumbrado, n.c.o.p.</t>
  </si>
  <si>
    <t>Partes y accesorios de pianos, n.c.o.p.</t>
  </si>
  <si>
    <r>
      <t xml:space="preserve">Armas largas de caza o tiro deportivo que tengan, por lo menos, un cañón de ánima lisa (exc. </t>
    </r>
    <r>
      <rPr>
        <b/>
        <sz val="8"/>
        <color rgb="FF002B54"/>
        <rFont val="Calibri"/>
        <family val="2"/>
        <scheme val="minor"/>
      </rPr>
      <t>...</t>
    </r>
  </si>
  <si>
    <t>Partes y accesorios de armas de guerra de la partida 9301, n.c.o.p.</t>
  </si>
  <si>
    <r>
      <t xml:space="preserve">Asientos transformables en cama (exc. material de acampada o de jardín, así como muebles para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</si>
  <si>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y accesorios de instrumentos de dibujo, trazado o cálculo e instrumentos manuales de </t>
    </r>
    <r>
      <rPr>
        <b/>
        <sz val="8"/>
        <color rgb="FF002B54"/>
        <rFont val="Calibri"/>
        <family val="2"/>
        <scheme val="minor"/>
      </rPr>
      <t>...</t>
    </r>
  </si>
  <si>
    <t>Electrocardiógrafos</t>
  </si>
  <si>
    <t>Aparatos de diagnóstico de visualización por resonancia magnética</t>
  </si>
  <si>
    <t>Instrumentos y aparatos de oftalmología, n.c.o.p.</t>
  </si>
  <si>
    <t>Fusibles y cortacircuitos de fusible, para una tensión &lt;= 1.000 V</t>
  </si>
  <si>
    <t>"Faros o unidades ""sellados"""</t>
  </si>
  <si>
    <r>
      <t xml:space="preserve">Lámparas y tubos de descarga (exc. lámparas y tubos fluorescentes de cátodo caliente, así como </t>
    </r>
    <r>
      <rPr>
        <b/>
        <sz val="8"/>
        <color rgb="FF002B54"/>
        <rFont val="Calibri"/>
        <family val="2"/>
        <scheme val="minor"/>
      </rPr>
      <t>...</t>
    </r>
  </si>
  <si>
    <t>Magnetrones</t>
  </si>
  <si>
    <t>Células fotovoltaicas ensambladas en módulos o formadas en paneles</t>
  </si>
  <si>
    <t>Barcos y demás artefactos flotantes para desguace</t>
  </si>
  <si>
    <t>"Lentes de vidrio para para gafas ""anteojos"""</t>
  </si>
  <si>
    <t>"Partes de monturas ""armazones"" de gafas ""anteojos"" o de artículos simil., n.c.o.p."</t>
  </si>
  <si>
    <r>
      <t xml:space="preserve">Partes y accesorios, incl. las armazones, de binoculares, prismáticos, catalejos, anteojos </t>
    </r>
    <r>
      <rPr>
        <b/>
        <sz val="8"/>
        <color rgb="FF002B54"/>
        <rFont val="Calibri"/>
        <family val="2"/>
        <scheme val="minor"/>
      </rPr>
      <t>...</t>
    </r>
  </si>
  <si>
    <t>Camaras de un uso preparados para imprimir cilindros y platos</t>
  </si>
  <si>
    <t>"Aparatos de tubo de descarga para producir destellos para fotografía ""flashes electrónicos"""</t>
  </si>
  <si>
    <r>
      <t xml:space="preserve">"Instrumentos, máquinas y aparatos ópticos, para control de obleas ""wafers"" o dispositivos, </t>
    </r>
    <r>
      <rPr>
        <b/>
        <sz val="8"/>
        <color rgb="FF002B54"/>
        <rFont val="Calibri"/>
        <family val="2"/>
        <scheme val="minor"/>
      </rPr>
      <t>...</t>
    </r>
  </si>
  <si>
    <t>Instrumentos de dibujo, trazado o cálculo (exc. mesas y máquinas de dibujar, así como calculadoras)</t>
  </si>
  <si>
    <t>Estimuladores cardíacos (exc. sus partes y accesorios)</t>
  </si>
  <si>
    <r>
      <t xml:space="preserve">Dispositivos generadores de rayos X, generadores de tensión, consolas de mando, mesas, sillones,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</si>
  <si>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y accesorios de instrumentos y aparatos para medida o control del caudal, nivel, presión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</si>
  <si>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"Relojes de pulsera de metal precioso o chapado de metal precioso ""plaqué"", automáticos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</si>
  <si>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"Relojes de pulsera, eléctricos, incl. con contador de tiempo incorporado, con indicador optoelectrónico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</si>
  <si>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"Relojes de pulsera manuales, incl. con contador de tiempo incorporado (exc. con caja de metal </t>
    </r>
    <r>
      <rPr>
        <b/>
        <sz val="8"/>
        <color rgb="FF002B54"/>
        <rFont val="Calibri"/>
        <family val="2"/>
        <scheme val="minor"/>
      </rPr>
      <t>...</t>
    </r>
  </si>
  <si>
    <t>Despertadores eléctricos</t>
  </si>
  <si>
    <r>
      <t xml:space="preserve">Pequeños mecanismos de relojería completos y montados, eléctricos, con indicador optoelectrónico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</si>
  <si>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Pequeños mecanismos de relojería completos y montados, eléctricos, con indicador combinado </t>
    </r>
    <r>
      <rPr>
        <b/>
        <sz val="8"/>
        <color rgb="FF002B54"/>
        <rFont val="Calibri"/>
        <family val="2"/>
        <scheme val="minor"/>
      </rPr>
      <t>...</t>
    </r>
  </si>
  <si>
    <t>Pequeños mecanismos de relojería completos y montados, manuales</t>
  </si>
  <si>
    <t>"Muelles ""resortes"", incl. las espirales"</t>
  </si>
  <si>
    <r>
      <t xml:space="preserve">Lámparas y demás aparatos eléctricos de alumbrado, para colgar o fijar al techo o a la pared </t>
    </r>
    <r>
      <rPr>
        <b/>
        <sz val="8"/>
        <color rgb="FF002B54"/>
        <rFont val="Calibri"/>
        <family val="2"/>
        <scheme val="minor"/>
      </rPr>
      <t>...</t>
    </r>
  </si>
  <si>
    <t>Marfil trabajado y sus manufacturas, n.c.o.p.</t>
  </si>
  <si>
    <r>
      <t xml:space="preserve">Pinceles y plumeros; cabezas preparadas para artículos de cepillería; rasquetas de caucho o </t>
    </r>
    <r>
      <rPr>
        <b/>
        <sz val="8"/>
        <color rgb="FF002B54"/>
        <rFont val="Calibri"/>
        <family val="2"/>
        <scheme val="minor"/>
      </rPr>
      <t>...</t>
    </r>
  </si>
  <si>
    <t>"Cierres de cremallera ""cierres relámpago"" con dientes de metal común"</t>
  </si>
  <si>
    <r>
      <t xml:space="preserve">Partes de bolígrafos, rotuladores y marcadores con punta de fieltro u otra punta porosa estiletes </t>
    </r>
    <r>
      <rPr>
        <b/>
        <sz val="8"/>
        <color rgb="FF002B54"/>
        <rFont val="Calibri"/>
        <family val="2"/>
        <scheme val="minor"/>
      </rPr>
      <t>...</t>
    </r>
  </si>
  <si>
    <t>Pizarras y tableros para escribir o dibujar, incluso enmarcados</t>
  </si>
  <si>
    <t>Pelotas de golf</t>
  </si>
  <si>
    <r>
      <t xml:space="preserve">"Raquetas de ""badminton"" o simil., incl. sin cordaje (exc. raquetas de tenis y de tenis de </t>
    </r>
    <r>
      <rPr>
        <b/>
        <sz val="8"/>
        <color rgb="FF002B54"/>
        <rFont val="Calibri"/>
        <family val="2"/>
        <scheme val="minor"/>
      </rPr>
      <t>...</t>
    </r>
  </si>
  <si>
    <t>Balones y pelotas de deporte</t>
  </si>
  <si>
    <r>
      <t xml:space="preserve">Balones y pelotas de deporte (exc. los inflables, asi como las pelotas de golf, tenis y tenis </t>
    </r>
    <r>
      <rPr>
        <b/>
        <sz val="8"/>
        <color rgb="FF002B54"/>
        <rFont val="Calibri"/>
        <family val="2"/>
        <scheme val="minor"/>
      </rPr>
      <t>...</t>
    </r>
  </si>
  <si>
    <t>Corbatas y lazos simil., de fibras sintéticas o artificiales (exc. de punto)</t>
  </si>
  <si>
    <r>
      <t xml:space="preserve">Pieles y demás partes de ave con sus plumas o plumón; plumas, partes de plumas, plumón y artículos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</si>
  <si>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Pelucas, barbas, cejas, pestañas, mechones y artículos análogos, de cabello, así como manufacturas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</si>
  <si>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Toldos de cualquier clase, de materia textil (exc. de algodón o de fibras sintéticas, así como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</si>
  <si>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Calzado con suela de cuero natural y parte superior de tiras de cuero natural que pasen por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</si>
  <si>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Trajes sastre, de lana o pelo fino, para mujeres o niñas (exc. de punto, así como monos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</si>
  <si>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"Anoraks, cazadoras y artículos simil., de lana o pelo fino, para mujeres o niñas (exc.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</si>
  <si>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"Anoraks, cazadoras y artículos simil., de fibras sintéticas o artificiales, para mujeres 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</si>
  <si>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"Conjuntos de abrigo para entrenamiento o deporte ""chandales"", de punto, de materia textil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</si>
  <si>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Cintas de materia textil distintas del algodón o de las fibras sintéticas o artificiales, tejidas,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</si>
  <si>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Napas tramadas para neumáticos fabricadas con hilados de alta tenacidad de nailon o demás poliamidas,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</si>
  <si>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de filamentos de rayón viscosa, incl. los monofilamentos de título &lt; 67 decitex, retorcidos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</si>
  <si>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Paja artificial, tiras y formas simil., de materia textil sintética, de anchura aparente &lt;=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</si>
  <si>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hilados con un contenido de filamentos de poliésteres texturado &gt;= 85% en peso, </t>
    </r>
    <r>
      <rPr>
        <b/>
        <sz val="8"/>
        <color rgb="FF002B54"/>
        <rFont val="Calibri"/>
        <family val="2"/>
        <scheme val="minor"/>
      </rPr>
      <t>...</t>
    </r>
  </si>
  <si>
    <t>Cables de filamentos de polipropileno, de conformidad con la nota 1 del capítulo 55</t>
  </si>
  <si>
    <r>
      <t xml:space="preserve">Fibras discontinuas de poliésteres, cardadas, peinadas o transformadas de otro modo para la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</si>
  <si>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con un contenido de fibras discontinuas acrílicas o modacrílicas &gt;= 85% en peso, retorcidos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</si>
  <si>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con un contenido de fibras sintéticas discontinuas &gt;= 85% en peso, retorcidos o cableados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</si>
  <si>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con un contenido de fibras artificiales discontinuas &gt;= 85% en peso, retorcidos o cableados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</si>
  <si>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con un contenido de fibras artificiales discontinuas &gt;= 85% en peso, fabricados con </t>
    </r>
    <r>
      <rPr>
        <b/>
        <sz val="8"/>
        <color rgb="FF002B54"/>
        <rFont val="Calibri"/>
        <family val="2"/>
        <scheme val="minor"/>
      </rPr>
      <t>...</t>
    </r>
  </si>
  <si>
    <t>Productos intermedios de acero inoxidable (exc. de sección transversal rectangular)</t>
  </si>
  <si>
    <t>Alambre de acero inoxidable</t>
  </si>
  <si>
    <r>
      <t xml:space="preserve">"Productos planos de aceros aleados, distinto del acero inoxidable, de anchura &gt;= 600 mm, simplemente </t>
    </r>
    <r>
      <rPr>
        <b/>
        <sz val="8"/>
        <color rgb="FF002B54"/>
        <rFont val="Calibri"/>
        <family val="2"/>
        <scheme val="minor"/>
      </rPr>
      <t>...</t>
    </r>
  </si>
  <si>
    <t>Tubos y perfiles huecos, de fundición</t>
  </si>
  <si>
    <r>
      <t xml:space="preserve">Tubos sin soldadura, de hierro o acero, de los tipos utilizados en oleoductos o gasoductos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</si>
  <si>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Tubos de los tipos utilizados en oleoductos o gasoductos, de hierro o acero, soldados longitudinalmente,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</si>
  <si>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Tubos y perfiles huecos, soldados, de sección circular, de acero inoxidable (exc. tubos de </t>
    </r>
    <r>
      <rPr>
        <b/>
        <sz val="8"/>
        <color rgb="FF002B54"/>
        <rFont val="Calibri"/>
        <family val="2"/>
        <scheme val="minor"/>
      </rPr>
      <t>...</t>
    </r>
  </si>
  <si>
    <t>Tubos y perfiles huecos, soldados, de sección cuadrada o rectangular</t>
  </si>
  <si>
    <t>Fundición en bruto aleada y fundición especular, en lingotes, bloques o demás formas primarias</t>
  </si>
  <si>
    <t>Ferrotitanio y ferro-sílico-titanio</t>
  </si>
  <si>
    <t>Ferroniobio</t>
  </si>
  <si>
    <t>Oro, incl. el oro platinado, semilabrado, para uso no monetario</t>
  </si>
  <si>
    <t>Paladio, en bruto o en polvo</t>
  </si>
  <si>
    <t>Iridio, osmio y rutenio, en bruto o en polvo</t>
  </si>
  <si>
    <r>
      <t xml:space="preserve">Depósitos, barriles, tambores, bidones y recipientes simil., de fundición, hierro o acero, </t>
    </r>
    <r>
      <rPr>
        <b/>
        <sz val="8"/>
        <color rgb="FF002B54"/>
        <rFont val="Calibri"/>
        <family val="2"/>
        <scheme val="minor"/>
      </rPr>
      <t>...</t>
    </r>
  </si>
  <si>
    <t>Eslingas y artículos simil., de hierro o acero (exc. los artículos aislados para electricidad)</t>
  </si>
  <si>
    <t>Cadenas antideslizantes para vehículos, de fundición, hierro o acero</t>
  </si>
  <si>
    <t>Anclas, rezones y sus partes, de fundición, hierro o acero</t>
  </si>
  <si>
    <r>
      <t xml:space="preserve">Generadores y distribuidores de aire caliente, incl. los distribuidores que puedan funcionar </t>
    </r>
    <r>
      <rPr>
        <b/>
        <sz val="8"/>
        <color rgb="FF002B54"/>
        <rFont val="Calibri"/>
        <family val="2"/>
        <scheme val="minor"/>
      </rPr>
      <t>...</t>
    </r>
  </si>
  <si>
    <t>Cobre refinado en forma de tochos</t>
  </si>
  <si>
    <t>Tejidos de fibras de carbono para usos no eléctricos</t>
  </si>
  <si>
    <r>
      <t xml:space="preserve">Retortas, crisoles, muflas, toberas, tapones, soportes, copelas, tubos, fundas, varillas y </t>
    </r>
    <r>
      <rPr>
        <b/>
        <sz val="8"/>
        <color rgb="FF002B54"/>
        <rFont val="Calibri"/>
        <family val="2"/>
        <scheme val="minor"/>
      </rPr>
      <t>...</t>
    </r>
  </si>
  <si>
    <t>Tejas</t>
  </si>
  <si>
    <r>
      <t xml:space="preserve">Plaquitas, cubos, dados u artículos simil., de cerámica, para mosaicos, barnizados o esmaltados,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</si>
  <si>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Placas u hojas de vidrio colado o laminado, armadas, incl. con capa absorbente, reflectante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</si>
  <si>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Vidrio templado (exc. de dimensiones y formatos que permitan su empleo en automóviles, aeronaves,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</si>
  <si>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Artículos de vitrocerámica para servicio de mesa, de cocina, de tocador, para oficina, de adorno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</si>
  <si>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Artículos de vidrio, para servicio de mesa o de cocina, con un coeficiente de dilatación lineal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</si>
  <si>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"Tejidos, incl. cintas, de filamentos de fibra de vidrio, de anchura &gt; 30 cm, de ligamento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</si>
  <si>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"Tejidos, incl. cintas, de fibra de vidrio, de anchura &gt; 30 cm (exc. tejidos de filamentos </t>
    </r>
    <r>
      <rPr>
        <b/>
        <sz val="8"/>
        <color rgb="FF002B54"/>
        <rFont val="Calibri"/>
        <family val="2"/>
        <scheme val="minor"/>
      </rPr>
      <t>...</t>
    </r>
  </si>
  <si>
    <t>Tejidos abiertos de fibras de vidrio, de ancho &lt;= 30 cm</t>
  </si>
  <si>
    <t>Diamantes, sin clasificar</t>
  </si>
  <si>
    <t>Diamantes industriales, en bruto o simplemente aserrados, exfoliados o desbastados</t>
  </si>
  <si>
    <t>Diamantes, en bruto o simplemente aserrados, exfoliados o desbastados (exc. diamantes industriales)</t>
  </si>
  <si>
    <r>
      <t xml:space="preserve">Diamantes, sintéticas o reconstituidas, trabajadas, incl. clasificadas, pero sin ensartar,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</si>
  <si>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"Polvo, de fundición en bruto, de fundición especular, de hierro o acero sin alear (exc. polvo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</si>
  <si>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Barras de hierro o acero sin alear, obtenidas o acabadas en frío y trabajadas u obtenidas en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</si>
  <si>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Perfiles en T, de hierro o acero sin alear, simplemente laminados o extrudidos en caliente,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</si>
  <si>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Perfiles en U, de hierro o acero sin alear, simplemente laminados o extrudidos en caliente,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</si>
  <si>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Perfiles de hierro o acero sin alear, simplemente laminados o extrudidos en caliente (exc. </t>
    </r>
    <r>
      <rPr>
        <b/>
        <sz val="8"/>
        <color rgb="FF002B54"/>
        <rFont val="Calibri"/>
        <family val="2"/>
        <scheme val="minor"/>
      </rPr>
      <t>...</t>
    </r>
  </si>
  <si>
    <t>Perfiles de hierro o acero sin alear - Los demás -- Los demás</t>
  </si>
  <si>
    <t>Alambre de hierro o acero sin alear, enrollado, sin revestir, incl. pulido (exc. alambrón)</t>
  </si>
  <si>
    <r>
      <t xml:space="preserve">"Cuerdas de alumbrado de los tipos utilizados para árboles de Navidad, exclusivamente para </t>
    </r>
    <r>
      <rPr>
        <b/>
        <sz val="8"/>
        <color rgb="FF002B54"/>
        <rFont val="Calibri"/>
        <family val="2"/>
        <scheme val="minor"/>
      </rPr>
      <t>...</t>
    </r>
  </si>
  <si>
    <t>Anuncios, letreros y placas indicadoras luminosos y artículos simil., con fuente de luz inseparable</t>
  </si>
  <si>
    <r>
      <t xml:space="preserve">Rótulos luminosos, placas de identificación luminosas y similares, con una fuente de luz fija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</si>
  <si>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"Relojes de bolsillo y relojes simil., incl. los contadores de tiempo de los mismos tipos,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</si>
  <si>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"Relojes de pulsera, eléctricos, incl. con contador de tiempo incorporado, con indicador combinado </t>
    </r>
    <r>
      <rPr>
        <b/>
        <sz val="8"/>
        <color rgb="FF002B54"/>
        <rFont val="Calibri"/>
        <family val="2"/>
        <scheme val="minor"/>
      </rPr>
      <t>...</t>
    </r>
  </si>
  <si>
    <t>Pequeños mecanismos completos y montados</t>
  </si>
  <si>
    <t>Partes de aparatos de relojería, n.c.o.p.</t>
  </si>
  <si>
    <t>Cuerdas armónicas</t>
  </si>
  <si>
    <r>
      <t xml:space="preserve">Cartuchos y sus partes para escopetas y rifles con cañón de ánima rayada, así como para revólveres </t>
    </r>
    <r>
      <rPr>
        <b/>
        <sz val="8"/>
        <color rgb="FF002B54"/>
        <rFont val="Calibri"/>
        <family val="2"/>
        <scheme val="minor"/>
      </rPr>
      <t>...</t>
    </r>
  </si>
  <si>
    <t>Partes y accesorios de contadores de gas, líquido o electricidad, n.c.o.p.</t>
  </si>
  <si>
    <r>
      <t xml:space="preserve">Instrumentos y aparatos de medidas o revisión de voltaje corriente, resistencia o poder electrico, </t>
    </r>
    <r>
      <rPr>
        <b/>
        <sz val="8"/>
        <color rgb="FF002B54"/>
        <rFont val="Calibri"/>
        <family val="2"/>
        <scheme val="minor"/>
      </rPr>
      <t>...</t>
    </r>
  </si>
  <si>
    <t>Brújulas, incl. los compases de navegación</t>
  </si>
  <si>
    <t>Artículos y aparatos de ortopedia o para fracturas</t>
  </si>
  <si>
    <t>Artículos y aparatos de prótesis dental (exc. dientes)</t>
  </si>
  <si>
    <t>Termómetros de líquido con lectura directa, sin combinar con otros instrumentos</t>
  </si>
  <si>
    <t>Instrumentos y aparatos para medida o control de presión de líquidos o gases (exc. reguladores)</t>
  </si>
  <si>
    <t>Partes de circuitos integrados y de microestructuras electrónicas, n.c.o.p.</t>
  </si>
  <si>
    <t>Electrodos de grafito u otros carbonos, para usos eléctricos</t>
  </si>
  <si>
    <t>Escobillas de carbón, para usos eléctricos</t>
  </si>
  <si>
    <t>Aisladores eléctricos (exc. de vidrio y de cerámica, así como las piezas aislantes)</t>
  </si>
  <si>
    <r>
      <t xml:space="preserve">Automotores para vías férreas y tranvías autopropulsados, de fuente externa de electricidad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</si>
  <si>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"Vagones de descarga automática, sobre carriles ""rieles"" (exc. vagones cisterna y simil.,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</si>
  <si>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"Vagones para transporte de mercancías, sobre carriles ""rieles"", abiertos, con pared fija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</si>
  <si>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"Vehículos automóviles para transporte de &gt;= 10 personas, incl. el conductor, con motor que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</si>
  <si>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Vehículos automóviles para el transporte de mercancías, con solo motor de émbolo (pistón)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</si>
  <si>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"Vehículos automóviles para el transporte de mercancías, tanto con motor de émbolo (pistón)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</si>
  <si>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"Silenciadores y tubos ""caños"" de escape de tractores, vehículos automóviles para transporte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</si>
  <si>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Volantes, columnas y cajas, de dirección, para tractores, vehículos automóviles para transporte </t>
    </r>
    <r>
      <rPr>
        <b/>
        <sz val="8"/>
        <color rgb="FF002B54"/>
        <rFont val="Calibri"/>
        <family val="2"/>
        <scheme val="minor"/>
      </rPr>
      <t>...</t>
    </r>
  </si>
  <si>
    <t>Tanques y demás vehículos automóviles blindados de combate, incluso con su armamento; sus partes</t>
  </si>
  <si>
    <t>Coches, sillas y vehículos similares para transporte de niños, y sus partes</t>
  </si>
  <si>
    <t>Partes de remolques y semirremolques y de otros vehículos no automóviles, n.c.o.p.</t>
  </si>
  <si>
    <t>Aeronave no tripulada, solo para vuelo teledirigido, con peso máximo de despegue &lt;= 250 g</t>
  </si>
  <si>
    <r>
      <t xml:space="preserve">Aeronaves no tripuladas, con un peso máximo de despegue&gt; 150 kg (exc. para transporte de pasajeros </t>
    </r>
    <r>
      <rPr>
        <b/>
        <sz val="8"/>
        <color rgb="FF002B54"/>
        <rFont val="Calibri"/>
        <family val="2"/>
        <scheme val="minor"/>
      </rPr>
      <t>...</t>
    </r>
  </si>
  <si>
    <t>Lentes de contacto</t>
  </si>
  <si>
    <t>Binoculares, incl. los prismáticos</t>
  </si>
  <si>
    <r>
      <t xml:space="preserve">"Aparatos y material para revelado automático de película fotográfica, película cinematográfica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</si>
  <si>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de calentadores eléctricos de agua de calentamiento instantáneo o acumulación y calentadores </t>
    </r>
    <r>
      <rPr>
        <b/>
        <sz val="8"/>
        <color rgb="FF002B54"/>
        <rFont val="Calibri"/>
        <family val="2"/>
        <scheme val="minor"/>
      </rPr>
      <t>...</t>
    </r>
  </si>
  <si>
    <t>Aparatos de transmisión o recepción de voz, imagenes y otros datos</t>
  </si>
  <si>
    <r>
      <t xml:space="preserve">Antenas y reflectores de antena de todo tipo, de aparatos telefónicos, teléfonos para redes </t>
    </r>
    <r>
      <rPr>
        <b/>
        <sz val="8"/>
        <color rgb="FF002B54"/>
        <rFont val="Calibri"/>
        <family val="2"/>
        <scheme val="minor"/>
      </rPr>
      <t>...</t>
    </r>
  </si>
  <si>
    <t>"Cajas acústicas con un altavoz ""altoparlante"" montado en su caja"</t>
  </si>
  <si>
    <t>Equipos eléctricos para amplificación de sonido</t>
  </si>
  <si>
    <r>
      <t xml:space="preserve">Aparatos magneticos para grabación de sonidos o otros fonemas (exc. targetas incorporadas y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</si>
  <si>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Medios semiconductores, sin grabar, para grabaciones de fenómenos distintos del sonido (exc. </t>
    </r>
    <r>
      <rPr>
        <b/>
        <sz val="8"/>
        <color rgb="FF002B54"/>
        <rFont val="Calibri"/>
        <family val="2"/>
        <scheme val="minor"/>
      </rPr>
      <t>...</t>
    </r>
  </si>
  <si>
    <t>Aparatos emisores de radiodifusión o televisión, sin receptor incorporado</t>
  </si>
  <si>
    <r>
      <t xml:space="preserve">Cámaras de televisión, cámaras fotográficas digitales y videocámaras, endurecidas o tolerantes </t>
    </r>
    <r>
      <rPr>
        <b/>
        <sz val="8"/>
        <color rgb="FF002B54"/>
        <rFont val="Calibri"/>
        <family val="2"/>
        <scheme val="minor"/>
      </rPr>
      <t>...</t>
    </r>
  </si>
  <si>
    <t>Pilas y baterías de pilas, de dióxido de manganeso (exc. inservibles)</t>
  </si>
  <si>
    <t>Pilas y baterías de pilas, de cinc-aire (exc. inservibles)</t>
  </si>
  <si>
    <r>
      <t xml:space="preserve">Trituradoras y mezcladoras de alimentos, así como exprimidoras de frutas y de verduras, con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</si>
  <si>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Aparatos de alumbrado o señalización visual, eléctricos, de los tipos utilizados en bicicletas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</si>
  <si>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de luces o avisadores electricos, limpiaparabrisas, dispositivos antivaho y desempañadores </t>
    </r>
    <r>
      <rPr>
        <b/>
        <sz val="8"/>
        <color rgb="FF002B54"/>
        <rFont val="Calibri"/>
        <family val="2"/>
        <scheme val="minor"/>
      </rPr>
      <t>...</t>
    </r>
  </si>
  <si>
    <t>Secadores para el cabello, eléctricos</t>
  </si>
  <si>
    <t>"Grupos electrógenos con motor de émbolo ""pistón"" de encendido por chispa ""motor de explosión"""</t>
  </si>
  <si>
    <t>"Balastos ""reactancias"" para lámparas o tubos de descarga"</t>
  </si>
  <si>
    <r>
      <t xml:space="preserve">"Radiocasetes de bolsillo ""dimensiones &lt;= 170 mm x 100 mm x 45 mm"", con amplificador incorporado,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</si>
  <si>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Proyectores capaces de conectar directamente con y diseñados para su uso con una máquina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</si>
  <si>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"Condensadores fijos concebidos para redes eléctricas de 50/60 Hz, para una potencia reactiva </t>
    </r>
    <r>
      <rPr>
        <b/>
        <sz val="8"/>
        <color rgb="FF002B54"/>
        <rFont val="Calibri"/>
        <family val="2"/>
        <scheme val="minor"/>
      </rPr>
      <t>...</t>
    </r>
  </si>
  <si>
    <t>Condensadores con dieléctrico de cerámica, de una sola capa (exc. condensadores de potencia)</t>
  </si>
  <si>
    <t>Condensadores con dieléctrico de papel o de plástico (exc. condensadores de potencia)</t>
  </si>
  <si>
    <r>
      <t xml:space="preserve">Resistencias variables bobinadas, incl. los reóstatos y los potenciómetros, de potencia &gt; 20 </t>
    </r>
    <r>
      <rPr>
        <b/>
        <sz val="8"/>
        <color rgb="FF002B54"/>
        <rFont val="Calibri"/>
        <family val="2"/>
        <scheme val="minor"/>
      </rPr>
      <t>...</t>
    </r>
  </si>
  <si>
    <t>Circuitos impresos</t>
  </si>
  <si>
    <t>Disyuntores, para una tensión &lt;= 1.000 V</t>
  </si>
  <si>
    <t>Portalámparas, para una tensión &lt;= 1.000 V</t>
  </si>
  <si>
    <t>Conectores para fibras opticas, o cables</t>
  </si>
  <si>
    <t>Lámparas de vapor de mercurio o sodio; lámparas de halogenuro metálico</t>
  </si>
  <si>
    <t>Lámparas de arco</t>
  </si>
  <si>
    <r>
      <t xml:space="preserve">Partes de lámparas eléctricas de incandescencia o de descarga, unidades de haz sellado, lámparas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</si>
  <si>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Lámparas, tubos y válvulas electrónicos (exc. tubos receptores o amplificadores, tubos para </t>
    </r>
    <r>
      <rPr>
        <b/>
        <sz val="8"/>
        <color rgb="FF002B54"/>
        <rFont val="Calibri"/>
        <family val="2"/>
        <scheme val="minor"/>
      </rPr>
      <t>...</t>
    </r>
  </si>
  <si>
    <t>Transistores con una capacidad de disipación &gt;= 1 W (distintos de los fototransistores)</t>
  </si>
  <si>
    <t>Circuitos electrónicos integrados con memoria</t>
  </si>
  <si>
    <t>Sopletes manuales para soldar</t>
  </si>
  <si>
    <t>Máquinas y aparatos de gas, para soldar o para temple superficial (exc. sopletes manuales)</t>
  </si>
  <si>
    <r>
      <t xml:space="preserve">Máquinas de escribir, excepto las impresoras de la partida 8443; máquinas para tratamiento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</si>
  <si>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Copiadoras hectográficas, incl. los mimeógrafos (exc. máquinas para imprimir, así como los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</si>
  <si>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de aglomerar, conformar o moldear combustibles minerales sólidos, pastas cerámicas,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</si>
  <si>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Instrumentos e aparatos de pesar, con capacidad &lt;= 30 kg (exc. balanzas sensibles a un peso </t>
    </r>
    <r>
      <rPr>
        <b/>
        <sz val="8"/>
        <color rgb="FF002B54"/>
        <rFont val="Calibri"/>
        <family val="2"/>
        <scheme val="minor"/>
      </rPr>
      <t>...</t>
    </r>
  </si>
  <si>
    <t>Grúas móviles y carretillas grúa (exc. sobre neumáticos y carretillas puente)</t>
  </si>
  <si>
    <r>
      <t xml:space="preserve">Grúas y aparatos de elevación sobre cable aéreo y demás grúas (exc. puentes rodantes, grúas </t>
    </r>
    <r>
      <rPr>
        <b/>
        <sz val="8"/>
        <color rgb="FF002B54"/>
        <rFont val="Calibri"/>
        <family val="2"/>
        <scheme val="minor"/>
      </rPr>
      <t>...</t>
    </r>
  </si>
  <si>
    <t>Palas mecánicas, autopropulsadas, cuya superestructura pueda girar 360°</t>
  </si>
  <si>
    <r>
      <t xml:space="preserve">Máquinas y aparatos para preparar o elaborar tabaco (exc. aparatos de secado y de calentamiento, </t>
    </r>
    <r>
      <rPr>
        <b/>
        <sz val="8"/>
        <color rgb="FF002B54"/>
        <rFont val="Calibri"/>
        <family val="2"/>
        <scheme val="minor"/>
      </rPr>
      <t>...</t>
    </r>
  </si>
  <si>
    <t>Aparatos de evaporación para refrigerar el aire</t>
  </si>
  <si>
    <r>
      <t xml:space="preserve">"Aparatos de filtrar o depurar líquidos (exc. los aparatos para filtrar o depurar agua y bebidas </t>
    </r>
    <r>
      <rPr>
        <b/>
        <sz val="8"/>
        <color rgb="FF002B54"/>
        <rFont val="Calibri"/>
        <family val="2"/>
        <scheme val="minor"/>
      </rPr>
      <t>...</t>
    </r>
  </si>
  <si>
    <t>Modelos para moldes (exc. de grafito u otros carbonos, de materia cerámica o de vidrio)</t>
  </si>
  <si>
    <r>
      <t xml:space="preserve">Modelos para metal o carburos metálicos, para el moldeo por inyección o compresión (exc. de </t>
    </r>
    <r>
      <rPr>
        <b/>
        <sz val="8"/>
        <color rgb="FF002B54"/>
        <rFont val="Calibri"/>
        <family val="2"/>
        <scheme val="minor"/>
      </rPr>
      <t>...</t>
    </r>
  </si>
  <si>
    <t>Moldes para caucho o plástico (exc. para moldeo por inyección o compresión)</t>
  </si>
  <si>
    <r>
      <t xml:space="preserve">Máquinas y aparatos para la manufactura de mecánismos semiconductores o circuitos electrónicos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</si>
  <si>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Motores de CC y generadores de CC de potencia&gt; 75 kW pero &lt;= 375 kW (exc. los generadores </t>
    </r>
    <r>
      <rPr>
        <b/>
        <sz val="8"/>
        <color rgb="FF002B54"/>
        <rFont val="Calibri"/>
        <family val="2"/>
        <scheme val="minor"/>
      </rPr>
      <t>...</t>
    </r>
  </si>
  <si>
    <t>Motores de corriente alterna, monofásicos, de potencia &gt; 37,5 W</t>
  </si>
  <si>
    <t>Arados agrícolas, hortícolas o silvícolas</t>
  </si>
  <si>
    <r>
      <t xml:space="preserve">"Gradas ""rastras"", escarificadores, cultivadores, estirpadores, azadas, rotativas ""rotocultores"", </t>
    </r>
    <r>
      <rPr>
        <b/>
        <sz val="8"/>
        <color rgb="FF002B54"/>
        <rFont val="Calibri"/>
        <family val="2"/>
        <scheme val="minor"/>
      </rPr>
      <t>...</t>
    </r>
  </si>
  <si>
    <t>La siembra directa sembradoras directas, jardineras y transplantadoras</t>
  </si>
  <si>
    <t>esparcidores de estiércol (excl. pulverizadores)</t>
  </si>
  <si>
    <t>Máquinas y aparatos de henificar (exc. guadañadoras)</t>
  </si>
  <si>
    <r>
      <t xml:space="preserve">Partes de prensas, de estrujadoras y de máquinas y de aparatos análogos para la producción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</si>
  <si>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de máquinas y de aparatos para la preparación o fabricación industrial de alimentos </t>
    </r>
    <r>
      <rPr>
        <b/>
        <sz val="8"/>
        <color rgb="FF002B54"/>
        <rFont val="Calibri"/>
        <family val="2"/>
        <scheme val="minor"/>
      </rPr>
      <t>...</t>
    </r>
  </si>
  <si>
    <t>Máquinas y aparatos para el acabado de papel o cartón (exc. calandrias)</t>
  </si>
  <si>
    <r>
      <t xml:space="preserve">Máquinas cuyas plataformas tengan una funcion de impresión, copia o transmisión, capaz de conectar </t>
    </r>
    <r>
      <rPr>
        <b/>
        <sz val="8"/>
        <color rgb="FF002B54"/>
        <rFont val="Calibri"/>
        <family val="2"/>
        <scheme val="minor"/>
      </rPr>
      <t>...</t>
    </r>
  </si>
  <si>
    <t>Telares para tejidos de anchura &gt; 30 cm, de lanzadera, de motor</t>
  </si>
  <si>
    <r>
      <t xml:space="preserve">Máquinas y aparatos para la fabricación o acabado del fieltro o tela sin tejer, en pieza 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</si>
  <si>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para lavar ropa, con secadora centrífuga incorporada (exc. máquinas totalmente au </t>
    </r>
    <r>
      <rPr>
        <b/>
        <sz val="8"/>
        <color rgb="FF002B54"/>
        <rFont val="Calibri"/>
        <family val="2"/>
        <scheme val="minor"/>
      </rPr>
      <t>...</t>
    </r>
  </si>
  <si>
    <t>Agujas para máquinas de</t>
  </si>
  <si>
    <t>Máquinas de corte a través de chorro de agua</t>
  </si>
  <si>
    <t>Tornos horizontales que operen por arranque de metal sin control numérico</t>
  </si>
  <si>
    <t>Máquinas de fresar de consola, para metal, de control numérico</t>
  </si>
  <si>
    <r>
      <t xml:space="preserve">Máquinas de fresar para metal, de control no numérico (exc. unidades de mecanizado de corredera,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</si>
  <si>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Máquinas, incl. las prensas, de punzonar o entallar, incl. las combinadas de cizallar y punzonar,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</si>
  <si>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herramientas, incl. las prensas, para trabajar metal por forja, martilleo o estampación </t>
    </r>
    <r>
      <rPr>
        <b/>
        <sz val="8"/>
        <color rgb="FF002B54"/>
        <rFont val="Calibri"/>
        <family val="2"/>
        <scheme val="minor"/>
      </rPr>
      <t>...</t>
    </r>
  </si>
  <si>
    <t>Bancos de estirar barras, tubos, perfiles, alambre o simil., de metal</t>
  </si>
  <si>
    <t>Máquinas laminadoras para hacer roscas, para trabajar metal</t>
  </si>
  <si>
    <t>"Chapas, hojas y tiras, de aleaciones de níquel (exc. chapas y tiras extendidas ""desplegadas"")"</t>
  </si>
  <si>
    <t>Tubos, de níquel sin alear</t>
  </si>
  <si>
    <t>Perfiles huecos, de aleaciones de aluminio, n.c.o.p.</t>
  </si>
  <si>
    <t>Accesorios de tuberías [por ejemplo: empalmes (racores), codos, manguitos], de aluminio</t>
  </si>
  <si>
    <t>Recipientes para gas comprimido o licuado, de aluminio</t>
  </si>
  <si>
    <t>Cables, trenzas y artículos simil., de aluminio, con alma de acero, sin aislar para electricidad</t>
  </si>
  <si>
    <t>"Manufacturas de volframio ""tungsteno"", n.c.o.p."</t>
  </si>
  <si>
    <t>Manufacturas de molibdeno, n.c.o.p.</t>
  </si>
  <si>
    <t>Manufacturas de tantalio, n.c.o.p.</t>
  </si>
  <si>
    <r>
      <t xml:space="preserve">Matas de cobalto y demás productos intermedios de la metalurgia del cobalto; cobalto en bruto; </t>
    </r>
    <r>
      <rPr>
        <b/>
        <sz val="8"/>
        <color rgb="FF002B54"/>
        <rFont val="Calibri"/>
        <family val="2"/>
        <scheme val="minor"/>
      </rPr>
      <t>...</t>
    </r>
  </si>
  <si>
    <t>Berilio en bruto; polvo de berilio</t>
  </si>
  <si>
    <t>Cromo en bruto; polvo de cromo</t>
  </si>
  <si>
    <r>
      <t xml:space="preserve">"Niobio ""columbio"" en bruto, galio, indio, vanadio y germanio; polvos y desperdicios y desechos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</si>
  <si>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Hojas de sierra circulares, incl. las fresas sierra, de metal común, con parte operante de </t>
    </r>
    <r>
      <rPr>
        <b/>
        <sz val="8"/>
        <color rgb="FF002B54"/>
        <rFont val="Calibri"/>
        <family val="2"/>
        <scheme val="minor"/>
      </rPr>
      <t>...</t>
    </r>
  </si>
  <si>
    <t>Lámparas para soldar y simil. (exc. máquinas y aparatos de gas para soldadura)</t>
  </si>
  <si>
    <r>
      <t xml:space="preserve">Hojas y tiras delgadas, de cobre refinado, con soporte, de espesor &lt;= 0,15 mm, sin incluir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</si>
  <si>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"Pernos, remaches, pasadores, clavijas, chavetas y artículos simil., sin roscar, de cobre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</si>
  <si>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Tornillos, pernos, tuercas y artículos similares, roscados, de cobre (exc. escarpias roscadas,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</si>
  <si>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Escarpias roscadas, armellas y artículos simil., roscados, de cobre (exc. tornillos ordinarios,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</si>
  <si>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Cuchillas y hojas cortantes, de metal común, para máquinas o aparatos mecánicos (exc. para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</si>
  <si>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Juegos de distintos cuchillos de la partida 8211; juegos en que los cuchillos de la partida </t>
    </r>
    <r>
      <rPr>
        <b/>
        <sz val="8"/>
        <color rgb="FF002B54"/>
        <rFont val="Calibri"/>
        <family val="2"/>
        <scheme val="minor"/>
      </rPr>
      <t>...</t>
    </r>
  </si>
  <si>
    <t>Mangos para cuchillos, con hoja cortante o dentada, incl. las navajas de podar, de metal común</t>
  </si>
  <si>
    <t>Hojas para maquinillas de afeitar, de metal común, incl. los esbozos en fleje</t>
  </si>
  <si>
    <r>
      <t xml:space="preserve">Tapones, tapas, incl. las tapas roscadas y los tapones vertedores, cápsulas para botellas,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</si>
  <si>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Turbinas hidráulicas y ruedas hidráulicas, de potencia &lt;= 1.000 kW (exc. motores hidráulicos </t>
    </r>
    <r>
      <rPr>
        <b/>
        <sz val="8"/>
        <color rgb="FF002B54"/>
        <rFont val="Calibri"/>
        <family val="2"/>
        <scheme val="minor"/>
      </rPr>
      <t>...</t>
    </r>
  </si>
  <si>
    <t>Turborreactores, de empuje &lt;= 25 kN</t>
  </si>
  <si>
    <r>
      <t xml:space="preserve">Bombas con dispositivo medidor incorporado o concebidas para llevarlo, para distribución de </t>
    </r>
    <r>
      <rPr>
        <b/>
        <sz val="8"/>
        <color rgb="FF002B54"/>
        <rFont val="Calibri"/>
        <family val="2"/>
        <scheme val="minor"/>
      </rPr>
      <t>...</t>
    </r>
  </si>
  <si>
    <t>Bombas de aire, de mano o pedal</t>
  </si>
  <si>
    <r>
      <t xml:space="preserve">"Máquinas y aparatos para acondicionamiento de aire, con equipo de enfriamiento y válvula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</si>
  <si>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"Máquinas y aparatos para acondicionamiento de aire que contengan un ventilador con motor, </t>
    </r>
    <r>
      <rPr>
        <b/>
        <sz val="8"/>
        <color rgb="FF002B54"/>
        <rFont val="Calibri"/>
        <family val="2"/>
        <scheme val="minor"/>
      </rPr>
      <t>...</t>
    </r>
  </si>
  <si>
    <t>Quemadores para la alimentación de hogares, de combustibles líquidos</t>
  </si>
  <si>
    <r>
      <t xml:space="preserve">"Hornos industriales o de laboratorio, que no sean eléctricos, para tostación, fusión u otros </t>
    </r>
    <r>
      <rPr>
        <b/>
        <sz val="8"/>
        <color rgb="FF002B54"/>
        <rFont val="Calibri"/>
        <family val="2"/>
        <scheme val="minor"/>
      </rPr>
      <t>...</t>
    </r>
  </si>
  <si>
    <t>Calentadores de agua solares</t>
  </si>
  <si>
    <r>
      <t xml:space="preserve">Calentadores de agua instantáneos o acumuladores, no eléctricos (exc. calentadores de agua </t>
    </r>
    <r>
      <rPr>
        <b/>
        <sz val="8"/>
        <color rgb="FF002B54"/>
        <rFont val="Calibri"/>
        <family val="2"/>
        <scheme val="minor"/>
      </rPr>
      <t>...</t>
    </r>
  </si>
  <si>
    <t>Secadores para madera, pasta para papel, papel o cartón</t>
  </si>
  <si>
    <r>
      <t xml:space="preserve">Secadores (exc. ​​aparatos de liofilización, unidades de liofilización, secadores por atomización, </t>
    </r>
    <r>
      <rPr>
        <b/>
        <sz val="8"/>
        <color rgb="FF002B54"/>
        <rFont val="Calibri"/>
        <family val="2"/>
        <scheme val="minor"/>
      </rPr>
      <t>...</t>
    </r>
  </si>
  <si>
    <t>Aparatos de destilación o rectificación</t>
  </si>
  <si>
    <r>
      <t xml:space="preserve">"Cueros y pieles, de bovino, incl. el búfalo, o de equino, en estado seco ""crust"", depilados,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</si>
  <si>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Cueros preparados después del curtido o del secado y cueros y pieles apergaminados, de caprino,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</si>
  <si>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Teca aserrada o desbastada longitudinalmente, cortada o desenrollada, de espesor&gt; 6 mm, lijada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</si>
  <si>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"Álamo temblón y ""Populus spp."", Aserrada o desbastada longitudinalmente, cortada o desenrollada, </t>
    </r>
    <r>
      <rPr>
        <b/>
        <sz val="8"/>
        <color rgb="FF002B54"/>
        <rFont val="Calibri"/>
        <family val="2"/>
        <scheme val="minor"/>
      </rPr>
      <t>...</t>
    </r>
  </si>
  <si>
    <t>"Tableros de media densidad ""MDF"", de madera y de medida &gt;= 5mm pero &lt;=9 mm"</t>
  </si>
  <si>
    <r>
      <t xml:space="preserve">Madera laminada con ambas capas exteriores de madera de coníferas (exc. bambú, con una capa </t>
    </r>
    <r>
      <rPr>
        <b/>
        <sz val="8"/>
        <color rgb="FF002B54"/>
        <rFont val="Calibri"/>
        <family val="2"/>
        <scheme val="minor"/>
      </rPr>
      <t>...</t>
    </r>
  </si>
  <si>
    <t>Briquetas de madera</t>
  </si>
  <si>
    <r>
      <t xml:space="preserve">Serrín, desperdicios y desechos de madera, aglomerados en leños o formas similares (exc. ​​Pellets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</si>
  <si>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Carbón de leña, de cáscara o nuez, incluso aglomerado (exc. ​​Bambú, utilizado como medicamento,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</si>
  <si>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Madera de coníferas en bruto, cuya sección transversal mínima sea =&gt; 15 cm, incluso descortezada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</si>
  <si>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"Álamo temblón y ""Populus spp."" en bruto, despojada o no de la corteza o albura, o simplemente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</si>
  <si>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"Hilo utilizado para limpieza de los espacios interdentales ""hilo dental"", en envases individuales </t>
    </r>
    <r>
      <rPr>
        <b/>
        <sz val="8"/>
        <color rgb="FF002B54"/>
        <rFont val="Calibri"/>
        <family val="2"/>
        <scheme val="minor"/>
      </rPr>
      <t>...</t>
    </r>
  </si>
  <si>
    <t>Bobinas, carretes, canillas y soportes simil., de plástico</t>
  </si>
  <si>
    <t>"Poli ""ácido lacteo"", en formas primas"</t>
  </si>
  <si>
    <t>Poliamidas, en formas primarias (exc. poliamidas-6, -11, -12, -6,6, -6,9, -6,10, ó -6,12)</t>
  </si>
  <si>
    <t>"Poli ""isocianato de metileno fenil"" ""MDI en bruto, MDI polimérico"", en formas primarias"</t>
  </si>
  <si>
    <t>Poli (metilfosfonato de 1,3-fenileno), en formas primarias</t>
  </si>
  <si>
    <r>
      <t xml:space="preserve">Guantes, manoplas y manoplas, de los tipos utilizados para uso médico, quirúrgico, odontológico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</si>
  <si>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Guantes, manoplas y manoplas, de caucho vulcanizado (exc. ​​de los tipos utilizados para uso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</si>
  <si>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"Caucho sintético y caucho facticio derivado de los aceites, en formas primarias o en placas,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</si>
  <si>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Caucho mezclado sin vulcanizar, en formas primarias (exc. disoluciones, dispersiones y caucho </t>
    </r>
    <r>
      <rPr>
        <b/>
        <sz val="8"/>
        <color rgb="FF002B54"/>
        <rFont val="Calibri"/>
        <family val="2"/>
        <scheme val="minor"/>
      </rPr>
      <t>...</t>
    </r>
  </si>
  <si>
    <t>Varillas y perfiles, de caucho celular</t>
  </si>
  <si>
    <r>
      <t xml:space="preserve">Barriles, cubas, tinas y demás manufacturas de tonelería y sus partes, de madera, incluidas </t>
    </r>
    <r>
      <rPr>
        <b/>
        <sz val="8"/>
        <color rgb="FF002B54"/>
        <rFont val="Calibri"/>
        <family val="2"/>
        <scheme val="minor"/>
      </rPr>
      <t>...</t>
    </r>
  </si>
  <si>
    <t>Los paneles de suelo, reunidos, de bambú o con al menos la capa superior de uso de bambú</t>
  </si>
  <si>
    <r>
      <t xml:space="preserve">Carpetas de mesa y demás artículos escolares, para oficina o papelería, de papel o cartón; </t>
    </r>
    <r>
      <rPr>
        <b/>
        <sz val="8"/>
        <color rgb="FF002B54"/>
        <rFont val="Calibri"/>
        <family val="2"/>
        <scheme val="minor"/>
      </rPr>
      <t>...</t>
    </r>
  </si>
  <si>
    <t>Desperdicios y estopas de lino, incl. los desperdicios de hilados y las hilachas</t>
  </si>
  <si>
    <t>"Cáñamo ""Cannabis sativa L."", en bruto o enriado"</t>
  </si>
  <si>
    <t>Hilados de yute o demás fibras textiles del líber de la partida 5303, retorcidos o cableados</t>
  </si>
  <si>
    <t>Hilados de coco</t>
  </si>
  <si>
    <t>Manufacturas de madera, n.c.o.p.</t>
  </si>
  <si>
    <r>
      <t xml:space="preserve">Corcho natural, descortezado o simplemente escuadrado o en bloques, placas, hojas o tiras,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</si>
  <si>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"Pasta de materias fibrosas celulósicas, químicas (exc. de madera y de línter de algodón, así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</si>
  <si>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 y cartón filtro, sin estucar ni recubrir, en bobinas ""rollos"" de anchura &gt; 36 cm 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</si>
  <si>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 cristal y demás papeles calandrados transparentes o traslúcidos, en bobinas ""rollos""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</si>
  <si>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Cajas, bolsas y presentaciones simil. de papel o cartón, con un surtido de artículos para correspondencia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</si>
  <si>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Diarios y publicaciones periódicas, impresos, incl. ilustrados o con publicidad, que se publiquen </t>
    </r>
    <r>
      <rPr>
        <b/>
        <sz val="8"/>
        <color rgb="FF002B54"/>
        <rFont val="Calibri"/>
        <family val="2"/>
        <scheme val="minor"/>
      </rPr>
      <t>...</t>
    </r>
  </si>
  <si>
    <t>Esferas cartógraficas, impresas (exc. esferas en relieve)</t>
  </si>
  <si>
    <r>
      <t xml:space="preserve">Manufacturas cartógraficas de todas clases, incl. los mapas murales y planos topográficos,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</si>
  <si>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Sellos (estampillas) de correos, timbres fiscales y análogos, sin obliterar, que tengan o estén </t>
    </r>
    <r>
      <rPr>
        <b/>
        <sz val="8"/>
        <color rgb="FF002B54"/>
        <rFont val="Calibri"/>
        <family val="2"/>
        <scheme val="minor"/>
      </rPr>
      <t>...</t>
    </r>
  </si>
  <si>
    <t>Calcomanías vitrificables</t>
  </si>
  <si>
    <t>Desperdicios de hilados de algodón</t>
  </si>
  <si>
    <r>
      <t xml:space="preserve">Hilo de coser de algodón, con un alto contenido de algodón, pero &lt; 85% en peso (exc. acondicionado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</si>
  <si>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Prostaglandinas, tromboxanos y leucotrienos, sus derivados y análogos estructurales, utilizados </t>
    </r>
    <r>
      <rPr>
        <b/>
        <sz val="8"/>
        <color rgb="FF002B54"/>
        <rFont val="Calibri"/>
        <family val="2"/>
        <scheme val="minor"/>
      </rPr>
      <t>...</t>
    </r>
  </si>
  <si>
    <t>"Rutósido ""rutina"" y sus derivados"</t>
  </si>
  <si>
    <r>
      <t xml:space="preserve">"Efedrinas y sus sales (exc. ​​Efedrina, pseudoefedrina ""INN"", catina ""INN"", norefedrina,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</si>
  <si>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"Teofilina y aminofilina ""teofilina-etilendiamina"" y sus derivados; sales de estos productos </t>
    </r>
    <r>
      <rPr>
        <b/>
        <sz val="8"/>
        <color rgb="FF002B54"/>
        <rFont val="Calibri"/>
        <family val="2"/>
        <scheme val="minor"/>
      </rPr>
      <t>...</t>
    </r>
  </si>
  <si>
    <t>"Ergotamina ""DCI"" y sus sales"</t>
  </si>
  <si>
    <r>
      <t xml:space="preserve">"Alcaloides vegetales, naturales o reproducidos por síntesis, sus sales, éteres, ésteres y </t>
    </r>
    <r>
      <rPr>
        <b/>
        <sz val="8"/>
        <color rgb="FF002B54"/>
        <rFont val="Calibri"/>
        <family val="2"/>
        <scheme val="minor"/>
      </rPr>
      <t>...</t>
    </r>
  </si>
  <si>
    <t>Estreptomicinas y sus derivados; sales de estos productos</t>
  </si>
  <si>
    <t>Cloranfenicol y sus derivados; sales de estos productos</t>
  </si>
  <si>
    <r>
      <t xml:space="preserve">Medicamentos, que contengan penicilinas o derivados de estos productos con la estructura del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</si>
  <si>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"Los medicamentos que contienen pseudoefedrina ""INN"" o sus sales, hormonas, que no contienen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</si>
  <si>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"Medicamentos, que contengan antibióticos, dosificados ""incl. los administrados por vía transdérmica"" </t>
    </r>
    <r>
      <rPr>
        <b/>
        <sz val="8"/>
        <color rgb="FF002B54"/>
        <rFont val="Calibri"/>
        <family val="2"/>
        <scheme val="minor"/>
      </rPr>
      <t>...</t>
    </r>
  </si>
  <si>
    <t>Vaselina</t>
  </si>
  <si>
    <t>Betunes y asfaltos naturales; asfaltitas y rocas asfálticas</t>
  </si>
  <si>
    <t>Fósforo</t>
  </si>
  <si>
    <t>Cloruro de níquel</t>
  </si>
  <si>
    <t>Cloratos de sodio</t>
  </si>
  <si>
    <r>
      <t xml:space="preserve">Percloratos; bromatos y perbromatos; yodatos y peryodatos (exc. compuestos inorganicos u organicos </t>
    </r>
    <r>
      <rPr>
        <b/>
        <sz val="8"/>
        <color rgb="FF002B54"/>
        <rFont val="Calibri"/>
        <family val="2"/>
        <scheme val="minor"/>
      </rPr>
      <t>...</t>
    </r>
  </si>
  <si>
    <t>Fosfato de monosodio o disodio</t>
  </si>
  <si>
    <t>Fosfatos (exc. de monosodio, de disodio, de trisodio, de potasio, de calcio y de mercurio)</t>
  </si>
  <si>
    <t>Metasilicatos de sodio, incl. los metasilicatos comerciales</t>
  </si>
  <si>
    <r>
      <t xml:space="preserve">Jugo de tomate, sin fermentar y sin adición de alcohol, incl. con adición de azúcar u otro </t>
    </r>
    <r>
      <rPr>
        <b/>
        <sz val="8"/>
        <color rgb="FF002B54"/>
        <rFont val="Calibri"/>
        <family val="2"/>
        <scheme val="minor"/>
      </rPr>
      <t>...</t>
    </r>
  </si>
  <si>
    <t>Levaduras vivas</t>
  </si>
  <si>
    <t>Bebidas no alcohólicas (exc. agua, jugos de frutas u otros frutos o de hortalizas y leche)</t>
  </si>
  <si>
    <t>Tierras de chamota o de dinas</t>
  </si>
  <si>
    <r>
      <t xml:space="preserve">Harinas silíceas fósiles (por ejemplo: Kieselguhr, tripolita, diatomita) y demás tierras silíceas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</si>
  <si>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Pizarra, incluso desbastada o simplemente troceada, por aserrado o de otro modo, en bloques </t>
    </r>
    <r>
      <rPr>
        <b/>
        <sz val="8"/>
        <color rgb="FF002B54"/>
        <rFont val="Calibri"/>
        <family val="2"/>
        <scheme val="minor"/>
      </rPr>
      <t>...</t>
    </r>
  </si>
  <si>
    <t>Aglomerado de dolomita</t>
  </si>
  <si>
    <t>Cal viva</t>
  </si>
  <si>
    <t>"Amianto ""asbesto"" (exc. ""crocidolite"" y productos hechos de amianto)"</t>
  </si>
  <si>
    <r>
      <t xml:space="preserve">Esteatita natural, incl. desbastada o simplemente troceada, por aserrado o de otro modo, en </t>
    </r>
    <r>
      <rPr>
        <b/>
        <sz val="8"/>
        <color rgb="FF002B54"/>
        <rFont val="Calibri"/>
        <family val="2"/>
        <scheme val="minor"/>
      </rPr>
      <t>...</t>
    </r>
  </si>
  <si>
    <t>Minerales de estaño y sus concentrados</t>
  </si>
  <si>
    <t>Minerales de cromo y sus concentrados</t>
  </si>
  <si>
    <t>Minerales de antimonio y sus concentrados</t>
  </si>
  <si>
    <t>Escorias (excepto las granuladas), batiduras y demás desperdicios de la siderurgia</t>
  </si>
  <si>
    <r>
      <t xml:space="preserve">Cenizas y residuos, que contengan antimonio, berilio, cadmio, cromo o sus mezclas (exc. los </t>
    </r>
    <r>
      <rPr>
        <b/>
        <sz val="8"/>
        <color rgb="FF002B54"/>
        <rFont val="Calibri"/>
        <family val="2"/>
        <scheme val="minor"/>
      </rPr>
      <t>...</t>
    </r>
  </si>
  <si>
    <t>Cenizas y residuos procedentes de la incineración de desechos y desperdicios municipales</t>
  </si>
  <si>
    <r>
      <t xml:space="preserve">"Benzol ""benceno"" con un contenido de benceno &gt; 50% en peso (exc. de constitución química </t>
    </r>
    <r>
      <rPr>
        <b/>
        <sz val="8"/>
        <color rgb="FF002B54"/>
        <rFont val="Calibri"/>
        <family val="2"/>
        <scheme val="minor"/>
      </rPr>
      <t>...</t>
    </r>
  </si>
  <si>
    <t>Preparaciones para manicuras o pedicuros</t>
  </si>
  <si>
    <t>Sales perfumadas y demás preparaciones para el baño</t>
  </si>
  <si>
    <r>
      <t xml:space="preserve">"Ceras artificiales y ceras preparadas, excl. las ceras para lacrar y cera de poli""oxietileno"" </t>
    </r>
    <r>
      <rPr>
        <b/>
        <sz val="8"/>
        <color rgb="FF002B54"/>
        <rFont val="Calibri"/>
        <family val="2"/>
        <scheme val="minor"/>
      </rPr>
      <t>...</t>
    </r>
  </si>
  <si>
    <t>Caseína</t>
  </si>
  <si>
    <r>
      <t xml:space="preserve">Lactoalbúmina, incl. los concentrados de dos o más proteínas del lactosuero, con un contenido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</si>
  <si>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Materias colorantes inorgánicas o minerales, n.c.o.p.; preparaciones a base de materias colorantes </t>
    </r>
    <r>
      <rPr>
        <b/>
        <sz val="8"/>
        <color rgb="FF002B54"/>
        <rFont val="Calibri"/>
        <family val="2"/>
        <scheme val="minor"/>
      </rPr>
      <t>...</t>
    </r>
  </si>
  <si>
    <t>Secativos preparados</t>
  </si>
  <si>
    <r>
      <t xml:space="preserve">"Aceites esenciales de menta piperita ""Mentha piperita"", desterpenados o no, incl. los ""concretos""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</si>
  <si>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Urea, incl. en disolución acuosa (exc. en tabletas o formas simil. o en envases de un peso </t>
    </r>
    <r>
      <rPr>
        <b/>
        <sz val="8"/>
        <color rgb="FF002B54"/>
        <rFont val="Calibri"/>
        <family val="2"/>
        <scheme val="minor"/>
      </rPr>
      <t>...</t>
    </r>
  </si>
  <si>
    <t>Abonos minerales o químicos nitrogenados - Nitrato de sodio</t>
  </si>
  <si>
    <t>Sulfato de potasio (exc. en tabletas o formas simil. o en envases de un peso bruto &lt;= 10 kg)</t>
  </si>
  <si>
    <r>
      <t xml:space="preserve">"Hidrogenoortofosfato de diamonio ""fosfato diamónico"" (exc. en tabletas o formas simil. o </t>
    </r>
    <r>
      <rPr>
        <b/>
        <sz val="8"/>
        <color rgb="FF002B54"/>
        <rFont val="Calibri"/>
        <family val="2"/>
        <scheme val="minor"/>
      </rPr>
      <t>...</t>
    </r>
  </si>
  <si>
    <t>Películas planas autorrevelables, sensibilizadas, sin impresionar, incl. en cargadores</t>
  </si>
  <si>
    <r>
      <t xml:space="preserve">"Papel, cartón y textiles, fotográficos, sensibilizados, sin impresionar, para fotografía en </t>
    </r>
    <r>
      <rPr>
        <b/>
        <sz val="8"/>
        <color rgb="FF002B54"/>
        <rFont val="Calibri"/>
        <family val="2"/>
        <scheme val="minor"/>
      </rPr>
      <t>...</t>
    </r>
  </si>
  <si>
    <t>Emulsiones para sensibilizar superficies, para usos fotográficos</t>
  </si>
  <si>
    <r>
      <t xml:space="preserve">Grafito artificial (exc. grafito de retorta o carbón de retorta, productos a base de grafito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</si>
  <si>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"Esencia de trementina, de madera de pino o de pasta celulósica al sulfato ""sulfato de tr </t>
    </r>
    <r>
      <rPr>
        <b/>
        <sz val="8"/>
        <color rgb="FF002B54"/>
        <rFont val="Calibri"/>
        <family val="2"/>
        <scheme val="minor"/>
      </rPr>
      <t>...</t>
    </r>
  </si>
  <si>
    <t>Colofonia y ácidos resínicos</t>
  </si>
  <si>
    <t>Mezclas de alquilbencenos y mezclas de alquilnaftalenos (excepto las de las partidas 2707 ó 2902)</t>
  </si>
  <si>
    <t>Ácido esteárico, industrial</t>
  </si>
  <si>
    <r>
      <t xml:space="preserve">"Mezclas que contengan perfluorocarbonos ""PFCs"" o hidrofluorocarbonos ""HFCs"" pero sin contener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</si>
  <si>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"Mezclas y preparaciones que contengan policloronato bifenils ""PCBs"", policlorinato terfenils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</si>
  <si>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"Las mezclas y preparados que contengan 1,2,3,4,5,6-hexaclorociclohexano ""HCH"" ISO """", </t>
    </r>
    <r>
      <rPr>
        <b/>
        <sz val="8"/>
        <color rgb="FF002B54"/>
        <rFont val="Calibri"/>
        <family val="2"/>
        <scheme val="minor"/>
      </rPr>
      <t>...</t>
    </r>
  </si>
  <si>
    <t>Desechos y desperdicios municipales</t>
  </si>
  <si>
    <t>Politetrafluoroetileno, en formas primarias</t>
  </si>
  <si>
    <t>De semillas de trigo y morcajo, para siembra (exc. ??trigo duro)</t>
  </si>
  <si>
    <t>Centemp (exc. ??las semillas para siembra)</t>
  </si>
  <si>
    <t>Avena (exc. ??las de siembra para siembra)</t>
  </si>
  <si>
    <t>Yerba mate</t>
  </si>
  <si>
    <t>"Rosas ""flores y capullos"", cortadas para ramos o adornos, frescas"</t>
  </si>
  <si>
    <t>"Orquídeas ""flores y capullos"", cortadas para ramos o adornos, frescas"</t>
  </si>
  <si>
    <t>Manzanas, frescas</t>
  </si>
  <si>
    <r>
      <t xml:space="preserve">Frambuesas, zarzamoras, moras, moras-frambuesa y grosellas, sin cocer o cocidas en agua o vapor, </t>
    </r>
    <r>
      <rPr>
        <b/>
        <sz val="8"/>
        <color rgb="FF002B54"/>
        <rFont val="Calibri"/>
        <family val="2"/>
        <scheme val="minor"/>
      </rPr>
      <t>...</t>
    </r>
  </si>
  <si>
    <t>Cocos, secos</t>
  </si>
  <si>
    <t>Pistachos frescos o secos, sin cáscara</t>
  </si>
  <si>
    <t>Nueces de macadamia, frescas o secas, sin cáscara</t>
  </si>
  <si>
    <r>
      <t xml:space="preserve">"Erizos marinos congelados ""Strongylocentrotus spp., Paracentrotus lividus, Loxechinus albus,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</si>
  <si>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"Erizos de mar ahumados, congelados, secos, salados o en salmuera ""Strongylocentrotus spp.,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</si>
  <si>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Leche y nata con un contenido de materias grasas&gt; 6% pero &lt;= edulcorante 10%, sin concentrar, </t>
    </r>
    <r>
      <rPr>
        <b/>
        <sz val="8"/>
        <color rgb="FF002B54"/>
        <rFont val="Calibri"/>
        <family val="2"/>
        <scheme val="minor"/>
      </rPr>
      <t>...</t>
    </r>
  </si>
  <si>
    <t>Hongos frescos o refrigerados del género Cantharellus</t>
  </si>
  <si>
    <r>
      <t xml:space="preserve">"Matsutake fresco o refrigerado ""Tricholoma matsutake, Tricholoma magnivelare, Tricholoma </t>
    </r>
    <r>
      <rPr>
        <b/>
        <sz val="8"/>
        <color rgb="FF002B54"/>
        <rFont val="Calibri"/>
        <family val="2"/>
        <scheme val="minor"/>
      </rPr>
      <t>...</t>
    </r>
  </si>
  <si>
    <t>"Calabazas frescas o refrigeradas, la calabaza y calabazas ""Cucurbita spp."""</t>
  </si>
  <si>
    <r>
      <t xml:space="preserve">"Setas y demás hongos, conservadas provisionalmente, p.ej., con gas sulfuroso o con agua salada,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</si>
  <si>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"Shiitake ""Lentinus edodes"" seco, entero, cortado, en rodajas, quebrado o en polvo, pero </t>
    </r>
    <r>
      <rPr>
        <b/>
        <sz val="8"/>
        <color rgb="FF002B54"/>
        <rFont val="Calibri"/>
        <family val="2"/>
        <scheme val="minor"/>
      </rPr>
      <t>...</t>
    </r>
  </si>
  <si>
    <t>"Queso fresco ""sin madurar"", incl. el del lactosuero, y requesón"</t>
  </si>
  <si>
    <t>Quesos y requesón - Queso de cualquier tipo, rallado o en polvo</t>
  </si>
  <si>
    <t>Los huevos fertilizados para la incubación de aves domésticas</t>
  </si>
  <si>
    <t>Huevos de ave con cáscara, conservados o cocidos</t>
  </si>
  <si>
    <t>Insectos, aptos para el consumo humano</t>
  </si>
  <si>
    <t>Cerdas de cerdo o de jabalí, y sus desperdicios</t>
  </si>
  <si>
    <t>Pelo de tejón y demás pelos para cepillería; desperdicios de dichas cerdas o pelos</t>
  </si>
  <si>
    <r>
      <t xml:space="preserve">"Langostas ""Homarus spp."", incluso ahumados, con y sin cascaras, vivos, frescos, refrigerados,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</si>
  <si>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Cangrejos, incluso ahumado, incluso pelados, vivos, frescos, refrigerados, secos, o salados, </t>
    </r>
    <r>
      <rPr>
        <b/>
        <sz val="8"/>
        <color rgb="FF002B54"/>
        <rFont val="Calibri"/>
        <family val="2"/>
        <scheme val="minor"/>
      </rPr>
      <t>...</t>
    </r>
  </si>
  <si>
    <t>"Langostas ""Nephrops norvegicus"", con cáscara o sin cáscara, vivas, frescas o refrigeradas"</t>
  </si>
  <si>
    <r>
      <t xml:space="preserve">Cangrejos, con o sin cáscara, secos, salados, ahumados o en salmuera, incl. Cangrejos en cáscara,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</si>
  <si>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Camarones, incluso con concha o sin cáscara, secos, salados, ahumados o en salmuera, incl. </t>
    </r>
    <r>
      <rPr>
        <b/>
        <sz val="8"/>
        <color rgb="FF002B54"/>
        <rFont val="Calibri"/>
        <family val="2"/>
        <scheme val="minor"/>
      </rPr>
      <t>...</t>
    </r>
  </si>
  <si>
    <t>Ostras, incluso en cáscara, congeladas</t>
  </si>
  <si>
    <r>
      <t xml:space="preserve">"Almejas, berberechos y conchas de arca vivos, frescos o refrigerados, incluso con cáscara,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</si>
  <si>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"Ahumados, secos, salados o en salmuera, incluso con cáscara, conchas estrombóides ""Strombus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</si>
  <si>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"Carne congelada, incluso picada, de peces de las familias Bregmacerotidae, Euclichthyidae, </t>
    </r>
    <r>
      <rPr>
        <b/>
        <sz val="8"/>
        <color rgb="FF002B54"/>
        <rFont val="Calibri"/>
        <family val="2"/>
        <scheme val="minor"/>
      </rPr>
      <t>...</t>
    </r>
  </si>
  <si>
    <t>"Carne congelada, incluso picada, de rayos y patines ""Rajidae"""</t>
  </si>
  <si>
    <t>"Harina, polvo y ""pellets"" de pescado aptos para la alimentación humana"</t>
  </si>
  <si>
    <t>Pescado seco, incluso salado, sin ahumar (exc. ??filetes, los despojos y bacalao)</t>
  </si>
  <si>
    <r>
      <t xml:space="preserve">"Tilapia ""Oreochromis spp."", El bagre ""Pangasius spp. Silurus spp. Clarias spp. Ictalurus </t>
    </r>
    <r>
      <rPr>
        <b/>
        <sz val="8"/>
        <color rgb="FF002B54"/>
        <rFont val="Calibri"/>
        <family val="2"/>
        <scheme val="minor"/>
      </rPr>
      <t>...</t>
    </r>
  </si>
  <si>
    <t>"Filetes de perca del Nilo ""Lates niloticus"""</t>
  </si>
  <si>
    <r>
      <t xml:space="preserve">"Carpa congelada ""Cyprinus carpio, Carassius carassius, Ctenopharyngodon idellus, Hypophthalmichthys </t>
    </r>
    <r>
      <rPr>
        <b/>
        <sz val="8"/>
        <color rgb="FF002B54"/>
        <rFont val="Calibri"/>
        <family val="2"/>
        <scheme val="minor"/>
      </rPr>
      <t>...</t>
    </r>
  </si>
  <si>
    <t>"Rodaballo ""Psetta maxima"" congelado"</t>
  </si>
  <si>
    <t>"Arenques ""Clupea harengus"", ""Clupea pallasii"", congelados"</t>
  </si>
  <si>
    <r>
      <t xml:space="preserve">Carpa viva (Cyprinus carpio, Carassius carassius, idellus Ctenopharyngodon, Hypophthalmichthys </t>
    </r>
    <r>
      <rPr>
        <b/>
        <sz val="8"/>
        <color rgb="FF002B54"/>
        <rFont val="Calibri"/>
        <family val="2"/>
        <scheme val="minor"/>
      </rPr>
      <t>...</t>
    </r>
  </si>
  <si>
    <t>"Atún del sur, de aleta azul ""Thunnus maccoyii)"</t>
  </si>
  <si>
    <t>"Albacoras o atunes blancos ""Thunnus alalunga"", frescos o refrigerados"</t>
  </si>
  <si>
    <r>
      <t xml:space="preserve">"Sardinas frescas o refrigeradas ""Sardina pilchardus, Sardinops spp."", Alacha ""Sardinella </t>
    </r>
    <r>
      <rPr>
        <b/>
        <sz val="8"/>
        <color rgb="FF002B54"/>
        <rFont val="Calibri"/>
        <family val="2"/>
        <scheme val="minor"/>
      </rPr>
      <t>...</t>
    </r>
  </si>
  <si>
    <t>"Jack y el jurel ""Trachurus spp."" frescos o refrigerados"</t>
  </si>
  <si>
    <t>"Bacalao fresco o refrigerado ""Gadus morhua, Gadus ogac, Gadus macrocephalus"""</t>
  </si>
  <si>
    <t>De pura raza para la cría de ganado</t>
  </si>
  <si>
    <t>Porcinos vivos, de peso &lt; 50 kg (exc. reproductores de raza pura)</t>
  </si>
  <si>
    <t>Ovinos vivos</t>
  </si>
  <si>
    <t>Caprinos vivos</t>
  </si>
  <si>
    <t>Camellos y otros camélidos vivos [Camélidos]</t>
  </si>
  <si>
    <r>
      <t xml:space="preserve">"Cortes ""trozos"" de bovinos, sin deshuesar, frescos o refrigerados (exc. canales o medias </t>
    </r>
    <r>
      <rPr>
        <b/>
        <sz val="8"/>
        <color rgb="FF002B54"/>
        <rFont val="Calibri"/>
        <family val="2"/>
        <scheme val="minor"/>
      </rPr>
      <t>...</t>
    </r>
  </si>
  <si>
    <t>Canales o medias canales, de ovinos, congeladas (exc. corderos)</t>
  </si>
  <si>
    <t>Hígados de bovinos, comestibles, congelados</t>
  </si>
  <si>
    <r>
      <t xml:space="preserve">Trozos y despojos comestibles, de gallo o de gallina, de especies domésticas, frescos o re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</si>
  <si>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"Trozos y despojos comestibles, de pavo ""gallipavo"", de especies domésticas, frescos o r </t>
    </r>
    <r>
      <rPr>
        <b/>
        <sz val="8"/>
        <color rgb="FF002B54"/>
        <rFont val="Calibri"/>
        <family val="2"/>
        <scheme val="minor"/>
      </rPr>
      <t>...</t>
    </r>
  </si>
  <si>
    <t>Patos domésticos, fresca o refrigerada, sin trocear</t>
  </si>
  <si>
    <t>Hígados grasos de patos domésticos, frescos o refrigerados</t>
  </si>
  <si>
    <t>Glicerol en bruto; aguas y lejías glicerinosas</t>
  </si>
  <si>
    <r>
      <t xml:space="preserve">"Preparaciones y conservas de carne o despojos de pavo ""gallipavo"" de especies domésticas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</si>
  <si>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Preparaciones y conservas de carne o despojos, de gallo o gallina, de especies domésticas (exc. </t>
    </r>
    <r>
      <rPr>
        <b/>
        <sz val="8"/>
        <color rgb="FF002B54"/>
        <rFont val="Calibri"/>
        <family val="2"/>
        <scheme val="minor"/>
      </rPr>
      <t>...</t>
    </r>
  </si>
  <si>
    <t>Preparaciones y conservas de salmones, entero o en trozos (exc. picado)</t>
  </si>
  <si>
    <r>
      <t xml:space="preserve">Camarones y langostinos, preparados o conservados, en envases herméticamente cerrados (sin </t>
    </r>
    <r>
      <rPr>
        <b/>
        <sz val="8"/>
        <color rgb="FF002B54"/>
        <rFont val="Calibri"/>
        <family val="2"/>
        <scheme val="minor"/>
      </rPr>
      <t>...</t>
    </r>
  </si>
  <si>
    <t>Ostras, preparados o conservados (excepto ahumado)</t>
  </si>
  <si>
    <t>Los caracoles, preparados o conservados (excepto los ahumados y los caracoles de mar)</t>
  </si>
  <si>
    <r>
      <t xml:space="preserve">Lactosa en estado sólido y jarabe de lactosa, sin adición de aromatizante ni colorante, con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</si>
  <si>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Pastas alimenticias rellenas de carne u otras sustancias, incl. cocidas o preparadas de otra </t>
    </r>
    <r>
      <rPr>
        <b/>
        <sz val="8"/>
        <color rgb="FF002B54"/>
        <rFont val="Calibri"/>
        <family val="2"/>
        <scheme val="minor"/>
      </rPr>
      <t>...</t>
    </r>
  </si>
  <si>
    <t>Preparaciones y conservas de aletas de tiburón, entero o en trozos (exc. Picada)</t>
  </si>
  <si>
    <t>Pan tostado y productos simil. tostados</t>
  </si>
  <si>
    <r>
      <t xml:space="preserve">Mezclas de frutas, frutos y demás partes comestibles de plantas, preparados o conservados, </t>
    </r>
    <r>
      <rPr>
        <b/>
        <sz val="8"/>
        <color rgb="FF002B54"/>
        <rFont val="Calibri"/>
        <family val="2"/>
        <scheme val="minor"/>
      </rPr>
      <t>...</t>
    </r>
  </si>
  <si>
    <t>Grañones y sémolas, de cereales (exc. trigo y maíz)</t>
  </si>
  <si>
    <t>«Pellets» de cereales</t>
  </si>
  <si>
    <t>"Fécula de mandioca ""yuca"""</t>
  </si>
  <si>
    <t>Semilla de mostaza, incl. quebrantada</t>
  </si>
  <si>
    <t>"Harina de habas de soja ""soya"""</t>
  </si>
  <si>
    <t>Grasa de ave, fundidas o extraídas de otro modo</t>
  </si>
  <si>
    <t>Grasas y aceites de mamíferos marinos y sus fracciones, incl. refinados, sin modificar químicamente</t>
  </si>
  <si>
    <t>"Aceite de cacahuete ""cacahuate, maní"" en bruto"</t>
  </si>
  <si>
    <r>
      <t xml:space="preserve">Aceite de algodón y sus fracciones, incl. sin el gosipol, incl. refinados, sin modificar químicamente </t>
    </r>
    <r>
      <rPr>
        <b/>
        <sz val="8"/>
        <color rgb="FF002B54"/>
        <rFont val="Calibri"/>
        <family val="2"/>
        <scheme val="minor"/>
      </rPr>
      <t>...</t>
    </r>
  </si>
  <si>
    <t>Aceites de almendra de palma o babasú, en bruto</t>
  </si>
  <si>
    <r>
      <t xml:space="preserve">"Aceites de nabo ""nabina"" y colza con alto contenido de ácido erúcico ""aceite fijo con un </t>
    </r>
    <r>
      <rPr>
        <b/>
        <sz val="8"/>
        <color rgb="FF002B54"/>
        <rFont val="Calibri"/>
        <family val="2"/>
        <scheme val="minor"/>
      </rPr>
      <t>...</t>
    </r>
  </si>
  <si>
    <t>"Aceite de lino ""de linaza"", en bruto"</t>
  </si>
  <si>
    <r>
      <t xml:space="preserve">Silicatos dobles o complejos de ácidos inorgánicos o peroxoácidos, incl. aluminosilicatos, </t>
    </r>
    <r>
      <rPr>
        <b/>
        <sz val="8"/>
        <color rgb="FF002B54"/>
        <rFont val="Calibri"/>
        <family val="2"/>
        <scheme val="minor"/>
      </rPr>
      <t>...</t>
    </r>
  </si>
  <si>
    <t>Compuestos de oro, inorgánicos u orgánicos, aunque no sean de constitución química definida</t>
  </si>
  <si>
    <r>
      <t xml:space="preserve">Uranio natural y sus compuestos; aleaciones, dispersiones, incl. el cermet, productos cerámicos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</si>
  <si>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Uranio enriquecido en U 235 y sus compuestos; plutonio y sus compuestos; aleaciones, dispersiones,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</si>
  <si>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"Isótopos no radiactivos; compuestos inorgánicos u orgánicos de estos isótopos, aunque no sean </t>
    </r>
    <r>
      <rPr>
        <b/>
        <sz val="8"/>
        <color rgb="FF002B54"/>
        <rFont val="Calibri"/>
        <family val="2"/>
        <scheme val="minor"/>
      </rPr>
      <t>...</t>
    </r>
  </si>
  <si>
    <t>Carburos de silicio, aunque no sean de constitución química definida</t>
  </si>
  <si>
    <t>Dichlorofluoroethanes</t>
  </si>
  <si>
    <r>
      <t xml:space="preserve">Derivados halogenados de los hidrocarburos acíclicos con dos halógenos diferentes, perhalogenados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</si>
  <si>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Derivados halogenados de los hidrocarburos acíclicos con dos halógenos diferentes (sin perhalogenados,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</si>
  <si>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"Tri- y otros polialcoholes acíclicos (exc. 2-etil-2-""hidroximetil""propan-1,3- diol ""trimetilolpropano"",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</si>
  <si>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Alcoholes cíclicos aromáticos y sus derivados halogenados, sulfonados, nitrados o nitrosados </t>
    </r>
    <r>
      <rPr>
        <b/>
        <sz val="8"/>
        <color rgb="FF002B54"/>
        <rFont val="Calibri"/>
        <family val="2"/>
        <scheme val="minor"/>
      </rPr>
      <t>...</t>
    </r>
  </si>
  <si>
    <t>Octilfenol, nonilfenol y sus isómeros; sales de estos productos</t>
  </si>
  <si>
    <t>Naftoles y sus sales</t>
  </si>
  <si>
    <t>"4,4'-Isopropilidendifenol ""bisfenol A, difenilolpropano"" y sus sales"</t>
  </si>
  <si>
    <t>4,6-dinitro-o-cresol (DNOC (ISO)) y sus sales</t>
  </si>
  <si>
    <t>"Éter dietílico ""óxido de dietilo"""</t>
  </si>
  <si>
    <t>Acetona</t>
  </si>
  <si>
    <t>"4-Metilpentan-2-ona ""metilisobutilcetona"""</t>
  </si>
  <si>
    <t>Iononas y metiliononas</t>
  </si>
  <si>
    <t>"Cetonas aromáticas sin otras funciones oxigenadas (exc. fenilacetona ""fenilpropan-2-ona"")"</t>
  </si>
  <si>
    <t>Cetonas-alcoholes y cetonas-aldehídos</t>
  </si>
  <si>
    <t>Acetato de vinilo</t>
  </si>
  <si>
    <r>
      <t xml:space="preserve">Ácidos monocarboxílicos acíclicos, sus anhídridos, halogenuros, peróxidos y peroxiácidos; sus </t>
    </r>
    <r>
      <rPr>
        <b/>
        <sz val="8"/>
        <color rgb="FF002B54"/>
        <rFont val="Calibri"/>
        <family val="2"/>
        <scheme val="minor"/>
      </rPr>
      <t>...</t>
    </r>
  </si>
  <si>
    <t>Peróxido de benzoilo y cloruro de benzoilo</t>
  </si>
  <si>
    <t>Anhídrido maleico</t>
  </si>
  <si>
    <t>Ácido tereftálico y sus sales</t>
  </si>
  <si>
    <t>Ésteres del ácido salicílico y sus sales</t>
  </si>
  <si>
    <t>"2,4,5-T ""ISO"" ""2,4,5- tricloropenoxiacetico"", sus sales y éteres"</t>
  </si>
  <si>
    <t>fosfito de dietilo</t>
  </si>
  <si>
    <t>Toluidinas y sus derivados; sales de estos productos</t>
  </si>
  <si>
    <t>sulfonato de perfluorooctano dietanolamonio</t>
  </si>
  <si>
    <t>"2- ""N, N-diisopropilamino"" etanol"</t>
  </si>
  <si>
    <t>Lisina y sus ésteres; sales de estos productos</t>
  </si>
  <si>
    <t>"Etinamato ""DCI"""</t>
  </si>
  <si>
    <t>Derivados orgánicos de la hidrazina o de la hidroxilamina</t>
  </si>
  <si>
    <r>
      <t xml:space="preserve">Compuestos con funciones nitrogenadas (exc. compuestos con función amina; compuestos aminados </t>
    </r>
    <r>
      <rPr>
        <b/>
        <sz val="8"/>
        <color rgb="FF002B54"/>
        <rFont val="Calibri"/>
        <family val="2"/>
        <scheme val="minor"/>
      </rPr>
      <t>...</t>
    </r>
  </si>
  <si>
    <t>Sal de ácido metilfosfónico y (aminoiminometil) urea (1: 1)</t>
  </si>
  <si>
    <t>Derivados organofosforados halogenados químicamente definidos separados, n.c.o.p.</t>
  </si>
  <si>
    <t>Isosafrol</t>
  </si>
  <si>
    <t>"Tetrahidrocannabinoles ""todos los isómeros"""</t>
  </si>
  <si>
    <t>Hidantoína y sus derivados</t>
  </si>
  <si>
    <t>"4-Anilino-N-fenetilpiperidina ""ANPP"""</t>
  </si>
  <si>
    <r>
      <t xml:space="preserve">Compuestos heterocíclicos con heteroátomo/s de nitrógeno exclusivamente, cuya estructura contenga </t>
    </r>
    <r>
      <rPr>
        <b/>
        <sz val="8"/>
        <color rgb="FF002B54"/>
        <rFont val="Calibri"/>
        <family val="2"/>
        <scheme val="minor"/>
      </rPr>
      <t>...</t>
    </r>
  </si>
  <si>
    <t>sulfonamida N-Methylperfluorooctane</t>
  </si>
  <si>
    <t>N- (2-hidroxietil) -N-sulfonamida methylperfluorooctane</t>
  </si>
  <si>
    <t>Vitamina B1 y sus derivados utilizados principalmente como vitaminas</t>
  </si>
  <si>
    <r>
      <t xml:space="preserve">"Ácido D- o DL-pantoténico ""vitamina B3 o vitamina B5"" y sus derivados utilizados principalmente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</si>
  <si>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Placas, láminas, hojas y tiras, de resinas fenólicas no celulares y sin esfuerzo, estratificación </t>
    </r>
    <r>
      <rPr>
        <b/>
        <sz val="8"/>
        <color rgb="FF002B54"/>
        <rFont val="Calibri"/>
        <family val="2"/>
        <scheme val="minor"/>
      </rPr>
      <t>...</t>
    </r>
  </si>
  <si>
    <t>Asientos y tapas de inodoro, de plástico</t>
  </si>
  <si>
    <r>
      <t xml:space="preserve">"Neumáticos ""llantas neumáticas"" recauchutados, de caucho, de los tipos utilizados en automóviles </t>
    </r>
    <r>
      <rPr>
        <b/>
        <sz val="8"/>
        <color rgb="FF002B54"/>
        <rFont val="Calibri"/>
        <family val="2"/>
        <scheme val="minor"/>
      </rPr>
      <t>...</t>
    </r>
  </si>
  <si>
    <t>"Neumáticos ""llantas neumáticas"" recauchutados, de caucho, destinados a aeronaves"</t>
  </si>
  <si>
    <t>Preservativos, de caucho vulcanizado sin endurecer</t>
  </si>
  <si>
    <r>
      <t xml:space="preserve">Artículos de higiene o de farmacia, de caucho vulcanizado sin endurecer, incl. con partes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</si>
  <si>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Revestimientos para el suelo y alfombras, de caucho vulcanizado sin endurecer, con bordes biselados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</si>
  <si>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Caucho endurecido (por ejemplo: ebonita) en cualquier forma, incluidos los desechos y desperdicios;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</si>
  <si>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Cueros y pieles, en bruto, enteros, de bovino, incl. el búfalo, o de equino, incl. depilados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</si>
  <si>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"Pieles de ovino, en estado húmedo ""incl. Wet-blue"", curtidos, depilados, incluso divididos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</si>
  <si>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Plena flor sin dividir, de cueros preparados después del curtido o del secado y cueros y pieles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</si>
  <si>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Trozos, hojas o placas de cueros preparados después del curtido o del secado y cueros y pieles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</si>
  <si>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Cueros preparados después del curtido o del secado y cueros y pieles apergaminados, de porcino, </t>
    </r>
    <r>
      <rPr>
        <b/>
        <sz val="8"/>
        <color rgb="FF002B54"/>
        <rFont val="Calibri"/>
        <family val="2"/>
        <scheme val="minor"/>
      </rPr>
      <t>...</t>
    </r>
  </si>
  <si>
    <t>Pieles en bruto, de visón, enteras, incl. sin la cabeza, cola o patas</t>
  </si>
  <si>
    <t>leña, en los registros, palanquillas, ramitas, leña o formas similares, no coníferas</t>
  </si>
  <si>
    <t>Desperdicios y desechos, de madera, sin aglomerados en leños, (exc. aserrín, de madera)</t>
  </si>
  <si>
    <r>
      <t xml:space="preserve">"Pino ""Pinus spp."" en bruto, cuya sección transversal mínima sea =&gt; 15 cm, incluso descortezados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</si>
  <si>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"Madera de encina, roble, alcornoque y demás belloteros ""Quercus spp."", en bruto, incl. descortezada,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</si>
  <si>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"Haya ""Fagus spp."" en bruto, cuya mayor dimensión de la sección transversal es =&gt; 15 cm,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</si>
  <si>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"Abedul ""Betula spp."" en bruto, cuya mayor dimensión de la sección transversal es =&gt; 15 cm, </t>
    </r>
    <r>
      <rPr>
        <b/>
        <sz val="8"/>
        <color rgb="FF002B54"/>
        <rFont val="Calibri"/>
        <family val="2"/>
        <scheme val="minor"/>
      </rPr>
      <t>...</t>
    </r>
  </si>
  <si>
    <t>"Traviesas de ferrocarril o tranvía ""traviesas"" de madera, impregnada, coníferas"</t>
  </si>
  <si>
    <r>
      <t xml:space="preserve">"Pino ""Pinus spp."" aserrados o desbastados longitudinalmente, cortados o desenrollados, incluso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</si>
  <si>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"Dark red meranti, ""light red meranti"" y ""meranti bakau"", aserradas o desbastadas longitudinalmente,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</si>
  <si>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Sapelli, aserrada o desbastada longitudinalmente, cortada o desenrollada, de espesor &gt; 6 mm,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</si>
  <si>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"Arce ""Acer spp."", aserrada o desbastada longitudinalmente, cortada o desenrollada, de espesor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</si>
  <si>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"Fresno ""Fraxinus spp."", aserrada o desbastada longitudinalmente, cortada o desenrollada,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</si>
  <si>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Laminas de madera (exc. bambú, madera que consiste en laminas de &lt;=6mm, láminas de madera comprimida, </t>
    </r>
    <r>
      <rPr>
        <b/>
        <sz val="8"/>
        <color rgb="FF002B54"/>
        <rFont val="Calibri"/>
        <family val="2"/>
        <scheme val="minor"/>
      </rPr>
      <t>...</t>
    </r>
  </si>
  <si>
    <t>Madera densificada en bloques, tablas, tiras o perfiles</t>
  </si>
  <si>
    <t>Preparaciones para el maquillaje de los labios</t>
  </si>
  <si>
    <r>
      <t xml:space="preserve">Ultramar y sus preparaciones, del tipo de las usadas para colorear cualquier materia o como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</si>
  <si>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Peras, preparadas o conservadas, incl. con adición de azúcar u otro edulcorante o alcohol, </t>
    </r>
    <r>
      <rPr>
        <b/>
        <sz val="8"/>
        <color rgb="FF002B54"/>
        <rFont val="Calibri"/>
        <family val="2"/>
        <scheme val="minor"/>
      </rPr>
      <t>...</t>
    </r>
  </si>
  <si>
    <t>"Caucho butadieno ""BR"", en formas primarias o en placas, hojas o tiras"</t>
  </si>
  <si>
    <r>
      <t xml:space="preserve">"Caucho isobuteno-isopreno halogenado ""CIIR o BIIR"", en formas primarias o en placas, hojas </t>
    </r>
    <r>
      <rPr>
        <b/>
        <sz val="8"/>
        <color rgb="FF002B54"/>
        <rFont val="Calibri"/>
        <family val="2"/>
        <scheme val="minor"/>
      </rPr>
      <t>...</t>
    </r>
  </si>
  <si>
    <t>"Caucho isopreno ""IR"", en formas primarias o en placas, hojas o tiras"</t>
  </si>
  <si>
    <r>
      <t xml:space="preserve">Mezclas de caucho natural, balata, gutapercha, guayule, chicle y gomas naturales simil. con </t>
    </r>
    <r>
      <rPr>
        <b/>
        <sz val="8"/>
        <color rgb="FF002B54"/>
        <rFont val="Calibri"/>
        <family val="2"/>
        <scheme val="minor"/>
      </rPr>
      <t>...</t>
    </r>
  </si>
  <si>
    <t>Caucho regenerado en formas primarias o en placas, hojas o tiras</t>
  </si>
  <si>
    <r>
      <t xml:space="preserve">Caucho mezclado sin vulcanizar, en forma de disoluciones o dispersiones (exc. caucho con adición </t>
    </r>
    <r>
      <rPr>
        <b/>
        <sz val="8"/>
        <color rgb="FF002B54"/>
        <rFont val="Calibri"/>
        <family val="2"/>
        <scheme val="minor"/>
      </rPr>
      <t>...</t>
    </r>
  </si>
  <si>
    <t>"Fluoruro de hidrógeno ""ácido fluorhídrico"""</t>
  </si>
  <si>
    <t>Cloruros y oxicloruros</t>
  </si>
  <si>
    <r>
      <t xml:space="preserve">"Cloruros y oxicloruros (excl. Carbonilo dicloruro ""fosgeno"", fósforo oxi, tri y pentacloruro, </t>
    </r>
    <r>
      <rPr>
        <b/>
        <sz val="8"/>
        <color rgb="FF002B54"/>
        <rFont val="Calibri"/>
        <family val="2"/>
        <scheme val="minor"/>
      </rPr>
      <t>...</t>
    </r>
  </si>
  <si>
    <t>Amoníaco en disolución acuosa</t>
  </si>
  <si>
    <t>Óxidos y hidróxidos de cromo (exc. trióxido de cromo)</t>
  </si>
  <si>
    <t>Bases inorgánicas, así como óxidos, hidróxidos y peróxidos de metales, n.c.o.p.</t>
  </si>
  <si>
    <t>Fluoruros de aluminio</t>
  </si>
  <si>
    <t>Cloruros (exc. de amonio, calcio, magnesio, aluminio, hierro, cobalto, níquel y cinc)</t>
  </si>
  <si>
    <t>Sulfuros de sodio</t>
  </si>
  <si>
    <r>
      <t xml:space="preserve">Sulfuros (sodio excluido); polisulfuros, aunque no de constitución química definida (excepto </t>
    </r>
    <r>
      <rPr>
        <b/>
        <sz val="8"/>
        <color rgb="FF002B54"/>
        <rFont val="Calibri"/>
        <family val="2"/>
        <scheme val="minor"/>
      </rPr>
      <t>...</t>
    </r>
  </si>
  <si>
    <t>Tiosulfatos</t>
  </si>
  <si>
    <t>Macadán alquitranado</t>
  </si>
  <si>
    <t>"Carbonato de magnesio natural ""magnesita"""</t>
  </si>
  <si>
    <t>"Amianto de ""crocidolite"" (exc. productos hechos de crocidolite)"</t>
  </si>
  <si>
    <t>Minerales de níquel y sus concentrados</t>
  </si>
  <si>
    <t>Minerales de plata y sus concentrados</t>
  </si>
  <si>
    <r>
      <t xml:space="preserve">"Minerales y sus concentrados (exc. minerales de hierro, de manganeso, de cobre, de níquel, </t>
    </r>
    <r>
      <rPr>
        <b/>
        <sz val="8"/>
        <color rgb="FF002B54"/>
        <rFont val="Calibri"/>
        <family val="2"/>
        <scheme val="minor"/>
      </rPr>
      <t>...</t>
    </r>
  </si>
  <si>
    <t>Escorias granuladas (arena de escorias) de la siderurgia</t>
  </si>
  <si>
    <r>
      <t xml:space="preserve">Alquitranes de hulla, lignito o turba y demás alquitranes minerales, aunque estén deshidratados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</si>
  <si>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"Toluol ""tolueno"" con un contenido de tolueno &gt; 50% en peso (exc. de constitución química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</si>
  <si>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Mezclas de hidrocarburos aromáticos que destilen una proporción &gt;= 65% en volumen, incl. las </t>
    </r>
    <r>
      <rPr>
        <b/>
        <sz val="8"/>
        <color rgb="FF002B54"/>
        <rFont val="Calibri"/>
        <family val="2"/>
        <scheme val="minor"/>
      </rPr>
      <t>...</t>
    </r>
  </si>
  <si>
    <t>Metales alcalinos o alcalinotérreos (exc. sodio y calcio)</t>
  </si>
  <si>
    <t>"Caviar ""huevas de esturión"""</t>
  </si>
  <si>
    <t>Los pepinos de mar, preparados o conservados (sin ahumar)</t>
  </si>
  <si>
    <t>Las medusas, preparados o conservados (excepto ahumado)</t>
  </si>
  <si>
    <t>Azúcar de remolacha sólido, en bruto, sin adición de aromatizante ni colorante</t>
  </si>
  <si>
    <t>Aceites de girasol o cártamo, en bruto</t>
  </si>
  <si>
    <r>
      <t xml:space="preserve">Grasas y aceites de origen animal o vegetal y sus fracciones, parcial o totalmente hidrogenados,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</si>
  <si>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Grasas y aceites microbianos y sus fracciones, parcial o totalmente hidrogenados, interesterificados,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</si>
  <si>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Carne, despojos, sangre o insectos preparados homogeneizados, acondicionados para la venta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</si>
  <si>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Preparaciones y conservas, incl. las mezclas, de carne o de despojos de porcinos (exc. preparaciones </t>
    </r>
    <r>
      <rPr>
        <b/>
        <sz val="8"/>
        <color rgb="FF002B54"/>
        <rFont val="Calibri"/>
        <family val="2"/>
        <scheme val="minor"/>
      </rPr>
      <t>...</t>
    </r>
  </si>
  <si>
    <t>Extractos y jugos de carne, pescado o de crustáceos, moluscos o demás invertebrados acuáticos</t>
  </si>
  <si>
    <t>Preparaciones y conservas de arenque, entero o en trozos (exc. picado)</t>
  </si>
  <si>
    <r>
      <t xml:space="preserve">Agua, sin adición de azúcar u otro edulcorante ni aromatizados; hielo y nieve (exc. agua mineral, </t>
    </r>
    <r>
      <rPr>
        <b/>
        <sz val="8"/>
        <color rgb="FF002B54"/>
        <rFont val="Calibri"/>
        <family val="2"/>
        <scheme val="minor"/>
      </rPr>
      <t>...</t>
    </r>
  </si>
  <si>
    <t>Vino espumoso, de uvas frescas</t>
  </si>
  <si>
    <t>Gin y ginebra</t>
  </si>
  <si>
    <t>"Hongos del género ""Agaricus"", preparados o conservados (exc. en vinagre o en ácido acético)"</t>
  </si>
  <si>
    <r>
      <t xml:space="preserve">"Hortalizas, incl. ""silvestres"", en forma de preparaciones homogeneizadas, para la alimentación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</si>
  <si>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"Salvados, moyuelos y demás residuos del cernido, de la molienda o de otros tratamientos de </t>
    </r>
    <r>
      <rPr>
        <b/>
        <sz val="8"/>
        <color rgb="FF002B54"/>
        <rFont val="Calibri"/>
        <family val="2"/>
        <scheme val="minor"/>
      </rPr>
      <t>...</t>
    </r>
  </si>
  <si>
    <t>Residuos de la industria del almidón y residuos simil.</t>
  </si>
  <si>
    <t>Lías o heces de vino; tártaro bruto</t>
  </si>
  <si>
    <t>Grafito natural, en polvo o en escamas</t>
  </si>
  <si>
    <t>Mullita</t>
  </si>
  <si>
    <t>"Sulfato de bario natural ""baritina"""</t>
  </si>
  <si>
    <t>"Carbonato de bario natural ""witherita"", incl. calcinado"</t>
  </si>
  <si>
    <t>Mármol y travertinos, en bruto o desbastados</t>
  </si>
  <si>
    <r>
      <t xml:space="preserve">Granito, simplemente troceado, por aserrado o de otro modo, en bloques o en placas cuadradas </t>
    </r>
    <r>
      <rPr>
        <b/>
        <sz val="8"/>
        <color rgb="FF002B54"/>
        <rFont val="Calibri"/>
        <family val="2"/>
        <scheme val="minor"/>
      </rPr>
      <t>...</t>
    </r>
  </si>
  <si>
    <t>"Cera de poli""oxietileno"" [polietilenglicol]"</t>
  </si>
  <si>
    <r>
      <t xml:space="preserve">Encáusticos y preparaciones simil. para la conservación de muebles de madera, parqués u otras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</si>
  <si>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Pastas para modelar, incluidas las presentadas para entretenimiento de los niños; preparaciones </t>
    </r>
    <r>
      <rPr>
        <b/>
        <sz val="8"/>
        <color rgb="FF002B54"/>
        <rFont val="Calibri"/>
        <family val="2"/>
        <scheme val="minor"/>
      </rPr>
      <t>...</t>
    </r>
  </si>
  <si>
    <t>Enzimas y preparaciones enzimáticas, n.c.o.p. (exc. cuajo y sus concentrados)</t>
  </si>
  <si>
    <t>Cápsulas fulminantes</t>
  </si>
  <si>
    <r>
      <t xml:space="preserve">Placas y películas planas, fotográficas, sensibilizadas, sin impresionar, en las que por lo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</si>
  <si>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Preparaciones químicas para uso fotográfico y productos sin mezclar para uso fotográfico, dosificados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</si>
  <si>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Productos de la partida 3808 que contiene uno o más de las sustancias siguientes: aldrina (ISO);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</si>
  <si>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Productos de la partida 3808 que contengan una o más de las siguientes sustancias: alaclor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</si>
  <si>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Herbicidas, inhibidores de germinación y reguladores del crecimiento de las plantas, presentados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</si>
  <si>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Inhibidores de oxidación, aditivos peptizantes, mejoradores de viscosidad, anticorrosivos y </t>
    </r>
    <r>
      <rPr>
        <b/>
        <sz val="8"/>
        <color rgb="FF002B54"/>
        <rFont val="Calibri"/>
        <family val="2"/>
        <scheme val="minor"/>
      </rPr>
      <t>...</t>
    </r>
  </si>
  <si>
    <t>"Las mezclas de oligómeros de 2,2,4-trimetil-1,2-dihidroquinolina ""TMQ"""</t>
  </si>
  <si>
    <r>
      <t xml:space="preserve">Elementos químicos dopados para uso en electrónica, en discos, obleas (wafers) o formas análogas;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</si>
  <si>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Reactivos de diagnóstico o de laboratorio sobre cualquier soporte y reactivos de diagnóstico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</si>
  <si>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"Ácidos grasos monocarboxílicos industriales; aceites ácidos del refinado (exc. ácido esteárico, </t>
    </r>
    <r>
      <rPr>
        <b/>
        <sz val="8"/>
        <color rgb="FF002B54"/>
        <rFont val="Calibri"/>
        <family val="2"/>
        <scheme val="minor"/>
      </rPr>
      <t>...</t>
    </r>
  </si>
  <si>
    <t>Morteros y hormigones, no refractarios</t>
  </si>
  <si>
    <t>Mezclas y preparaciones que contienen parafinas cloradas de cadena corta</t>
  </si>
  <si>
    <r>
      <t xml:space="preserve">Productos químicos y preparaciones de la industria química o de las industrias conexas, incl. </t>
    </r>
    <r>
      <rPr>
        <b/>
        <sz val="8"/>
        <color rgb="FF002B54"/>
        <rFont val="Calibri"/>
        <family val="2"/>
        <scheme val="minor"/>
      </rPr>
      <t>...</t>
    </r>
  </si>
  <si>
    <t>Ésteres de poliglicol del ácido metilfosfónico</t>
  </si>
  <si>
    <t>Desechos clínicos</t>
  </si>
  <si>
    <r>
      <t xml:space="preserve">Desechos de la industria química o de las industrias conexas, que contengan principalmente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</si>
  <si>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"Mezclas que contienen perfluorocarbonos ""PFC"" (exc. que contienen clorofluorocarbonos ""CFC"",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</si>
  <si>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"Mezclas que contengan otros hidrofluorocarburos ""HFC"" distintos de los de las subpartidas </t>
    </r>
    <r>
      <rPr>
        <b/>
        <sz val="8"/>
        <color rgb="FF002B54"/>
        <rFont val="Calibri"/>
        <family val="2"/>
        <scheme val="minor"/>
      </rPr>
      <t>...</t>
    </r>
  </si>
  <si>
    <t>Poliisobutileno, en formas primarias</t>
  </si>
  <si>
    <r>
      <t xml:space="preserve">Copolímeros de cloruro de vinilo, en formas primarias (exc. copolímeros de vinilo y acetato </t>
    </r>
    <r>
      <rPr>
        <b/>
        <sz val="8"/>
        <color rgb="FF002B54"/>
        <rFont val="Calibri"/>
        <family val="2"/>
        <scheme val="minor"/>
      </rPr>
      <t>...</t>
    </r>
  </si>
  <si>
    <t>"Poli""acetato de vinilo"", en formas primarias (exc. en dispersión acuosa)"</t>
  </si>
  <si>
    <t>Copolímeros de acetato de vinilo, en formas primarias (exc. en dispersión acuosa)</t>
  </si>
  <si>
    <t>Poliéteres, en formas primarias (excepto los poliacetales y bienes de 3002 10)</t>
  </si>
  <si>
    <t>Resinas amínicas, en formas primarias (exc. De urea, resinas de tiourea y melamina y MDI)</t>
  </si>
  <si>
    <t>Intercambiadores de iones a base de polímeros de las partidas 3901 a 3913, en formas primarias</t>
  </si>
  <si>
    <t>Tripas artificiales de proteínas endurecidas o de plástico celulósico</t>
  </si>
  <si>
    <t>Kiwis, frescos</t>
  </si>
  <si>
    <t>Membrillos frescos</t>
  </si>
  <si>
    <t>"Filetes de arenque ""Clupea harengus"" y ""Clupea pallasii"", congelados"</t>
  </si>
  <si>
    <t>Apio, fresco o refrigerado (exc. apionabo)</t>
  </si>
  <si>
    <t>"Hongos del género ""Agaricus"", frescos o refrigerados"</t>
  </si>
  <si>
    <t>"Semilla de sésamo ""ajonjolí"", incl. quebrantada"</t>
  </si>
  <si>
    <t>Paja de adormidera, fresca o seca, incl. cortada, triturada o pulverizada</t>
  </si>
  <si>
    <r>
      <t xml:space="preserve">Algas marinas y otras algas, frescas, refrigeradas, congeladas o secas, con o sin tierra, no </t>
    </r>
    <r>
      <rPr>
        <b/>
        <sz val="8"/>
        <color rgb="FF002B54"/>
        <rFont val="Calibri"/>
        <family val="2"/>
        <scheme val="minor"/>
      </rPr>
      <t>...</t>
    </r>
  </si>
  <si>
    <t>"Extracto vegetal de piretro ""pelitre"" o de raíces que contengan rotenona"</t>
  </si>
  <si>
    <t>Agar-agar, incl. modificado</t>
  </si>
  <si>
    <t>Bambú</t>
  </si>
  <si>
    <r>
      <t xml:space="preserve">Las demás grasas y aceites animales, y sus fracciones, incluso refinados, pero sin modificar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</si>
  <si>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"Aceite de cacahuete ""cacahuate, maní"" y sus fracciones, incl. refinados, sin modificar químicamente </t>
    </r>
    <r>
      <rPr>
        <b/>
        <sz val="8"/>
        <color rgb="FF002B54"/>
        <rFont val="Calibri"/>
        <family val="2"/>
        <scheme val="minor"/>
      </rPr>
      <t>...</t>
    </r>
  </si>
  <si>
    <t>Semillas de mijo para siembra (exc. ??sorgo de grano)</t>
  </si>
  <si>
    <t>Triticale</t>
  </si>
  <si>
    <t>Germen de cereales entero, aplastado, en copos o molido</t>
  </si>
  <si>
    <t>Copra</t>
  </si>
  <si>
    <t>Carne deshuesada, de bovinos, fresca o refrigerada</t>
  </si>
  <si>
    <t>Piernas, paletas, y sus trozos, sin deshuesar, de porcinos, congelados, incluidos los huesos.</t>
  </si>
  <si>
    <r>
      <t xml:space="preserve">"Cortes ""trozos"" de ovinos, sin deshuesar, frescos o refrigerados (exc. canales o medias </t>
    </r>
    <r>
      <rPr>
        <b/>
        <sz val="8"/>
        <color rgb="FF002B54"/>
        <rFont val="Calibri"/>
        <family val="2"/>
        <scheme val="minor"/>
      </rPr>
      <t>...</t>
    </r>
  </si>
  <si>
    <t>Carnes deshuesadas de ovinos, congeladas</t>
  </si>
  <si>
    <t>Despojos de porcino, comestibles, congelados (exc. los hígados)</t>
  </si>
  <si>
    <t>Gallos y gallinas de especies domésticas, sin trocear, frescos o refrigerados</t>
  </si>
  <si>
    <t>"Pavos ""gallipavos"" de especies domésticas, sin trocear, frescos o refrigerados"</t>
  </si>
  <si>
    <t>De carne congelada y despojos comestibles de patos domésticos</t>
  </si>
  <si>
    <t>De carne congelada y despojos comestibles de los gansos domésticos</t>
  </si>
  <si>
    <t>Carne y despojos comestibles de pintadas domésticas, frescas, refrigeradas o congeladas</t>
  </si>
  <si>
    <r>
      <t xml:space="preserve">Fresca, refrigerada o congelada y despojos comestibles de ballenas, delfines y marsopas (mamíferos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</si>
  <si>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Carne y despojos comestibles de reptiles, incl. las serpientes y las tortugas de mar, frescos,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</si>
  <si>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"Carne y despojos comestibles, salados o en salmuera, secos o ahumados, y harina y polvo comestibles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</si>
  <si>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"Salmón del Pacífico fresco o refrigerado ""Oncorhynchus nerka, Oncorhynchus gorbuscha, Oncorhynchus </t>
    </r>
    <r>
      <rPr>
        <b/>
        <sz val="8"/>
        <color rgb="FF002B54"/>
        <rFont val="Calibri"/>
        <family val="2"/>
        <scheme val="minor"/>
      </rPr>
      <t>...</t>
    </r>
  </si>
  <si>
    <t>"Sollas ""Pleuronectes platessa"", frescas o refrigeradas"</t>
  </si>
  <si>
    <t>"Rodaballo fresco o refrigerado ""Psetta maxima"""</t>
  </si>
  <si>
    <t>"Pez espada ""Xiphias gladius"", fresco o refrigerado"</t>
  </si>
  <si>
    <r>
      <t xml:space="preserve">"Caballas indias frescas o refrigeradas ""Rastrelliger spp."", Pez espárragos ""Scomberomorus </t>
    </r>
    <r>
      <rPr>
        <b/>
        <sz val="8"/>
        <color rgb="FF002B54"/>
        <rFont val="Calibri"/>
        <family val="2"/>
        <scheme val="minor"/>
      </rPr>
      <t>...</t>
    </r>
  </si>
  <si>
    <t>"Bagre frescos o refrigerados ""Pangasius spp. Silurus spp. Clarias spp. Ictalurus spp."""</t>
  </si>
  <si>
    <t>"Lubina fresca o refrigerada ""Dicentrarchus spp."""</t>
  </si>
  <si>
    <t>Animales vivos (excepto los de pura raza para reproducción)</t>
  </si>
  <si>
    <t>Patos vivos domésticos, de peso &lt;= 185 g</t>
  </si>
  <si>
    <t>Pintadas domésticas vivas, de peso &lt;= 185 g</t>
  </si>
  <si>
    <t>"Salmones del Atlántico ""Salmo salar"" y salmones del Danubio ""Hucho hucho"" congelados"</t>
  </si>
  <si>
    <t>Salmónidos congelados (excepto la trucha y el Pacífico, Atlántico y salmón del Danubio)</t>
  </si>
  <si>
    <t>Perca del Nilo (Lates niloticus) y cabezas de serpiente (Channa spp.) congeladas</t>
  </si>
  <si>
    <t>"Atunes del sur ""Thunnus maccoyii"", congelados"</t>
  </si>
  <si>
    <t>"Bacalao congelado ""Gadus morhua, Gadus ogac, Gadus macrocephalus"""</t>
  </si>
  <si>
    <t>"Filetes frescos o refrigerados de perca del Nilo ""Lates niloticus"""</t>
  </si>
  <si>
    <r>
      <t xml:space="preserve">"Trucha ahumada ""Salmo trutta, Oncorhynchus mykiss, Oncorhynchus clarki, aguabonita Oncorhynchus,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</si>
  <si>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"Bacalao ""Gadus morhua, Gadus ogac, Gadus macrocephalus"", (exc. ??filetes y vísceras) salados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</si>
  <si>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"Camarones y langostinos ""Pandalus spp. Crangon crangon"", incluso ahumado, incluso pelados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</si>
  <si>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"Langosta y otros langostinos ""Palinurus spp., Panulirus spp. Y Jasus spp."", Con o sin cáscara,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</si>
  <si>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Crustáceos, aptos para la alimentación humana, incluso pelados, secos, salados, ahumados 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</si>
  <si>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"Vivas, frescas o refrigeradas, no ahumadas, mejillones ""Mytilus spp. Perna spp."", Con 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</si>
  <si>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"Moluscos vivos, frescos o refrigerados, incluso con concha (exc. ​​Ostras, vieiras de los </t>
    </r>
    <r>
      <rPr>
        <b/>
        <sz val="8"/>
        <color rgb="FF002B54"/>
        <rFont val="Calibri"/>
        <family val="2"/>
        <scheme val="minor"/>
      </rPr>
      <t>...</t>
    </r>
  </si>
  <si>
    <t>"Mantequilla ""manteca"" (exc. mantequilla deshidratada y ""ghee"")"</t>
  </si>
  <si>
    <t>Yemas de huevo, secas, incl. con adición de azúcar u otro edulcorante</t>
  </si>
  <si>
    <t>Marfil, en bruto o simplemente preparado (exc. el cortado en forma determinada)</t>
  </si>
  <si>
    <t>"Lirios frescos cortados ""Lilium spp."" y las yemas, de una, para ramos o adornos"</t>
  </si>
  <si>
    <r>
      <t xml:space="preserve">Secos, blanqueados, teñidos, impregnados o preparados de otro modo las flores y capullos, de </t>
    </r>
    <r>
      <rPr>
        <b/>
        <sz val="8"/>
        <color rgb="FF002B54"/>
        <rFont val="Calibri"/>
        <family val="2"/>
        <scheme val="minor"/>
      </rPr>
      <t>...</t>
    </r>
  </si>
  <si>
    <t>Nitritos</t>
  </si>
  <si>
    <t>Carbonatos de litio</t>
  </si>
  <si>
    <t>Cianuros complejos (exc. de compuestos inorganicos u organicos de mercurio)</t>
  </si>
  <si>
    <r>
      <t xml:space="preserve">Elementos e isótopos y compuestos, radiactivos, así como aleaciones, dispersiones, incl. el </t>
    </r>
    <r>
      <rPr>
        <b/>
        <sz val="8"/>
        <color rgb="FF002B54"/>
        <rFont val="Calibri"/>
        <family val="2"/>
        <scheme val="minor"/>
      </rPr>
      <t>...</t>
    </r>
  </si>
  <si>
    <t>Peróxido de hidrógeno (agua oxigenada), incluso solidificado con urea</t>
  </si>
  <si>
    <t>Cumeno</t>
  </si>
  <si>
    <r>
      <t xml:space="preserve">Hidrocarburos cíclicos (exc. ciclánicos, ciclénicos o cicloterpénicos, así como benceno, tolueno, </t>
    </r>
    <r>
      <rPr>
        <b/>
        <sz val="8"/>
        <color rgb="FF002B54"/>
        <rFont val="Calibri"/>
        <family val="2"/>
        <scheme val="minor"/>
      </rPr>
      <t>...</t>
    </r>
  </si>
  <si>
    <t>Tricloroetileno</t>
  </si>
  <si>
    <t>Aldrina (ISO), clordano (ISO) y heptacloro (ISO)</t>
  </si>
  <si>
    <t>"Pentaclorobenceno ""ISO"""</t>
  </si>
  <si>
    <t>"Metanol ""alcohol metílico"""</t>
  </si>
  <si>
    <r>
      <t xml:space="preserve">"Dodecan-1-ol ""alcohol laurílico"", hexadecan-1-ol ""alcohol cetílico"" y octadecan-1-ol ""alcohol </t>
    </r>
    <r>
      <rPr>
        <b/>
        <sz val="8"/>
        <color rgb="FF002B54"/>
        <rFont val="Calibri"/>
        <family val="2"/>
        <scheme val="minor"/>
      </rPr>
      <t>...</t>
    </r>
  </si>
  <si>
    <t>Monoalcoholes acíclicos no saturados (exc. alcoholes terpénicos acíclicos)</t>
  </si>
  <si>
    <t>"Propilenglicol ""propano-1,2-diol"""</t>
  </si>
  <si>
    <t>Mentol</t>
  </si>
  <si>
    <t>Alcohol bencílico</t>
  </si>
  <si>
    <t>"Fenol ""hidroxibenceno"" y sus sales"</t>
  </si>
  <si>
    <t>Resorcinol y sus sales</t>
  </si>
  <si>
    <r>
      <t xml:space="preserve">"Polifenoles y fenoles-alcoholes (exc. resorcinol y sus sales; hidroquinona y sus sales; 4,4'-isopropilidendifenol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</si>
  <si>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Derivados solamente halogenados de los fenoles o de los fenoles- alcoholes y sus sales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</si>
  <si>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Éteres ciclánicos, ciclénicos, cicloterpénicos y sus derivados halogenados, sulfonados, nitrados </t>
    </r>
    <r>
      <rPr>
        <b/>
        <sz val="8"/>
        <color rgb="FF002B54"/>
        <rFont val="Calibri"/>
        <family val="2"/>
        <scheme val="minor"/>
      </rPr>
      <t>...</t>
    </r>
  </si>
  <si>
    <t>"Metiloxirano ""óxido de propileno"""</t>
  </si>
  <si>
    <t>"Dieldrin ""ISO""""INN"""</t>
  </si>
  <si>
    <t>"Aldehídos cíclicos sin otras funciones oxigenadas (exc. benzaldehído ""aldehído benzoico"")"</t>
  </si>
  <si>
    <t>Polímeros cíclicos de los aldehídos</t>
  </si>
  <si>
    <t>Cetonas-fenoles y cetonas con otras funciones oxigenadas</t>
  </si>
  <si>
    <t>Quinonas (exc. antraquinona)</t>
  </si>
  <si>
    <t>Ésteres del ácido acrílico</t>
  </si>
  <si>
    <t>Ácido adípico y sus sales y ésteres</t>
  </si>
  <si>
    <t>Ortoftalatos de dioctilo</t>
  </si>
  <si>
    <t>Ésteres del ácido ortoftálico (sin dioctilo, dinonilo o Ortoftalatos Didecil)</t>
  </si>
  <si>
    <r>
      <t xml:space="preserve">Ácidos carboxílicos con función alcohol, pero sin otra función oxigenada, sus anhídridos, halogenuros,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</si>
  <si>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Ácidos carboxílicos con función fenol, pero sin otra función oxigenada, sus anhídridos, halogenuros,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</si>
  <si>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Ácidos carboxílicos con función aldehído o cetona, pero sin otra función oxigenada, sus anhídridos, </t>
    </r>
    <r>
      <rPr>
        <b/>
        <sz val="8"/>
        <color rgb="FF002B54"/>
        <rFont val="Calibri"/>
        <family val="2"/>
        <scheme val="minor"/>
      </rPr>
      <t>...</t>
    </r>
  </si>
  <si>
    <t>Fosfito de trietilo</t>
  </si>
  <si>
    <t>Dietilamina y sus sales</t>
  </si>
  <si>
    <t>Hexametilendiamina y sus sales</t>
  </si>
  <si>
    <r>
      <t xml:space="preserve">"1-Naftilamina ""alfa-naftilamina"", 2-naftilamina ""beta-naftilamina"" y sus derivados; sales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</si>
  <si>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"Amino-aldehídos, amino-cetonas y amino-quinonas; sales de estos productos (exc. los que contengan </t>
    </r>
    <r>
      <rPr>
        <b/>
        <sz val="8"/>
        <color rgb="FF002B54"/>
        <rFont val="Calibri"/>
        <family val="2"/>
        <scheme val="minor"/>
      </rPr>
      <t>...</t>
    </r>
  </si>
  <si>
    <t>Ácido antranílico y sus sales</t>
  </si>
  <si>
    <t>"Clorodimoformo ""ISO"""</t>
  </si>
  <si>
    <t>"Ditiocarbonatos ""xantatos y xantogenatos"""</t>
  </si>
  <si>
    <t>Propilfosfonato de dimetilo</t>
  </si>
  <si>
    <t>Derivados orgánicos de fósforo no halogenados químicamente definidos separados, n.c.o.p.</t>
  </si>
  <si>
    <t>Lactonas</t>
  </si>
  <si>
    <t>Piperonal</t>
  </si>
  <si>
    <t>"Malonilurea ""ácido barbitúrico"" y sus sales"</t>
  </si>
  <si>
    <t>Sulfonamidas</t>
  </si>
  <si>
    <t>Sulfonamidas (excl. Sulfonamidas perfluorooctano)</t>
  </si>
  <si>
    <t>Somatropina, sus derivados y análogos estructurales, utilizados principalmente como hormonas</t>
  </si>
  <si>
    <r>
      <t xml:space="preserve">Productos inmunológicos acondicionados en dosis medidas o en formas o envases para la venta </t>
    </r>
    <r>
      <rPr>
        <b/>
        <sz val="8"/>
        <color rgb="FF002B54"/>
        <rFont val="Calibri"/>
        <family val="2"/>
        <scheme val="minor"/>
      </rPr>
      <t>...</t>
    </r>
  </si>
  <si>
    <t>Sangre humana; Sangre animal preparada para usos terapéuticos, profilácticos o de diagnóstico.</t>
  </si>
  <si>
    <r>
      <t xml:space="preserve">Medicamentos, que contengan antibióticos, sin dosificar ni acondicionar para la venta al por </t>
    </r>
    <r>
      <rPr>
        <b/>
        <sz val="8"/>
        <color rgb="FF002B54"/>
        <rFont val="Calibri"/>
        <family val="2"/>
        <scheme val="minor"/>
      </rPr>
      <t>...</t>
    </r>
  </si>
  <si>
    <t>Medicamentos, que contengan insulina, sin dosificar ni acondicionar para la venta al por menor</t>
  </si>
  <si>
    <t>Reactivos para la determinación de los grupos o de los factores sanguíneos</t>
  </si>
  <si>
    <r>
      <t xml:space="preserve">Preparaciones opacificantes para exámenes radiológicos; reactivos de diagnóstico concebidos </t>
    </r>
    <r>
      <rPr>
        <b/>
        <sz val="8"/>
        <color rgb="FF002B54"/>
        <rFont val="Calibri"/>
        <family val="2"/>
        <scheme val="minor"/>
      </rPr>
      <t>...</t>
    </r>
  </si>
  <si>
    <t>Cementos y demás productos de obturación dental; cementos para la refección de los huesos</t>
  </si>
  <si>
    <r>
      <t xml:space="preserve">Sales dobles y mezclas entre sí de sulfato de amonio y de nitrato de amonio (exc. en tabletas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</si>
  <si>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Nitrato de amonio, incl. en disolución acuosa (exc. en tabletas o formas simil. o en envases </t>
    </r>
    <r>
      <rPr>
        <b/>
        <sz val="8"/>
        <color rgb="FF002B54"/>
        <rFont val="Calibri"/>
        <family val="2"/>
        <scheme val="minor"/>
      </rPr>
      <t>...</t>
    </r>
  </si>
  <si>
    <t>Superfosfatos (exc. en tabletas o formas simil. o en envases de un peso bruto &lt;= 10 kg)</t>
  </si>
  <si>
    <r>
      <t xml:space="preserve">Cloruro de potasio, para su utilización como abono (exc. en tabletas o formas simil. o en envases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</si>
  <si>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Abonos de origen animal, vegetal, mineral o químico, en tabletas o formas simil. o en envases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</si>
  <si>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"Abonos minerales o químicos, que contengan nitratos y fosfatos (exc. en tabletas o formas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</si>
  <si>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Abonos minerales o químicos, que contengan los dos elementos fertilizantes nitrógeno y potasio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</si>
  <si>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"Tejidos de punto, de anchura &gt; 30 cm, de fibras sintéticas, crudos o blanqueados (exc. tejidos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</si>
  <si>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"Tejidos de punto, de anchura &gt; 30 cm, de fibras sintéticas, con hilados de distintos colores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</si>
  <si>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fibras sintéticas discontinuas, con un contenido de fibras discontinuas de poliéster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</si>
  <si>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fibras con un alto contenido de fibras discontinuas de poliéster, pero &lt; 85% en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</si>
  <si>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Guata de algodón y artículos de esta guata (exc. compresas y tampones higiénicos, pañales para </t>
    </r>
    <r>
      <rPr>
        <b/>
        <sz val="8"/>
        <color rgb="FF002B54"/>
        <rFont val="Calibri"/>
        <family val="2"/>
        <scheme val="minor"/>
      </rPr>
      <t>...</t>
    </r>
  </si>
  <si>
    <t>Revestimientos para el suelo de fibras de coco, tejidas, aunque estén confeccionados</t>
  </si>
  <si>
    <r>
      <t xml:space="preserve">Conjuntos de punto, de fibras sintéticas, para mujeres o niñas (exc. conjuntos de esquí y trajes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</si>
  <si>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Abrigos, impermeables, chaquetones, capas y artículos simil., de materia textil, para hombres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</si>
  <si>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"Anoraks, cazadoras y artículos simil., de lana o pelo fino, para hombres o niños (exc.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</si>
  <si>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"Calzas, ""panty-medias"" y leotardos, de punto, de fibras sintéticas, de título &gt;= 67 decitex </t>
    </r>
    <r>
      <rPr>
        <b/>
        <sz val="8"/>
        <color rgb="FF002B54"/>
        <rFont val="Calibri"/>
        <family val="2"/>
        <scheme val="minor"/>
      </rPr>
      <t>...</t>
    </r>
  </si>
  <si>
    <t>Rodio, en bruto o en polvo</t>
  </si>
  <si>
    <t>Chapado (plaqué) de platino sobre metal común, plata u oro, en bruto o semilabrado</t>
  </si>
  <si>
    <t>Ferrocromo, con un contenido de carbono &lt;= 4% en peso</t>
  </si>
  <si>
    <r>
      <t xml:space="preserve">"Productos férreos esponjosos, obtenidos por atomización de fundición en bruto, y hierro con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</si>
  <si>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"Productos planos anchos, también llam. ""planos universales"", de hierro o acero sin alear, </t>
    </r>
    <r>
      <rPr>
        <b/>
        <sz val="8"/>
        <color rgb="FF002B54"/>
        <rFont val="Calibri"/>
        <family val="2"/>
        <scheme val="minor"/>
      </rPr>
      <t>...</t>
    </r>
  </si>
  <si>
    <t>Productos planos de hierro o acero sin alear, de anchura &lt; 600 mm, estañados</t>
  </si>
  <si>
    <r>
      <t xml:space="preserve">"Alambrón de hierro o acero sin alear, enrollado en espiras irregulares ""coronas"" (exc.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</si>
  <si>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Barras de hierro o acero sin alear, simplemente laminadas o extrudidas en caliente, de sección </t>
    </r>
    <r>
      <rPr>
        <b/>
        <sz val="8"/>
        <color rgb="FF002B54"/>
        <rFont val="Calibri"/>
        <family val="2"/>
        <scheme val="minor"/>
      </rPr>
      <t>...</t>
    </r>
  </si>
  <si>
    <t>Barras de acero de fácil mecanización, sin alear, simplemente obtenidas o acabadas en frío</t>
  </si>
  <si>
    <r>
      <t xml:space="preserve">Perfiles en H, de hierro o acero sin alear, simplemente laminados o extrudidos en caliente,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</si>
  <si>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Perfiles de hierro o acero sin alear, simplemente obtenidos o acabados en frío (exc. perfiles </t>
    </r>
    <r>
      <rPr>
        <b/>
        <sz val="8"/>
        <color rgb="FF002B54"/>
        <rFont val="Calibri"/>
        <family val="2"/>
        <scheme val="minor"/>
      </rPr>
      <t>...</t>
    </r>
  </si>
  <si>
    <t>Productos intermedios de acero inoxidable, de sección transversal rectangular</t>
  </si>
  <si>
    <r>
      <t xml:space="preserve">Productos laminados planos de acero inoxidable, de anchura &lt; 600 mm, simplemente laminados </t>
    </r>
    <r>
      <rPr>
        <b/>
        <sz val="8"/>
        <color rgb="FF002B54"/>
        <rFont val="Calibri"/>
        <family val="2"/>
        <scheme val="minor"/>
      </rPr>
      <t>...</t>
    </r>
  </si>
  <si>
    <t>Alambrón de acero inoxidable</t>
  </si>
  <si>
    <r>
      <t xml:space="preserve">Barras de acero inoxidable, simplemente laminadas o extrudidas en caliente (exc. de sección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</si>
  <si>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Barras de acero inoxidable, obtenidas o acabadas en frío y trabajadas, o simplemente forjadas </t>
    </r>
    <r>
      <rPr>
        <b/>
        <sz val="8"/>
        <color rgb="FF002B54"/>
        <rFont val="Calibri"/>
        <family val="2"/>
        <scheme val="minor"/>
      </rPr>
      <t>...</t>
    </r>
  </si>
  <si>
    <t>Productos intermedios de aceros aleados, distinto del acero inoxidable</t>
  </si>
  <si>
    <t>Productos planos de acero rápido, de anchura &lt; 600 mm, laminados en frío o en caliente</t>
  </si>
  <si>
    <t>"Alambrón de acero rápido, enrollado en espiras irregulares ""coronas"""</t>
  </si>
  <si>
    <r>
      <t xml:space="preserve">Barras de aceros aleados, distinto del acero inoxidable, simplemente laminadas o extrudidas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</si>
  <si>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Tubos y perfiles huecos, sin soldadura, de sección circular, de acero inoxidable, estirados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</si>
  <si>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con un alto contenido de fibras artificiales discontinuas, pero &lt; 85% en peso, mezclados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</si>
  <si>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de elastómeros de filamentos sintéticos, sencillos, sin torsión o con una torsión &lt;=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</si>
  <si>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de alta tenacidad, de filamentos de rayón viscosa (exc. hilos de coser e hilados acondicionados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</si>
  <si>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tiras o formas simil. de filamentos sintéticos, incl. los monofilamentos de título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</si>
  <si>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Estopa de filamentos a que se refiere la nota 1 del capítulo 55, de nailon o demás poliamidas </t>
    </r>
    <r>
      <rPr>
        <b/>
        <sz val="8"/>
        <color rgb="FF002B54"/>
        <rFont val="Calibri"/>
        <family val="2"/>
        <scheme val="minor"/>
      </rPr>
      <t>...</t>
    </r>
  </si>
  <si>
    <t>Cables de filamentos de poliésteres, de conformidad con la nota 1 del capítulo 55</t>
  </si>
  <si>
    <r>
      <t xml:space="preserve">Telas recubiertas de cola o materias amiláceas, de los tipos utilizados para la encuadernación,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</si>
  <si>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Telas cauchutadas, n.c.o.p. (exc. telas de punto, de punto y cintas adhesivas de anchura &lt;=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</si>
  <si>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"Terciopelo y felpa, de punto (exc. de algodón o de fibras sintéticas o artificiales, así como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</si>
  <si>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"Tejidos de punto, de anchura &lt;= 30 cm (exc. de lana o pelo fino, de algodón, de fibras sintéticas </t>
    </r>
    <r>
      <rPr>
        <b/>
        <sz val="8"/>
        <color rgb="FF002B54"/>
        <rFont val="Calibri"/>
        <family val="2"/>
        <scheme val="minor"/>
      </rPr>
      <t>...</t>
    </r>
  </si>
  <si>
    <t>Tejidos de punto por urdimbre, de fibras sintéticas, antimalárico, de anchura&gt; 30 cm</t>
  </si>
  <si>
    <r>
      <t xml:space="preserve">"Alfombras y demás revestimientos para el suelo, de nailon o demás poliamidas, con mechones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</si>
  <si>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"Césped, de materia textil sintética o artificial, con mechones ""perforados"", incluso confeccionados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</si>
  <si>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"Terciopelo y felpa por trama, cortados, rayados ""pana rayada"" [""corduroy""], de algodón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</si>
  <si>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Terciopelo y felpa y tejidos de chenilla (exc. de fibras sintéticas o artificiales, de lana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</si>
  <si>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con bucles del tipo toalla (exc. de algodón, así como cintas de la partida 5806 y alfombras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</si>
  <si>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Encajes en pieza, en tiras o en aplicaciones, fabricados a máquina (exc. de fibras sintéticas </t>
    </r>
    <r>
      <rPr>
        <b/>
        <sz val="8"/>
        <color rgb="FF002B54"/>
        <rFont val="Calibri"/>
        <family val="2"/>
        <scheme val="minor"/>
      </rPr>
      <t>...</t>
    </r>
  </si>
  <si>
    <t>Trenzas de materias textil, en pieza</t>
  </si>
  <si>
    <r>
      <t xml:space="preserve">Tejidos de algodón, con un contenido de algodón &gt;= 85% en peso, de peso &gt; 200 g/m², blanqueados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</si>
  <si>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algodón, con un contenido de algodón &gt;= 85% en peso, de peso &lt;= 200 g/m², crudos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</si>
  <si>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Clasificadores, encuadernaciones distintas de las cubiertas para libros, carpetas y cubiertas </t>
    </r>
    <r>
      <rPr>
        <b/>
        <sz val="8"/>
        <color rgb="FF002B54"/>
        <rFont val="Calibri"/>
        <family val="2"/>
        <scheme val="minor"/>
      </rPr>
      <t>...</t>
    </r>
  </si>
  <si>
    <t>"Formularios en paquetes o plegados [""manifold""], aunque lleven papel carbón ""carbónico"""</t>
  </si>
  <si>
    <t>Artículos de pasta de papel, moldeados o prensados, n.c.o.p.</t>
  </si>
  <si>
    <r>
      <t xml:space="preserve">Pelo ordinario, sin cardar ni peinar (exc. pelo y cerdas de cepillería y crin, tanto de la </t>
    </r>
    <r>
      <rPr>
        <b/>
        <sz val="8"/>
        <color rgb="FF002B54"/>
        <rFont val="Calibri"/>
        <family val="2"/>
        <scheme val="minor"/>
      </rPr>
      <t>...</t>
    </r>
  </si>
  <si>
    <t>Tableros para parqués (exc. tablillas y frisos sin ensamblar para parqués)</t>
  </si>
  <si>
    <t>"Madera contralaminada ""CLT o X-lam"""</t>
  </si>
  <si>
    <t>Paneles de madera celular</t>
  </si>
  <si>
    <r>
      <t xml:space="preserve">Manufacturas de corcho natural (exc. cubos, planchas, hojas o tiras cuadradas o rectangulares; </t>
    </r>
    <r>
      <rPr>
        <b/>
        <sz val="8"/>
        <color rgb="FF002B54"/>
        <rFont val="Calibri"/>
        <family val="2"/>
        <scheme val="minor"/>
      </rPr>
      <t>...</t>
    </r>
  </si>
  <si>
    <t>Esterillas y biombos de materials plateados de bambú, platelminto o unidos en paralelo</t>
  </si>
  <si>
    <r>
      <t xml:space="preserve">Materia trenzable, trenzas y artículos simil. de materia trenzable no vegetal, tejidos o paralelizados </t>
    </r>
    <r>
      <rPr>
        <b/>
        <sz val="8"/>
        <color rgb="FF002B54"/>
        <rFont val="Calibri"/>
        <family val="2"/>
        <scheme val="minor"/>
      </rPr>
      <t>...</t>
    </r>
  </si>
  <si>
    <t>Pasta mecánica de madera</t>
  </si>
  <si>
    <t>Pasta de madera obtenida por la combinación de tratamientos mecánico y químico</t>
  </si>
  <si>
    <t>"Papel y cartón hechos a mano ""hoja a hoja"", con cualquier forma y dimensión"</t>
  </si>
  <si>
    <r>
      <t xml:space="preserve">"Papel Kraft para sacos ""bolsas"", sin estucar ni recubrir, en bobinas ""rollos"" de anchura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</si>
  <si>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Papel sulfito para embalaje, sin revestir, en rollos de anchura&gt; 36 cm o en hojas cuadradas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</si>
  <si>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 y cartón de los tipos utilizados para escribir, imprimir u otros fines gráficos, con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</si>
  <si>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Visillos y cortinas; guardamalletas y ropadiés de cama, de punto (exc. de fibras sintéticas, </t>
    </r>
    <r>
      <rPr>
        <b/>
        <sz val="8"/>
        <color rgb="FF002B54"/>
        <rFont val="Calibri"/>
        <family val="2"/>
        <scheme val="minor"/>
      </rPr>
      <t>...</t>
    </r>
  </si>
  <si>
    <t>Quitasoles toldo y artículos simil. (exc. carpas de playa)</t>
  </si>
  <si>
    <r>
      <t xml:space="preserve">Abrasivos naturales o artificiales en polvo o gránulos con soporte que no sea solamente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</si>
  <si>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Mezclas y manufacturas de materias minerales para aislamiento térmico o acústico o para la </t>
    </r>
    <r>
      <rPr>
        <b/>
        <sz val="8"/>
        <color rgb="FF002B54"/>
        <rFont val="Calibri"/>
        <family val="2"/>
        <scheme val="minor"/>
      </rPr>
      <t>...</t>
    </r>
  </si>
  <si>
    <t>Manufacturas de grafito u otros carbonos (exc. para usos eléctricos)</t>
  </si>
  <si>
    <r>
      <t xml:space="preserve">Placas y baldosas, de cerámica, sin barnizar ni esmaltar, para pavimentación o revestimiento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</si>
  <si>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Placas y baldosas, de cerámica, para pavimentación o revestimiento, barnizadas o esmaltadas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</si>
  <si>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Aparatos y artículos de porcelana, para usos químicos o demás usos técnicos (exc. productos </t>
    </r>
    <r>
      <rPr>
        <b/>
        <sz val="8"/>
        <color rgb="FF002B54"/>
        <rFont val="Calibri"/>
        <family val="2"/>
        <scheme val="minor"/>
      </rPr>
      <t>...</t>
    </r>
  </si>
  <si>
    <t>Barras o varillas de vidrio, sin trabajar</t>
  </si>
  <si>
    <r>
      <t xml:space="preserve">Placas u hojas de vidrio colado o laminado, pero sin trabajar de otro modo (exc. armadas, así </t>
    </r>
    <r>
      <rPr>
        <b/>
        <sz val="8"/>
        <color rgb="FF002B54"/>
        <rFont val="Calibri"/>
        <family val="2"/>
        <scheme val="minor"/>
      </rPr>
      <t>...</t>
    </r>
  </si>
  <si>
    <t>Vasos, jarros y demás recipientes de vidrio para beber</t>
  </si>
  <si>
    <r>
      <t xml:space="preserve">Cubos, dados y demás artículos simil., de vidrio, incl. con soporte, para mosaicos y decoraciones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</si>
  <si>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Artículos de vidrio para laboratorio, higiene o farmacia, incl. graduados o calibrados, con </t>
    </r>
    <r>
      <rPr>
        <b/>
        <sz val="8"/>
        <color rgb="FF002B54"/>
        <rFont val="Calibri"/>
        <family val="2"/>
        <scheme val="minor"/>
      </rPr>
      <t>...</t>
    </r>
  </si>
  <si>
    <t>Microesferas de vidrio con un diámetro &lt;= 1 mm</t>
  </si>
  <si>
    <t>Tejidos cerrados de mechas de fibras de vidrio</t>
  </si>
  <si>
    <r>
      <t xml:space="preserve">Tejidos cerrados, de ligamento tafetán, de hilados de fibra de vidrio (exc. ​​recubiertos o </t>
    </r>
    <r>
      <rPr>
        <b/>
        <sz val="8"/>
        <color rgb="FF002B54"/>
        <rFont val="Calibri"/>
        <family val="2"/>
        <scheme val="minor"/>
      </rPr>
      <t>...</t>
    </r>
  </si>
  <si>
    <t>"Chapas y tiras, extendidas ""desplegadas"", de hierro o acero"</t>
  </si>
  <si>
    <t>Partes de cadenas de eslabones articulados, de fundición, hierro o acero</t>
  </si>
  <si>
    <r>
      <t xml:space="preserve">Enlace de la cadena de soldados de hierro o acero (excepto los de la cadena de eslabones articulados, </t>
    </r>
    <r>
      <rPr>
        <b/>
        <sz val="8"/>
        <color rgb="FF002B54"/>
        <rFont val="Calibri"/>
        <family val="2"/>
        <scheme val="minor"/>
      </rPr>
      <t>...</t>
    </r>
  </si>
  <si>
    <t>Elementos y dispositivos de fijación, roscados, de fundición, hierro o acero, n.c.o.p.</t>
  </si>
  <si>
    <t>Codos, curvas y manguitos de tubería, de acero inoxidable, roscados (exc. moldeados)</t>
  </si>
  <si>
    <t>Torres y castilletes, de fundición, hierro o acero</t>
  </si>
  <si>
    <r>
      <t xml:space="preserve">Depósitos, cisternas, cubas y recipientes similares para cualquier materia (excepto gas comprimido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</si>
  <si>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Alambre de púas, de hierro o acero; alambre (simple o doble) y fleje, torcidos, incluso con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</si>
  <si>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"Calzado de esquí y calzado para la práctica de ""snowboard"" ""tabla para nieve"", con suela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</si>
  <si>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"Chapas y tiras, de aleaciones a base de cobre-estaño ""bronce"", de espesor &gt; 0,15 mm, enrolladas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</si>
  <si>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"Tubos a base de aleaciones de cobre (exc. de aleaciones a base de cobre-cinc ""latón"", de </t>
    </r>
    <r>
      <rPr>
        <b/>
        <sz val="8"/>
        <color rgb="FF002B54"/>
        <rFont val="Calibri"/>
        <family val="2"/>
        <scheme val="minor"/>
      </rPr>
      <t>...</t>
    </r>
  </si>
  <si>
    <t>Cadenas y sus partes, de cobre (exc. cadenas de reloj, de joyería, etc.)</t>
  </si>
  <si>
    <t>Barras y perfiles, de aleaciones de níquel, n.c.o.p. (exc. artículos aislados, para electricidad)</t>
  </si>
  <si>
    <r>
      <t xml:space="preserve">Remaches, de fundición, hierro o acero (exc. remaches tubulares o con espiga hendida, para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</si>
  <si>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Estufas, calderas con hogar para hacer la colada, braseros y demás aparatos simil. de uso doméstico,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</si>
  <si>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Radiadores para la calefacción central, de calentamiento no eléctrico, y sus partes, de hierro </t>
    </r>
    <r>
      <rPr>
        <b/>
        <sz val="8"/>
        <color rgb="FF002B54"/>
        <rFont val="Calibri"/>
        <family val="2"/>
        <scheme val="minor"/>
      </rPr>
      <t>...</t>
    </r>
  </si>
  <si>
    <t>Bañeras de fundición, incl. esmaltadas</t>
  </si>
  <si>
    <r>
      <t xml:space="preserve">Manufacturas moldeadas, de fundición, hierro o acero, n.c.o.p. (exc. de fundición no maleable,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</si>
  <si>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Bolas y artículos simil. para molinos, de hierro o acero, forjadas o estampadas pero sin trabajar </t>
    </r>
    <r>
      <rPr>
        <b/>
        <sz val="8"/>
        <color rgb="FF002B54"/>
        <rFont val="Calibri"/>
        <family val="2"/>
        <scheme val="minor"/>
      </rPr>
      <t>...</t>
    </r>
  </si>
  <si>
    <t>"Polvo de volframio ""tungsteno"""</t>
  </si>
  <si>
    <r>
      <t xml:space="preserve">Barras, perfiles, chapas, hojas y tiras, de molibdeno, n.c.o.p. (exc. barras obtenidas simplemente </t>
    </r>
    <r>
      <rPr>
        <b/>
        <sz val="8"/>
        <color rgb="FF002B54"/>
        <rFont val="Calibri"/>
        <family val="2"/>
        <scheme val="minor"/>
      </rPr>
      <t>...</t>
    </r>
  </si>
  <si>
    <t>Desperdicios y desechos de molibdeno (exc. cenizas y residuos que contengan molibdeno)</t>
  </si>
  <si>
    <t>Magnesio en bruto, con un contenido de magnesio &gt;= 99,8% en peso</t>
  </si>
  <si>
    <r>
      <t xml:space="preserve">Circonio en bruto y polvos de circonio que contengan </t>
    </r>
    <r>
      <rPr>
        <b/>
        <sz val="8"/>
        <color rgb="FF002B54"/>
        <rFont val="Calibri"/>
        <family val="2"/>
        <scheme val="minor"/>
      </rPr>
      <t>...</t>
    </r>
  </si>
  <si>
    <t>Renio y desperdicios, desechos y polvos de renio, en bruto (exc. ​​Cenizas y residuos)</t>
  </si>
  <si>
    <t>Hachas, hocinos y herramientas simil., con filo de metal común</t>
  </si>
  <si>
    <t>Alicates, incl. cortantes, tenazas y pinzas de mano, de metal común (exc. pinzas)</t>
  </si>
  <si>
    <t>Útiles de embutir, estampar o punzonar, intercambiables</t>
  </si>
  <si>
    <r>
      <t xml:space="preserve">Partes de candados, de cerraduras y de cerrojos, así como de cierres y de monturas cierre, </t>
    </r>
    <r>
      <rPr>
        <b/>
        <sz val="8"/>
        <color rgb="FF002B54"/>
        <rFont val="Calibri"/>
        <family val="2"/>
        <scheme val="minor"/>
      </rPr>
      <t>...</t>
    </r>
  </si>
  <si>
    <t>Ruedas con montura, de metal común</t>
  </si>
  <si>
    <r>
      <t xml:space="preserve">Cajas de caudales, puertas blindadas y compartimientos para cámaras acorazadas, cofres y cajas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</si>
  <si>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Campanas, campanillas, gongos y artículos simil., que no sean eléctricos, de metal común (exc. </t>
    </r>
    <r>
      <rPr>
        <b/>
        <sz val="8"/>
        <color rgb="FF002B54"/>
        <rFont val="Calibri"/>
        <family val="2"/>
        <scheme val="minor"/>
      </rPr>
      <t>...</t>
    </r>
  </si>
  <si>
    <t>Tubos flexibles de hierro o acero, incl. con accesorios</t>
  </si>
  <si>
    <t>Electrodos recubiertos para soldadura de arco, de metal común</t>
  </si>
  <si>
    <t>Partes de reactores nucleares, n.c.o.p. [Euratom]</t>
  </si>
  <si>
    <t>Partes de turbinas de vapor, n.c.o.p.</t>
  </si>
  <si>
    <r>
      <t xml:space="preserve">Partes de máquinas automáticas para la venta de productos, incl. las máquinas de cambiar monedas, </t>
    </r>
    <r>
      <rPr>
        <b/>
        <sz val="8"/>
        <color rgb="FF002B54"/>
        <rFont val="Calibri"/>
        <family val="2"/>
        <scheme val="minor"/>
      </rPr>
      <t>...</t>
    </r>
  </si>
  <si>
    <t>Máquinas de moldear por soplado, para trabajar caucho o plástico</t>
  </si>
  <si>
    <r>
      <t xml:space="preserve">"Máquinas y aparatos de moldear o formar productos de caucho o plástico (exc. máquinas de moldear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</si>
  <si>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y aparatos para mezclar, amasar o sobar, quebrantar, triturar, pulverizar, cribar, </t>
    </r>
    <r>
      <rPr>
        <b/>
        <sz val="8"/>
        <color rgb="FF002B54"/>
        <rFont val="Calibri"/>
        <family val="2"/>
        <scheme val="minor"/>
      </rPr>
      <t>...</t>
    </r>
  </si>
  <si>
    <t>Placas de fondo para moldes (exc. de grafito u otros carbonos, de materia cerámica o de vidrio)</t>
  </si>
  <si>
    <r>
      <t xml:space="preserve">Moldes para materia mineral (exc. de materias cerámicas o de vidrio, así como los moldes para </t>
    </r>
    <r>
      <rPr>
        <b/>
        <sz val="8"/>
        <color rgb="FF002B54"/>
        <rFont val="Calibri"/>
        <family val="2"/>
        <scheme val="minor"/>
      </rPr>
      <t>...</t>
    </r>
  </si>
  <si>
    <t>Válvulas de alivio o seguridad</t>
  </si>
  <si>
    <r>
      <t xml:space="preserve">Hormigoneras y aparatos de amasar mortero (exc. montadas en chasis de vagones o de vehículos </t>
    </r>
    <r>
      <rPr>
        <b/>
        <sz val="8"/>
        <color rgb="FF002B54"/>
        <rFont val="Calibri"/>
        <family val="2"/>
        <scheme val="minor"/>
      </rPr>
      <t>...</t>
    </r>
  </si>
  <si>
    <t>Bombas de calor (exc. máquinas de la partida 8415)</t>
  </si>
  <si>
    <t>Muebles concebidos para incorporarles un equipo de producción de frío</t>
  </si>
  <si>
    <t>Secadores para productos agrícolas (exc. ​​liofilizadores, liofilizadores y atomizadores)</t>
  </si>
  <si>
    <t>Cilindros para calandrias y para laminadores (exc. para metal o vidrio)</t>
  </si>
  <si>
    <t>Partes de máquinas y aparatos para filtrar o depurar líquidos o gases, ncop</t>
  </si>
  <si>
    <t>Máquinas para lavar vajilla (exc. de tipo doméstico)</t>
  </si>
  <si>
    <r>
      <t xml:space="preserve">Máquinas y aparatos para la fabricación de pasta de materias fibrosas celulósicas (exc. autoclaves, </t>
    </r>
    <r>
      <rPr>
        <b/>
        <sz val="8"/>
        <color rgb="FF002B54"/>
        <rFont val="Calibri"/>
        <family val="2"/>
        <scheme val="minor"/>
      </rPr>
      <t>...</t>
    </r>
  </si>
  <si>
    <t>Partes de máquinas para la fabricación o acabado de papel o cartón, nep</t>
  </si>
  <si>
    <r>
      <t xml:space="preserve">Máquinas y aparatos para encuadernación, incl. las máquinas para coser pliegos (exc. máquinas </t>
    </r>
    <r>
      <rPr>
        <b/>
        <sz val="8"/>
        <color rgb="FF002B54"/>
        <rFont val="Calibri"/>
        <family val="2"/>
        <scheme val="minor"/>
      </rPr>
      <t>...</t>
    </r>
  </si>
  <si>
    <t>Máquinas para moldear artículos de pasta de papel, de papel o cartón (exc. secadoras)</t>
  </si>
  <si>
    <t>Máquinas y aparatos para imprimir offset, alimentados con bobinas</t>
  </si>
  <si>
    <t>Máquinas para extrudir, estirar, texturar o cortar materia textil sintética o artificial</t>
  </si>
  <si>
    <t>Textil doblar o torcer las máquinas</t>
  </si>
  <si>
    <r>
      <t xml:space="preserve">Máquinas y aparatos para la fabricación de hilados textiles, así como máquinas para la preparación </t>
    </r>
    <r>
      <rPr>
        <b/>
        <sz val="8"/>
        <color rgb="FF002B54"/>
        <rFont val="Calibri"/>
        <family val="2"/>
        <scheme val="minor"/>
      </rPr>
      <t>...</t>
    </r>
  </si>
  <si>
    <t>Máquinas circulares de tricotar, con cilindro de diámetro &lt;= 165 cm</t>
  </si>
  <si>
    <r>
      <t xml:space="preserve">Partes y accesorios de las máquinas para extrudir, estirar, texturar o cortar materia textil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</si>
  <si>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y accesorios de máquinas para la preparación de materia textil, n.c.o.p. (exc. guarniciones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</si>
  <si>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Muebles, basamentos y tapas para máquinas de coser y sus partes, otras partes de máquinas de </t>
    </r>
    <r>
      <rPr>
        <b/>
        <sz val="8"/>
        <color rgb="FF002B54"/>
        <rFont val="Calibri"/>
        <family val="2"/>
        <scheme val="minor"/>
      </rPr>
      <t>...</t>
    </r>
  </si>
  <si>
    <t>Lingoteras y cucharas de colada para metalurgia, acerías o fundiciones</t>
  </si>
  <si>
    <t>Laminadores de tubos para tubos de metal</t>
  </si>
  <si>
    <t>Laminadores para metal, para laminar en frío (exc. laminadores de tubos)</t>
  </si>
  <si>
    <r>
      <t xml:space="preserve">Escariadoras para metal, de control no numérico (exc. unidades de mecanizado de correderas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</si>
  <si>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de rectificar superficies planas, para metal, en las que la posición de la pieza pueda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</si>
  <si>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Rectificado sin centros máquinas para el acabado de metal, de control numérico (excepto las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</si>
  <si>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de desbarbar, amolar, pulir o hacer, para metal (exc. máquinas de rectificar en las </t>
    </r>
    <r>
      <rPr>
        <b/>
        <sz val="8"/>
        <color rgb="FF002B54"/>
        <rFont val="Calibri"/>
        <family val="2"/>
        <scheme val="minor"/>
      </rPr>
      <t>...</t>
    </r>
  </si>
  <si>
    <t>Máquinas, incl. las prensas, de forjar o estampar; martillos pilón y otras máquinas de martillar</t>
  </si>
  <si>
    <r>
      <t xml:space="preserve">Máquinas de conformado en caliente para forja, forja en matriz incl. prensas y martillos calientes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</si>
  <si>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Cizallas de control numérico para productos planos (exc. ​​prensas y máquinas combinadas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</si>
  <si>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de amolar o pulir, para trabajar piedra, cerámica, hormigón, amiantocemento o materias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</si>
  <si>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Taladros de toda clase, incl. las perforadoras rotativas, con motor eléctrico incorporado,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</si>
  <si>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Herramientas de uso manual, hidráulicas o con motor incorporado que no sea eléctrico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</si>
  <si>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"Calculadoras electrónicas que funcionen sin fuente de electricidad exterior y máquinas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</si>
  <si>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de contabilidad, con dispositivo para cálculo incorporado, máquinas para tratamiento </t>
    </r>
    <r>
      <rPr>
        <b/>
        <sz val="8"/>
        <color rgb="FF002B54"/>
        <rFont val="Calibri"/>
        <family val="2"/>
        <scheme val="minor"/>
      </rPr>
      <t>...</t>
    </r>
  </si>
  <si>
    <t>Armarios de seguridad biológica estancos a gases</t>
  </si>
  <si>
    <r>
      <t xml:space="preserve">"Motores y máquinas motrices (exc. turbinas de vapor, motores de émbolo ""pistón"", turbinas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</si>
  <si>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Turbinas hidráulicas y ruedas hidráulicas, de potencia &gt; 10.000 kW (exc. motores hidráulicos </t>
    </r>
    <r>
      <rPr>
        <b/>
        <sz val="8"/>
        <color rgb="FF002B54"/>
        <rFont val="Calibri"/>
        <family val="2"/>
        <scheme val="minor"/>
      </rPr>
      <t>...</t>
    </r>
  </si>
  <si>
    <t>Turbopropulsores, de potencia &lt;= 1.100 kW</t>
  </si>
  <si>
    <t>Turbinas de gas, de potencia &gt; 5.000 kW (exc. turborreactores y turbopropulsores)</t>
  </si>
  <si>
    <t>Puertas, ventanas y sus marcos, contramarcos y umbrales (exc. guarniciones)</t>
  </si>
  <si>
    <t>Chapas de plomo; hojas y tiras, de plomo, de espesor &gt; 0,2 mm, sin incluir el soporte</t>
  </si>
  <si>
    <r>
      <t xml:space="preserve">aparatos mecánicos agrícolas u hortícolas, aunque no sean accionados a mano, para proyectar </t>
    </r>
    <r>
      <rPr>
        <b/>
        <sz val="8"/>
        <color rgb="FF002B54"/>
        <rFont val="Calibri"/>
        <family val="2"/>
        <scheme val="minor"/>
      </rPr>
      <t>...</t>
    </r>
  </si>
  <si>
    <t>Tornos y cabrestantes, con motor eléctrico</t>
  </si>
  <si>
    <t>Elevadores fijos para vehículos, de los tipos utilizados en talleres</t>
  </si>
  <si>
    <t>Grúas de torre</t>
  </si>
  <si>
    <t>Carretillas autopropulsadas, con motor eléctrico, con dispositivo de elevación incorporado</t>
  </si>
  <si>
    <t>Robots industriales</t>
  </si>
  <si>
    <t>"Topadoras frontales ""bulldozers"" y topadoras anguladores ""angledozers"", de ruedas"</t>
  </si>
  <si>
    <r>
      <t xml:space="preserve">Cortadoras y arrancadoras, de carbón o rocas, y máquinas para hacer túneles o galerías, autopropulsadas </t>
    </r>
    <r>
      <rPr>
        <b/>
        <sz val="8"/>
        <color rgb="FF002B54"/>
        <rFont val="Calibri"/>
        <family val="2"/>
        <scheme val="minor"/>
      </rPr>
      <t>...</t>
    </r>
  </si>
  <si>
    <t>Máquinas y aparatos para explanar, no autopropulsados, n.c.o.p.</t>
  </si>
  <si>
    <r>
      <t xml:space="preserve">Partes de carretillas apiladoras y las demás carretillas de manipulación con dispositivo de </t>
    </r>
    <r>
      <rPr>
        <b/>
        <sz val="8"/>
        <color rgb="FF002B54"/>
        <rFont val="Calibri"/>
        <family val="2"/>
        <scheme val="minor"/>
      </rPr>
      <t>...</t>
    </r>
  </si>
  <si>
    <t>Guadañadoras, incl. las barras de corte para montar sobre un tractor (exc. cortadoras de césped)</t>
  </si>
  <si>
    <t>Prensas para paja o forraje (incl. las prensas recogedoras)</t>
  </si>
  <si>
    <t>Máquinas y aparatos de trillar (exc. cosechadoras-trilladoras)</t>
  </si>
  <si>
    <t>Máquinas y aparatos para la agricultura, horticultura, silvicultura o apicultura, n.c.o.p.</t>
  </si>
  <si>
    <r>
      <t xml:space="preserve">Partes de máquinas para limpieza, clasificación o cribado de semillas, granos u hortalizas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</si>
  <si>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y aparatos para la industria cervecera (exc. centrifugadoras, filtros y aparatos de </t>
    </r>
    <r>
      <rPr>
        <b/>
        <sz val="8"/>
        <color rgb="FF002B54"/>
        <rFont val="Calibri"/>
        <family val="2"/>
        <scheme val="minor"/>
      </rPr>
      <t>...</t>
    </r>
  </si>
  <si>
    <t>Encendedores y mecheros (exc. de gas de bolsillo, así como las piedras y mechas)</t>
  </si>
  <si>
    <r>
      <t xml:space="preserve">Peines, peinetas, pasadores y artículos simil., de otras materias distintas del caucho endurecido </t>
    </r>
    <r>
      <rPr>
        <b/>
        <sz val="8"/>
        <color rgb="FF002B54"/>
        <rFont val="Calibri"/>
        <family val="2"/>
        <scheme val="minor"/>
      </rPr>
      <t>...</t>
    </r>
  </si>
  <si>
    <t>Botones de metal común, sin forrar con materia textil (exc. botones de presión y gemelos)</t>
  </si>
  <si>
    <t>Fijadores de esquí</t>
  </si>
  <si>
    <t>Pelotas de tenis (exc. de tenis de mesa)</t>
  </si>
  <si>
    <t>Carretes de pesca</t>
  </si>
  <si>
    <t>Montañas rusas</t>
  </si>
  <si>
    <t>Autos de choque</t>
  </si>
  <si>
    <r>
      <t xml:space="preserve">Tiovivos, columpios, casetas de tiro y demás atracciones de feria; teatros ambulantes (exc. </t>
    </r>
    <r>
      <rPr>
        <b/>
        <sz val="8"/>
        <color rgb="FF002B54"/>
        <rFont val="Calibri"/>
        <family val="2"/>
        <scheme val="minor"/>
      </rPr>
      <t>...</t>
    </r>
  </si>
  <si>
    <t>Cepillos de dientes, incl. para dentaduras postizas</t>
  </si>
  <si>
    <t>Tamices, cedazos y cribas, de mano</t>
  </si>
  <si>
    <r>
      <t xml:space="preserve">"Muebles de bambú o ""ratán"" (exc. asientos y muebles medicos, quirurgicos, dentales o ve </t>
    </r>
    <r>
      <rPr>
        <b/>
        <sz val="8"/>
        <color rgb="FF002B54"/>
        <rFont val="Calibri"/>
        <family val="2"/>
        <scheme val="minor"/>
      </rPr>
      <t>...</t>
    </r>
  </si>
  <si>
    <t>Muebles de ratán (exc. Asientos y mobiliario para medicina, cirugía, odontología o veterinaria)</t>
  </si>
  <si>
    <r>
      <t xml:space="preserve">"Luminarias y aparatos de iluminación fotovoltaicos, exclusivamente para fuentes luminosas </t>
    </r>
    <r>
      <rPr>
        <b/>
        <sz val="8"/>
        <color rgb="FF002B54"/>
        <rFont val="Calibri"/>
        <family val="2"/>
        <scheme val="minor"/>
      </rPr>
      <t>...</t>
    </r>
  </si>
  <si>
    <t>"Piezas de artillería "", por ejemplo, armas de fuego, obuses y morteros"""</t>
  </si>
  <si>
    <r>
      <t xml:space="preserve">Asientos giratorios con regulación de altura variable, de madera (exc. ​​sillones médicos, </t>
    </r>
    <r>
      <rPr>
        <b/>
        <sz val="8"/>
        <color rgb="FF002B54"/>
        <rFont val="Calibri"/>
        <family val="2"/>
        <scheme val="minor"/>
      </rPr>
      <t>...</t>
    </r>
  </si>
  <si>
    <t>Partes de asientos, n.c.o.p. (exc. de madera)</t>
  </si>
  <si>
    <r>
      <t xml:space="preserve">Partes y accesorios, no expresados ni comprendidos en otra parte de este capítulo, para máquinas,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</si>
  <si>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Relojes (exc. eléctricos, así como los relojes de pulsera, bolsillo y relojes simil. de las </t>
    </r>
    <r>
      <rPr>
        <b/>
        <sz val="8"/>
        <color rgb="FF002B54"/>
        <rFont val="Calibri"/>
        <family val="2"/>
        <scheme val="minor"/>
      </rPr>
      <t>...</t>
    </r>
  </si>
  <si>
    <t>Mecanismos de relojería completos y montados, eléctricos (excepto los movimientos de reloj)</t>
  </si>
  <si>
    <r>
      <t xml:space="preserve">Partes de cajas y envolturas simil. para aparatos de relojería distintos de los relojes de </t>
    </r>
    <r>
      <rPr>
        <b/>
        <sz val="8"/>
        <color rgb="FF002B54"/>
        <rFont val="Calibri"/>
        <family val="2"/>
        <scheme val="minor"/>
      </rPr>
      <t>...</t>
    </r>
  </si>
  <si>
    <t>Pulseras para reloj y sus partes, de metal común, incl. dorado o plateado, n.c.o.p.</t>
  </si>
  <si>
    <t>Esferas o cuadrantes</t>
  </si>
  <si>
    <t>Pianos verticales</t>
  </si>
  <si>
    <t>Pianos de cola</t>
  </si>
  <si>
    <t>"Instrumentos llam. ""metales"""</t>
  </si>
  <si>
    <r>
      <t xml:space="preserve">Partes y accesorios de instrumentos musicales en los que el sonido se produzca o tenga que </t>
    </r>
    <r>
      <rPr>
        <b/>
        <sz val="8"/>
        <color rgb="FF002B54"/>
        <rFont val="Calibri"/>
        <family val="2"/>
        <scheme val="minor"/>
      </rPr>
      <t>...</t>
    </r>
  </si>
  <si>
    <t>Espectrómetros de masas</t>
  </si>
  <si>
    <t>Contadores de electricidad, incl. los de calibración</t>
  </si>
  <si>
    <r>
      <t xml:space="preserve">Instrumentos y aparatos para medida o control de voltage, corriente, poderes de resistencia </t>
    </r>
    <r>
      <rPr>
        <b/>
        <sz val="8"/>
        <color rgb="FF002B54"/>
        <rFont val="Calibri"/>
        <family val="2"/>
        <scheme val="minor"/>
      </rPr>
      <t>...</t>
    </r>
  </si>
  <si>
    <t>"Motocicletas con motor de émbolo ""pistón"" alternativo de cilindrada &gt; 250 cm³ e &lt;= 500 cm³"</t>
  </si>
  <si>
    <t>Sillones de ruedas y demás vehículos para inválidos, sin motor u otro mecanismo de propulsión</t>
  </si>
  <si>
    <t>Cuadros y horquillas, y sus partes, para los ciclos, ncop (exc. ??para motocicletas)</t>
  </si>
  <si>
    <r>
      <t xml:space="preserve">Cubos de rueda libre y ruedas dentadas para los ciclos (excepto para motocicletas y montaña </t>
    </r>
    <r>
      <rPr>
        <b/>
        <sz val="8"/>
        <color rgb="FF002B54"/>
        <rFont val="Calibri"/>
        <family val="2"/>
        <scheme val="minor"/>
      </rPr>
      <t>...</t>
    </r>
  </si>
  <si>
    <t>Remolques y semirremolques para vivienda o acampar, del tipo caravana</t>
  </si>
  <si>
    <r>
      <t xml:space="preserve">Aviones y demás aeronaves con motor de peso en vacío &lt;= 2.000 kg (exc. helicópteros, dirigibles </t>
    </r>
    <r>
      <rPr>
        <b/>
        <sz val="8"/>
        <color rgb="FF002B54"/>
        <rFont val="Calibri"/>
        <family val="2"/>
        <scheme val="minor"/>
      </rPr>
      <t>...</t>
    </r>
  </si>
  <si>
    <t>Vehículos espaciales, incl. los satélites, y sus vehículos de lanzamiento y vehículos suborbitales</t>
  </si>
  <si>
    <r>
      <t xml:space="preserve">"Aparatos y dispositivos para lanzamiento de aeronaves, aparatos y dispositivos para aterrizaje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</si>
  <si>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Aeronaves no tripuladas, solo para vuelo teledirigido, con un peso máximo de despegue&gt; 7 kg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</si>
  <si>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Barcos para transporte de mercancías, así como los concebidos para transporte mixto de personas </t>
    </r>
    <r>
      <rPr>
        <b/>
        <sz val="8"/>
        <color rgb="FF002B54"/>
        <rFont val="Calibri"/>
        <family val="2"/>
        <scheme val="minor"/>
      </rPr>
      <t>...</t>
    </r>
  </si>
  <si>
    <t>Veleros, con o sin motor auxiliar, de eslora&gt; 7,5 m pero &lt;= 24 m (exc. inflables)</t>
  </si>
  <si>
    <t>Dragas</t>
  </si>
  <si>
    <t>Filtros ópticos, montados, para instrumentos o aparatos</t>
  </si>
  <si>
    <t>"Monturas ""armazones"" de gafas ""anteojos"" o de artículos simil., de plástico"</t>
  </si>
  <si>
    <r>
      <t xml:space="preserve">Cámaras para película en rollo de anchura distinta de 35 mm o para película plana (exc. cámaras </t>
    </r>
    <r>
      <rPr>
        <b/>
        <sz val="8"/>
        <color rgb="FF002B54"/>
        <rFont val="Calibri"/>
        <family val="2"/>
        <scheme val="minor"/>
      </rPr>
      <t>...</t>
    </r>
  </si>
  <si>
    <t>Aparatos y material para laboratorios fotográfico o cinematográfico, n.c.o.p.; negatoscopios</t>
  </si>
  <si>
    <r>
      <t xml:space="preserve">Partes y accesorios de aparatos y material para laboratorios fotográfico o cinematográfico, </t>
    </r>
    <r>
      <rPr>
        <b/>
        <sz val="8"/>
        <color rgb="FF002B54"/>
        <rFont val="Calibri"/>
        <family val="2"/>
        <scheme val="minor"/>
      </rPr>
      <t>...</t>
    </r>
  </si>
  <si>
    <t>Partes y accesorios de microscopios ópticos, n.c.o.p.</t>
  </si>
  <si>
    <r>
      <t xml:space="preserve">"Miras telescópicas para armas; periscopios; visores para máquinas, instrumentos o aparatos </t>
    </r>
    <r>
      <rPr>
        <b/>
        <sz val="8"/>
        <color rgb="FF002B54"/>
        <rFont val="Calibri"/>
        <family val="2"/>
        <scheme val="minor"/>
      </rPr>
      <t>...</t>
    </r>
  </si>
  <si>
    <t>Balanzas sensibles a un peso inferior o igual a 5 cg, incluso con pesas</t>
  </si>
  <si>
    <t>Tornos dentales, incl. combinados con otros equipos dentales sobre basamento común</t>
  </si>
  <si>
    <t>Prótesis ortopédicas articulares</t>
  </si>
  <si>
    <t>Aparatos de rayos X para uso odontológico</t>
  </si>
  <si>
    <r>
      <t xml:space="preserve">"Lámparas y tubos de incandescencia, halógenos, de volframio ""tungsteno"" (exc. faros o unidades </t>
    </r>
    <r>
      <rPr>
        <b/>
        <sz val="8"/>
        <color rgb="FF002B54"/>
        <rFont val="Calibri"/>
        <family val="2"/>
        <scheme val="minor"/>
      </rPr>
      <t>...</t>
    </r>
  </si>
  <si>
    <t>Lámparas y tubos de diodos emisores de luz (LED)</t>
  </si>
  <si>
    <t>"diodo emisor de luz ""LED"" lámparas"</t>
  </si>
  <si>
    <t>Transductores basados ​​en semiconductores (exc. ​​Fotosensibles)</t>
  </si>
  <si>
    <t>Alambre para bobinar, para electricidad, de materias distintas del cobre, aislad</t>
  </si>
  <si>
    <t>Conductores eléctricos, para una tensión &gt; 1.000 V, n.c.o.p.</t>
  </si>
  <si>
    <t>Desperdicios y desechos de acumuladores de plomo-ácido; acumuladores de plomo-ácido gastados</t>
  </si>
  <si>
    <r>
      <t xml:space="preserve">Pilas primarias, baterías primarias y acumuladores eléctricos: bienes usados ​​y desperdicios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</si>
  <si>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"Desperdicios y desechos de conjuntos eléctricos y electrónicos y tarjetas de circuitos impresos </t>
    </r>
    <r>
      <rPr>
        <b/>
        <sz val="8"/>
        <color rgb="FF002B54"/>
        <rFont val="Calibri"/>
        <family val="2"/>
        <scheme val="minor"/>
      </rPr>
      <t>...</t>
    </r>
  </si>
  <si>
    <t>Frenos de aire comprimido y sus partes, propios de vehículos para vías férreas, n.c.o.p.</t>
  </si>
  <si>
    <t>Tractores de carretera para semirremolques</t>
  </si>
  <si>
    <r>
      <t xml:space="preserve">Tractores de carretera para semirremolques, con motor de pistón de combustión interna de encendido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</si>
  <si>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vehículos automóviles para transporte de&gt; = 10 personas, incl. conductor, tanto con motor de </t>
    </r>
    <r>
      <rPr>
        <b/>
        <sz val="8"/>
        <color rgb="FF002B54"/>
        <rFont val="Calibri"/>
        <family val="2"/>
        <scheme val="minor"/>
      </rPr>
      <t>...</t>
    </r>
  </si>
  <si>
    <t>Camiones automóviles de sondeo o perforación</t>
  </si>
  <si>
    <t>Cinturones de seguridad para protección de personas en vehículos automóviles</t>
  </si>
  <si>
    <t>Embragues y órganos de acoplamiento, incl. las juntas de articulación, para máquinas</t>
  </si>
  <si>
    <t>Motores universales de potencia &gt; 37,5 W</t>
  </si>
  <si>
    <r>
      <t xml:space="preserve">Transformadores de tipo seco de potencia &gt; 1 kVA pero &lt;= 16 kVA (exc. los transformadores de </t>
    </r>
    <r>
      <rPr>
        <b/>
        <sz val="8"/>
        <color rgb="FF002B54"/>
        <rFont val="Calibri"/>
        <family val="2"/>
        <scheme val="minor"/>
      </rPr>
      <t>...</t>
    </r>
  </si>
  <si>
    <t>De níquel-metal hidruro de acumuladores (excepto inservibles)</t>
  </si>
  <si>
    <r>
      <t xml:space="preserve">Aspiradoras, incl. las de materias secas y líquidas, con motor eléctrico incorporado, de uso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</si>
  <si>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de afeitadoras, de máquinas de cortar el pelo o esquilar y de aparatos de depilar, con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</si>
  <si>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"Hornos eléctricos industriales o de laboratorio, de resistencia ""de calentamiento indirecto""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</si>
  <si>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Hornos y hornos eléctricos industriales o de laboratorio (exc. los hornos y hornos de calentamiento </t>
    </r>
    <r>
      <rPr>
        <b/>
        <sz val="8"/>
        <color rgb="FF002B54"/>
        <rFont val="Calibri"/>
        <family val="2"/>
        <scheme val="minor"/>
      </rPr>
      <t>...</t>
    </r>
  </si>
  <si>
    <t>Aparatos para tratamiento térmico de materias por inducción o pérdidas dieléctricas (exc. hornos)</t>
  </si>
  <si>
    <t>Máquinas y aparatos para soldar metal por resistencia, total o parcialmente automáticos</t>
  </si>
  <si>
    <r>
      <t xml:space="preserve">Máquinas y aparatos para soldar metal, de arco o de chorro de plasma, no automáticos, ni siquiera </t>
    </r>
    <r>
      <rPr>
        <b/>
        <sz val="8"/>
        <color rgb="FF002B54"/>
        <rFont val="Calibri"/>
        <family val="2"/>
        <scheme val="minor"/>
      </rPr>
      <t>...</t>
    </r>
  </si>
  <si>
    <t>Hornos de microondas</t>
  </si>
  <si>
    <r>
      <t xml:space="preserve">"Aparatos electrotérmicos, de uso doméstico (exc. para el cuidado del cabello o para secar </t>
    </r>
    <r>
      <rPr>
        <b/>
        <sz val="8"/>
        <color rgb="FF002B54"/>
        <rFont val="Calibri"/>
        <family val="2"/>
        <scheme val="minor"/>
      </rPr>
      <t>...</t>
    </r>
  </si>
  <si>
    <t>Amplificadores eléctricos de audiofrecuencia</t>
  </si>
  <si>
    <r>
      <t xml:space="preserve">Aparatos reproductores o grabadores (exc. magneticos, opticos o semiconductores, operativos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</si>
  <si>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Soportes para reproducir fenómenos distintos del sonido o imagen, grabados (exc. discos para </t>
    </r>
    <r>
      <rPr>
        <b/>
        <sz val="8"/>
        <color rgb="FF002B54"/>
        <rFont val="Calibri"/>
        <family val="2"/>
        <scheme val="minor"/>
      </rPr>
      <t>...</t>
    </r>
  </si>
  <si>
    <t>Camaras de televisión, camaras digitales y camaras de video</t>
  </si>
  <si>
    <r>
      <t xml:space="preserve">Monitores con tubos catódicos, sin aparatos receptores incorporados (exc. principalmente para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</si>
  <si>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Unidades de entrada o salida, para máquinas automáticas para tratamiento o procesamiento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</si>
  <si>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Condensadores fijos (exc. condensadores de tantalio, condensadores electrolíticos de aluminio, </t>
    </r>
    <r>
      <rPr>
        <b/>
        <sz val="8"/>
        <color rgb="FF002B54"/>
        <rFont val="Calibri"/>
        <family val="2"/>
        <scheme val="minor"/>
      </rPr>
      <t>...</t>
    </r>
  </si>
  <si>
    <t>Resistencias fijas de carbono, aglomeradas o de capa (exc. resistencias de calentamiento)</t>
  </si>
  <si>
    <r>
      <t xml:space="preserve">Placas, láminas, hojas y tiras, de acetato de celulosa no celular y sin esfuerzo, estratificación </t>
    </r>
    <r>
      <rPr>
        <b/>
        <sz val="8"/>
        <color rgb="FF002B54"/>
        <rFont val="Calibri"/>
        <family val="2"/>
        <scheme val="minor"/>
      </rPr>
      <t>...</t>
    </r>
  </si>
  <si>
    <t>Ácidos alquilbencenosulfónicos lineales y sus sales</t>
  </si>
  <si>
    <t>Tubos rígidos, de polímeros de propileno, incl. con accesorios</t>
  </si>
  <si>
    <t>Polipropileno, en formas primarias</t>
  </si>
  <si>
    <r>
      <t xml:space="preserve">Polímeros de propileno o de otras olefinas, en formas primarias (exc. polipropileno, poliisobutileno </t>
    </r>
    <r>
      <rPr>
        <b/>
        <sz val="8"/>
        <color rgb="FF002B54"/>
        <rFont val="Calibri"/>
        <family val="2"/>
        <scheme val="minor"/>
      </rPr>
      <t>...</t>
    </r>
  </si>
  <si>
    <t>Polímeros de cloruro de vinilideno, en formas primarias</t>
  </si>
  <si>
    <t>Resinas alcídicas, en formas primarias</t>
  </si>
  <si>
    <t>"Poli""tereftalato de etileno"", en formas primarias"</t>
  </si>
  <si>
    <t>Acetatos de celulosa, plastificados, en formas primarias</t>
  </si>
  <si>
    <t>Nitratos de celulosa, incl. los colodiones, en formas primarias</t>
  </si>
  <si>
    <t>Éteres de celulosa, en formas primarias (exc. carboximetilcelulosa y sus sales)</t>
  </si>
  <si>
    <r>
      <t xml:space="preserve">Celulosa y sus derivados químicos, n.c.o.p., en formas primarias (exc. acetatos de celulosa, </t>
    </r>
    <r>
      <rPr>
        <b/>
        <sz val="8"/>
        <color rgb="FF002B54"/>
        <rFont val="Calibri"/>
        <family val="2"/>
        <scheme val="minor"/>
      </rPr>
      <t>...</t>
    </r>
  </si>
  <si>
    <t>Desechos, desperdicios y recortes,, de polímeros de cloruro de vinilo</t>
  </si>
  <si>
    <r>
      <t xml:space="preserve">"Neumáticos ""llantas neumáticas"" recauchutados, de caucho (exc. de los tipos utilizados en </t>
    </r>
    <r>
      <rPr>
        <b/>
        <sz val="8"/>
        <color rgb="FF002B54"/>
        <rFont val="Calibri"/>
        <family val="2"/>
        <scheme val="minor"/>
      </rPr>
      <t>...</t>
    </r>
  </si>
  <si>
    <t>"Cámaras de caucho para neumáticos ""llantas neumáticas"""</t>
  </si>
  <si>
    <t>"Látex de caucho estireno-butadieno ""SBR"" o de caucho estireno- butadieno carboxilado ""XSBR"""</t>
  </si>
  <si>
    <r>
      <t xml:space="preserve">Correas transportadoras, de caucho vulcanizado (exc. correas reforzadas solamente con metal,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</si>
  <si>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Correas de transmisión, sin fin, de sección trapezoidal, de circunferencia exterior &gt; 60 cm </t>
    </r>
    <r>
      <rPr>
        <b/>
        <sz val="8"/>
        <color rgb="FF002B54"/>
        <rFont val="Calibri"/>
        <family val="2"/>
        <scheme val="minor"/>
      </rPr>
      <t>...</t>
    </r>
  </si>
  <si>
    <t>Leña</t>
  </si>
  <si>
    <t>Aserrín, sin aglomerar</t>
  </si>
  <si>
    <r>
      <t xml:space="preserve">"Bambú vegetal, incl. el de cáscaras o de huesos ""carozos"" de frutas, aunque esté aglomerado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</si>
  <si>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Cueros y pieles, en bruto, de reptil, frescos o salados, secos, encalados, piquelados o conservados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</si>
  <si>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"Pieles de ovino, en estado seco ""crust"", depiladas, incl. divididas (exc. preparadas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</si>
  <si>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"Cueros y pieles de caprino, en estado seco ""crust"", depiladas, incl. divididas (exc. preparadas </t>
    </r>
    <r>
      <rPr>
        <b/>
        <sz val="8"/>
        <color rgb="FF002B54"/>
        <rFont val="Calibri"/>
        <family val="2"/>
        <scheme val="minor"/>
      </rPr>
      <t>...</t>
    </r>
  </si>
  <si>
    <t>"Traviesas ""durmientes"" de madera para vías férreas o simil., sin impregnar"</t>
  </si>
  <si>
    <t>"Traviesas de ferrocarril o tranvía ""traviesas"" de madera sin impregnar, no coníferas"</t>
  </si>
  <si>
    <r>
      <t xml:space="preserve">Madera contrachapada y madera estratificada similar, de paneles, de tablillas, de bambú, que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</si>
  <si>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"Madera contrachapada laminada ""LVL"", con al menos una capa exterior de madera tropical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</si>
  <si>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"Pieles en bruto, de cordero llam. ""astracán"", ""breitschwanz"", ""caracul"", ""persa"" 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</si>
  <si>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Herramientas, monturas y mangos de herramientas, monturas y mangos de cepillos, brochas o escobas, </t>
    </r>
    <r>
      <rPr>
        <b/>
        <sz val="8"/>
        <color rgb="FF002B54"/>
        <rFont val="Calibri"/>
        <family val="2"/>
        <scheme val="minor"/>
      </rPr>
      <t>...</t>
    </r>
  </si>
  <si>
    <t>Puertas y sus marcos, contramarcos y umbrales, de madera</t>
  </si>
  <si>
    <t>Encofrados de madera para hormigón (exc. de madera contrachapada)</t>
  </si>
  <si>
    <r>
      <t xml:space="preserve">Los paneles de suelo, de múltiples capas, montadas, de madera distinta de bambú (exc. para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</si>
  <si>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Productos de madera para estructuras de ingeniería (exc. madera laminada encolada o contralaminada </t>
    </r>
    <r>
      <rPr>
        <b/>
        <sz val="8"/>
        <color rgb="FF002B54"/>
        <rFont val="Calibri"/>
        <family val="2"/>
        <scheme val="minor"/>
      </rPr>
      <t>...</t>
    </r>
  </si>
  <si>
    <t>Perchas para prendas de vestir, de madera</t>
  </si>
  <si>
    <t>Desperdicios de corcho; corcho triturado, granulado o pulverizado</t>
  </si>
  <si>
    <t>Pasta química de madera de coníferas, al sulfito, cruda (exc. pasta para disolver)</t>
  </si>
  <si>
    <r>
      <t xml:space="preserve">Pasta química de madera distinta de la de coníferas, al sulfito, semiblanqueada o blanqueada </t>
    </r>
    <r>
      <rPr>
        <b/>
        <sz val="8"/>
        <color rgb="FF002B54"/>
        <rFont val="Calibri"/>
        <family val="2"/>
        <scheme val="minor"/>
      </rPr>
      <t>...</t>
    </r>
  </si>
  <si>
    <t>Pasta de meterias fibrosas celulósica y bambú</t>
  </si>
  <si>
    <r>
      <t xml:space="preserve">"Pasta de materias fibrosas celulósicas, mecánicas (exc. de madera y de línter de algodón, </t>
    </r>
    <r>
      <rPr>
        <b/>
        <sz val="8"/>
        <color rgb="FF002B54"/>
        <rFont val="Calibri"/>
        <family val="2"/>
        <scheme val="minor"/>
      </rPr>
      <t>...</t>
    </r>
  </si>
  <si>
    <t>Papel prensa en bobinas (rollos) o en hojas</t>
  </si>
  <si>
    <t>Pelo de cabra de Cachemira, cardado o peinado</t>
  </si>
  <si>
    <t>Desperdicios de algodón (exc. desperdicios de hilados e hilachas)</t>
  </si>
  <si>
    <t>"Papel de fumar, en bobinas ""rollos"" de anchura &lt;= 5 cm"</t>
  </si>
  <si>
    <r>
      <t xml:space="preserve">"Prendas y complementos ""accesorios"" de vestir, de pasta de papel, de papel, de guata de </t>
    </r>
    <r>
      <rPr>
        <b/>
        <sz val="8"/>
        <color rgb="FF002B54"/>
        <rFont val="Calibri"/>
        <family val="2"/>
        <scheme val="minor"/>
      </rPr>
      <t>...</t>
    </r>
  </si>
  <si>
    <t>"Papel paja para acanalar, en bobinas ""rollos"" de anchura &gt; 36 cm, de peso &gt;= 130 g/m²"</t>
  </si>
  <si>
    <r>
      <t xml:space="preserve">"Papel y cartón fieltro y papel y cartón lana, sin estucar ni recubrir, en bobinas ""rollos""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</si>
  <si>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 y cartón Kraft, estucados por una o las dos caras exclusivamente con caolín u otras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</si>
  <si>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Pigmentos, opacificantes y colores preparados y preparaciones simil., del tipo de las usadas </t>
    </r>
    <r>
      <rPr>
        <b/>
        <sz val="8"/>
        <color rgb="FF002B54"/>
        <rFont val="Calibri"/>
        <family val="2"/>
        <scheme val="minor"/>
      </rPr>
      <t>...</t>
    </r>
  </si>
  <si>
    <t>Frita de vidrio y demás vidrios, en polvo, gránulos, copos o escamillas</t>
  </si>
  <si>
    <r>
      <t xml:space="preserve">Las demás pinturas y barnices; pigmentos al agua preparados de los tipos utilizados para el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</si>
  <si>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Colorantes directos sintéticos orgánicos; preparaciones a base de colorantes directos sintéticos </t>
    </r>
    <r>
      <rPr>
        <b/>
        <sz val="8"/>
        <color rgb="FF002B54"/>
        <rFont val="Calibri"/>
        <family val="2"/>
        <scheme val="minor"/>
      </rPr>
      <t>...</t>
    </r>
  </si>
  <si>
    <t>Resinoides</t>
  </si>
  <si>
    <t>Lacas para el cabello</t>
  </si>
  <si>
    <r>
      <t xml:space="preserve">Betunes, cremas y preparaciones simil. para el calzado o para el cuero y pieles, incl. papel, </t>
    </r>
    <r>
      <rPr>
        <b/>
        <sz val="8"/>
        <color rgb="FF002B54"/>
        <rFont val="Calibri"/>
        <family val="2"/>
        <scheme val="minor"/>
      </rPr>
      <t>...</t>
    </r>
  </si>
  <si>
    <t>"Ovoalbúmina (exc. seca ""p.ej. en hojas, escamas, cristales, polvos"")"</t>
  </si>
  <si>
    <r>
      <t xml:space="preserve">Productos de cualquier clase utilizados como colas o adhesivos, acondicionados para la venta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</si>
  <si>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Mechas de seguridad; cordones detonantes; cebos y cápsulas fulminantes; inflamadores; detonadores </t>
    </r>
    <r>
      <rPr>
        <b/>
        <sz val="8"/>
        <color rgb="FF002B54"/>
        <rFont val="Calibri"/>
        <family val="2"/>
        <scheme val="minor"/>
      </rPr>
      <t>...</t>
    </r>
  </si>
  <si>
    <t>Pastas carbonosas para electrodos y pastas simil. para el revestimiento interior de hornos</t>
  </si>
  <si>
    <r>
      <t xml:space="preserve">Preparaciones a base de grafito u otros carbonos, en pasta, bloques, plaquitas u otras semimanufacturas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</si>
  <si>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Carbón activado (exc. con el carácter de medicamento o acondicionados para la venta al por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</si>
  <si>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Alquitranes de madera; aceites de alquitrán de madera; creosota de madera; metileno (nafta </t>
    </r>
    <r>
      <rPr>
        <b/>
        <sz val="8"/>
        <color rgb="FF002B54"/>
        <rFont val="Calibri"/>
        <family val="2"/>
        <scheme val="minor"/>
      </rPr>
      <t>...</t>
    </r>
  </si>
  <si>
    <t>"DDT ""ISO"" ""clofenotane"" INN """", en envases de un contenido inferior o &lt;= 300 g"</t>
  </si>
  <si>
    <r>
      <t xml:space="preserve">Flujos desoxidantes y demás preparaciones auxiliares para soldar metal; preparaciones de los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</si>
  <si>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"preparaciones y demás estabilizantes compuestos para caucho o plástico anti-oxidante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</si>
  <si>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Disolventes y diluyentes orgánicos compuestos, no expresados ni comprendidos en otra parte; </t>
    </r>
    <r>
      <rPr>
        <b/>
        <sz val="8"/>
        <color rgb="FF002B54"/>
        <rFont val="Calibri"/>
        <family val="2"/>
        <scheme val="minor"/>
      </rPr>
      <t>...</t>
    </r>
  </si>
  <si>
    <t>Catalizadores sobre soporte, con níquel o sus compuestos como sustancia activa, n.c.o.p.</t>
  </si>
  <si>
    <t>Preparaciones anticongelantes y líquidos preparados para descongelar</t>
  </si>
  <si>
    <r>
      <t xml:space="preserve">Medios de cultivo preparados para el desarrollo o mantenimiento de microorganismos (incluidos </t>
    </r>
    <r>
      <rPr>
        <b/>
        <sz val="8"/>
        <color rgb="FF002B54"/>
        <rFont val="Calibri"/>
        <family val="2"/>
        <scheme val="minor"/>
      </rPr>
      <t>...</t>
    </r>
  </si>
  <si>
    <t>Aditivos preparados para cementos, morteros u hormigones</t>
  </si>
  <si>
    <r>
      <t xml:space="preserve">"Mezclas que contengan hidroclorofluorocarbono ""HCFCs"", que no contengan perflurocarbono </t>
    </r>
    <r>
      <rPr>
        <b/>
        <sz val="8"/>
        <color rgb="FF002B54"/>
        <rFont val="Calibri"/>
        <family val="2"/>
        <scheme val="minor"/>
      </rPr>
      <t>...</t>
    </r>
  </si>
  <si>
    <t>"Mezclas que contengan bromometano ""methyl bromodo"" o bromoclorometano"</t>
  </si>
  <si>
    <r>
      <t xml:space="preserve">Las mezclas y preparados que contienen ácido sulfónico de perfluorooctano, sus sales, sulfonamidas </t>
    </r>
    <r>
      <rPr>
        <b/>
        <sz val="8"/>
        <color rgb="FF002B54"/>
        <rFont val="Calibri"/>
        <family val="2"/>
        <scheme val="minor"/>
      </rPr>
      <t>...</t>
    </r>
  </si>
  <si>
    <t>Licores</t>
  </si>
  <si>
    <t>Coque de petróleo, calcinado</t>
  </si>
  <si>
    <t>Flúor; bromo</t>
  </si>
  <si>
    <t>Sodio</t>
  </si>
  <si>
    <r>
      <t xml:space="preserve">"Ácidos inorgánicos (exc. cloruro de hidrógeno ""ácido clorhídrico"", ácido clorosulfúrico, </t>
    </r>
    <r>
      <rPr>
        <b/>
        <sz val="8"/>
        <color rgb="FF002B54"/>
        <rFont val="Calibri"/>
        <family val="2"/>
        <scheme val="minor"/>
      </rPr>
      <t>...</t>
    </r>
  </si>
  <si>
    <t>Dióxido de silicio</t>
  </si>
  <si>
    <t>Dicloruro de azufre</t>
  </si>
  <si>
    <t>Cloruro de tionilo</t>
  </si>
  <si>
    <t>Disulfuro de carbono</t>
  </si>
  <si>
    <t>"Hidróxido de sodio ""sosa o soda cáustica"", sólido"</t>
  </si>
  <si>
    <t>"Hidróxido de sodio ""sosa o soda cáustica"", en disolución acuosa ""lejía de sosa cáustica"""</t>
  </si>
  <si>
    <t>Antisueros y otras fracciones de la sangre</t>
  </si>
  <si>
    <t>Cultivos celulares, incluso modificados (exc. ​​Productos de terapia celular)</t>
  </si>
  <si>
    <r>
      <t xml:space="preserve">Medicamentos, que contengan hormonas o esteroides utilizados como hormonas, sin antibióticos,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</si>
  <si>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"Medicamentos, que contengan hormonas o esteroides utilizados como hormonas pero sin antibióticos,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</si>
  <si>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"Los medicamentos que contienen efedrina o sus sales, sin hormonas ni esteroides utilizados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</si>
  <si>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"Los medicamentos que contienen pseudoefedrina ""INN"" o sus sales, sin hormonas ni esteroides </t>
    </r>
    <r>
      <rPr>
        <b/>
        <sz val="8"/>
        <color rgb="FF002B54"/>
        <rFont val="Calibri"/>
        <family val="2"/>
        <scheme val="minor"/>
      </rPr>
      <t>...</t>
    </r>
  </si>
  <si>
    <t>Botiquines equipados para primeros auxilios</t>
  </si>
  <si>
    <r>
      <t xml:space="preserve">Productos curtientes inorgánicos; preparaciones curtientes, incl. con productos curtientes </t>
    </r>
    <r>
      <rPr>
        <b/>
        <sz val="8"/>
        <color rgb="FF002B54"/>
        <rFont val="Calibri"/>
        <family val="2"/>
        <scheme val="minor"/>
      </rPr>
      <t>...</t>
    </r>
  </si>
  <si>
    <t>Óxidos de germanio y dióxido de circonio</t>
  </si>
  <si>
    <t>Hipocloritos, cloritos e hipobromitos (exc. hipocloritos de calcio)</t>
  </si>
  <si>
    <t>Cloratos (exc. de sodio)</t>
  </si>
  <si>
    <t>Ditionitos y sulfoxilatos (exc. de sodio)</t>
  </si>
  <si>
    <t>Sulfatos de magnesio</t>
  </si>
  <si>
    <t>Sulfatos de níquel</t>
  </si>
  <si>
    <t>Fosfatos de potasio</t>
  </si>
  <si>
    <t>Carbonato de potasio</t>
  </si>
  <si>
    <r>
      <t xml:space="preserve">Carne de porcinos, congelada (exc. canales o medias canales, así como piernas, paletas y sus </t>
    </r>
    <r>
      <rPr>
        <b/>
        <sz val="8"/>
        <color rgb="FF002B54"/>
        <rFont val="Calibri"/>
        <family val="2"/>
        <scheme val="minor"/>
      </rPr>
      <t>...</t>
    </r>
  </si>
  <si>
    <t>Despojos de porcinos, comestibles, frescos o refrigerados</t>
  </si>
  <si>
    <t>Trozos y despojos comestibles, de gallo o de gallina, de especies domésticas, congelados</t>
  </si>
  <si>
    <t>Los hígados grasos de ganso doméstico, frescos o refrigerados</t>
  </si>
  <si>
    <t>Carne y despojos comestibles de primates, frescos, refrigerados o congelados</t>
  </si>
  <si>
    <r>
      <t xml:space="preserve">Carne fresca, refrigerada o congelada y despojos comestibles de camellos y otros camélidos </t>
    </r>
    <r>
      <rPr>
        <b/>
        <sz val="8"/>
        <color rgb="FF002B54"/>
        <rFont val="Calibri"/>
        <family val="2"/>
        <scheme val="minor"/>
      </rPr>
      <t>...</t>
    </r>
  </si>
  <si>
    <t>Carne de bovinos, salada o en salmuera, seca o ahumada</t>
  </si>
  <si>
    <t>"Anguilas vivas ""Anguilla spp."""</t>
  </si>
  <si>
    <r>
      <t xml:space="preserve">"Pescados planos, frescos o refrigerados ""Pleuronectidae, Bótidos, Cynoglósidos, Soleidae, </t>
    </r>
    <r>
      <rPr>
        <b/>
        <sz val="8"/>
        <color rgb="FF002B54"/>
        <rFont val="Calibri"/>
        <family val="2"/>
        <scheme val="minor"/>
      </rPr>
      <t>...</t>
    </r>
  </si>
  <si>
    <t>"Listados o bonitos de vientre rayado ""Euthynnus -Katsuwonus- pelamis"", frescos o refrigerados"</t>
  </si>
  <si>
    <t>"Patudos o atunes ojo grande ""Thunnus obesus"", frescos o refrigerados"</t>
  </si>
  <si>
    <t>"Arenques frescos o refrigerados ""Clupea harengus, Clupea pallasii"""</t>
  </si>
  <si>
    <t>"Abadejo de Alaska ""Theragra chalcogramma"" frescos o refrigerados"</t>
  </si>
  <si>
    <t>"Congelados de tilapia ""Oreochromis spp."""</t>
  </si>
  <si>
    <t>"Sollas ""Pleuronectes platessa"", congeladas"</t>
  </si>
  <si>
    <r>
      <t xml:space="preserve">"Sardinas congeladas ""Sardina pilchardus, Sardinops spp."", Alacha ""Sardinella spp."" Espadines </t>
    </r>
    <r>
      <rPr>
        <b/>
        <sz val="8"/>
        <color rgb="FF002B54"/>
        <rFont val="Calibri"/>
        <family val="2"/>
        <scheme val="minor"/>
      </rPr>
      <t>...</t>
    </r>
  </si>
  <si>
    <t>"Cobia ""Rachycentron canadum"" congelada"</t>
  </si>
  <si>
    <r>
      <t xml:space="preserve">Pescado congelado de la Bregmacerotidae familias, Euclichthyidae, Gadidae, Macrouridae, Melanonidae, </t>
    </r>
    <r>
      <rPr>
        <b/>
        <sz val="8"/>
        <color rgb="FF002B54"/>
        <rFont val="Calibri"/>
        <family val="2"/>
        <scheme val="minor"/>
      </rPr>
      <t>...</t>
    </r>
  </si>
  <si>
    <t>Escualos congelados</t>
  </si>
  <si>
    <t>"Rayas congeladas y patines ""Rajidae"""</t>
  </si>
  <si>
    <t>"Filetes de emperador ""Xiphias gladius"", frescos o refrigerados"</t>
  </si>
  <si>
    <t>"Filetes de rayas y patines frescos o refrigerados ""Rajidae"""</t>
  </si>
  <si>
    <t>Filetes frescos o refrigerados de pescados, nep</t>
  </si>
  <si>
    <t>Carne fresca o refrigerada, incluso picada, de salmónidos (exc. ??filetes)</t>
  </si>
  <si>
    <r>
      <t xml:space="preserve">Carne fresca o refrigerada, incluso picada, de los peces de las familias Bregmacerotidae, Euclichthyidae,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</si>
  <si>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"Langostas congeladas ""Homarus spp."", Incluso ahumado, incluso pelados o no, incl. langostas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</si>
  <si>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"Langostas congeladas Noruega ""Nephrops norvegicus"", incluso ahumado, incluso pelados o no,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</si>
  <si>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"Langosta y otros productos de mar ""Palinurus spp., Panulirus spp. Jasus spp."", incluso ahumados, </t>
    </r>
    <r>
      <rPr>
        <b/>
        <sz val="8"/>
        <color rgb="FF002B54"/>
        <rFont val="Calibri"/>
        <family val="2"/>
        <scheme val="minor"/>
      </rPr>
      <t>...</t>
    </r>
  </si>
  <si>
    <t>"Langostas ""Homarus spp."", Con o sin cáscara, vivas, frescas o refrigeradas"</t>
  </si>
  <si>
    <r>
      <t xml:space="preserve">Crustáceos, aptos para la alimentación humana, con o sin cáscara, vivos, frescos o refrigerados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</si>
  <si>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"Langosta y demás cangrejos de mar ""Palinurus spp., Panulirus spp. Y Jasus spp."", Con o sin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</si>
  <si>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"Sepias vivas, frescas o refrigeradas, no ahumadas, ""Sepia officinalis, Rossia macrosoma Sepiola </t>
    </r>
    <r>
      <rPr>
        <b/>
        <sz val="8"/>
        <color rgb="FF002B54"/>
        <rFont val="Calibri"/>
        <family val="2"/>
        <scheme val="minor"/>
      </rPr>
      <t>...</t>
    </r>
  </si>
  <si>
    <t>Pescado y calamar, vivos, frescos o refrigerados, con o sin cáscara</t>
  </si>
  <si>
    <t>"Congelados, incluso en concha, conchas estrombóides ""Strombus spp."""</t>
  </si>
  <si>
    <r>
      <t xml:space="preserve">"Filetes de carpa ""Cyprinus carpio, Carassius carassius, Ctenopharyngodon idellus, Hypophthalmichthys </t>
    </r>
    <r>
      <rPr>
        <b/>
        <sz val="8"/>
        <color rgb="FF002B54"/>
        <rFont val="Calibri"/>
        <family val="2"/>
        <scheme val="minor"/>
      </rPr>
      <t>...</t>
    </r>
  </si>
  <si>
    <t>"Filetes de carbonero o colín ""Pollachius virens"", congelados"</t>
  </si>
  <si>
    <t>"Filetes congelados de chorlito, otros tiburones, rayas y patines ""Rajidae"""</t>
  </si>
  <si>
    <r>
      <t xml:space="preserve">"Carne congelada, incluso picada, de tilapia ""Oreochromis spp."", El bagre ""Pangasius spp.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</si>
  <si>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"Filetes, secos, salados o en salmuera, sin ahumar, de tilapia ""Oreochromis spp."", El bagre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</si>
  <si>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"Tilapia seca ""Oreochromis spp."", Bagre ""Pangasius spp., Silurus spp., Clarias spp., Ictalurus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</si>
  <si>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Pescados secos de las familias Bregmacerotidae, Euclichthyidae, Gadidae, Macrouridae, Melanonidae,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</si>
  <si>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Setas y trufas comestibles frescas o refrigeradas (exc. Agaricus, Boletus, Cantharellus, shiitake,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</si>
  <si>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"Coles, incl. los repollos, y coliflores, coles rizadas, colinabos y productos comestibles </t>
    </r>
    <r>
      <rPr>
        <b/>
        <sz val="8"/>
        <color rgb="FF002B54"/>
        <rFont val="Calibri"/>
        <family val="2"/>
        <scheme val="minor"/>
      </rPr>
      <t>...</t>
    </r>
  </si>
  <si>
    <t>Pepinos y pepinillos, frescos o refrigerados</t>
  </si>
  <si>
    <t>Búfalos vivos (excepto de raza pura para reproducción)</t>
  </si>
  <si>
    <t>Porcinos reproductores de raza pura</t>
  </si>
  <si>
    <t>"Pavos ""gallipavos"" de las especies domésticas, vivos, de peso &lt;= 185 g"</t>
  </si>
  <si>
    <r>
      <t xml:space="preserve">"Patos, gansos, pavos ""gallipavos"" y pintadas de las especies domésticas, vivos, de peso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</si>
  <si>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Ballenas vivas, delfines y marsopas (mamíferos del orden Cetáceos); los manatíes y dugongos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</si>
  <si>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Yogur, incluso aromatizado o con adición de azúcar u otro edulcorante, frutas, frutos secos, </t>
    </r>
    <r>
      <rPr>
        <b/>
        <sz val="8"/>
        <color rgb="FF002B54"/>
        <rFont val="Calibri"/>
        <family val="2"/>
        <scheme val="minor"/>
      </rPr>
      <t>...</t>
    </r>
  </si>
  <si>
    <t>"Queso de pasta azul y otros quesos que contengan venas producidas por ""Penicillium roqueforti"""</t>
  </si>
  <si>
    <r>
      <t xml:space="preserve">"Huevos de ave sin cáscara ""cascarón"", frescos, cocidos en agua o vapor, moldeados, congelados </t>
    </r>
    <r>
      <rPr>
        <b/>
        <sz val="8"/>
        <color rgb="FF002B54"/>
        <rFont val="Calibri"/>
        <family val="2"/>
        <scheme val="minor"/>
      </rPr>
      <t>...</t>
    </r>
  </si>
  <si>
    <t>Cabello en bruto, incluso lavado o desgrasado; desperdicios de cabello</t>
  </si>
  <si>
    <r>
      <t xml:space="preserve">Huesos y núcleos córneos, en bruto, desgrasados, desgelatinizados o simplemente preparados, </t>
    </r>
    <r>
      <rPr>
        <b/>
        <sz val="8"/>
        <color rgb="FF002B54"/>
        <rFont val="Calibri"/>
        <family val="2"/>
        <scheme val="minor"/>
      </rPr>
      <t>...</t>
    </r>
  </si>
  <si>
    <t>Árboles, arbustos y matas, de frutas o de otros frutos comestibles, incl. injertados</t>
  </si>
  <si>
    <t>Rosales, sin injertar</t>
  </si>
  <si>
    <t>Avena para siembra</t>
  </si>
  <si>
    <t>Mijo (sorgo de grano excluida, y la semilla para la siembra)</t>
  </si>
  <si>
    <t>Alpiste</t>
  </si>
  <si>
    <t>"Digitaria ""Digitaria spp."""</t>
  </si>
  <si>
    <t>De semillas de soja, para siembra</t>
  </si>
  <si>
    <t>Cacahuetes, con cáscara (exc. ??las de siembra para la siembra, o maníes crudos)</t>
  </si>
  <si>
    <t>Semillas de algodón (excepto para siembra)</t>
  </si>
  <si>
    <t>"Semilla de amapola ""adormidera"", incl. quebrantada"</t>
  </si>
  <si>
    <t>Semilla de remolacha azucarera, para siembra</t>
  </si>
  <si>
    <t>"Semilla de pasto azul de Kentucky ""Poa pratensis L."", para siembra"</t>
  </si>
  <si>
    <r>
      <t xml:space="preserve">"Raíces de mandioca ""yuca"", frescas, refrigeradas, congeladas o secas, incl. troceadas o </t>
    </r>
    <r>
      <rPr>
        <b/>
        <sz val="8"/>
        <color rgb="FF002B54"/>
        <rFont val="Calibri"/>
        <family val="2"/>
        <scheme val="minor"/>
      </rPr>
      <t>...</t>
    </r>
  </si>
  <si>
    <t>"Castañas frescas o secas ""Castanea spp."", Con cáscara"</t>
  </si>
  <si>
    <t>"Albaricoques ""damascos, chabacanos"", frescos"</t>
  </si>
  <si>
    <t>Ciruelas y endrinas, frescas</t>
  </si>
  <si>
    <t>Las raíces de achicoria, frescas, refrigeradas, congeladas o secas, incluso pulverizadas</t>
  </si>
  <si>
    <t>Goma arábiga</t>
  </si>
  <si>
    <t>El sebo de bovinos, ovinos y caprinos (excepto petróleo y oleoestearina)</t>
  </si>
  <si>
    <r>
      <t xml:space="preserve">Aceite de palma y sus fracciones, incl. refinados, sin modificar químicamente (exc. aceite </t>
    </r>
    <r>
      <rPr>
        <b/>
        <sz val="8"/>
        <color rgb="FF002B54"/>
        <rFont val="Calibri"/>
        <family val="2"/>
        <scheme val="minor"/>
      </rPr>
      <t>...</t>
    </r>
  </si>
  <si>
    <t>Aceites de almendra de palma o babasú y sus fracciones, incl. refinados, sin modificar químicamente</t>
  </si>
  <si>
    <t>Margarina (exc. margarina líquida)</t>
  </si>
  <si>
    <r>
      <t xml:space="preserve">Preparaciones o conservas de carne, despojos, sangre o insectos (exc. ​​carne o despojos de </t>
    </r>
    <r>
      <rPr>
        <b/>
        <sz val="8"/>
        <color rgb="FF002B54"/>
        <rFont val="Calibri"/>
        <family val="2"/>
        <scheme val="minor"/>
      </rPr>
      <t>...</t>
    </r>
  </si>
  <si>
    <t>Mejillones, preparados o conservados (excepto ahumado)</t>
  </si>
  <si>
    <t>Melaza de caña, procedente de la extracción o del refinado del azúcar</t>
  </si>
  <si>
    <t>Cuscús, incl. preparado</t>
  </si>
  <si>
    <r>
      <t xml:space="preserve">Preparaciones alimenticias obtenidas con copos de cereales sin tostar o con mezclas de copos </t>
    </r>
    <r>
      <rPr>
        <b/>
        <sz val="8"/>
        <color rgb="FF002B54"/>
        <rFont val="Calibri"/>
        <family val="2"/>
        <scheme val="minor"/>
      </rPr>
      <t>...</t>
    </r>
  </si>
  <si>
    <t>Pepinos y pepinillos, preparados o conservados en vinagre o en ácido acético</t>
  </si>
  <si>
    <r>
      <t xml:space="preserve">Productos que contienen nicotina destinados a la ingesta de nicotina en el cuerpo humano (exc. </t>
    </r>
    <r>
      <rPr>
        <b/>
        <sz val="8"/>
        <color rgb="FF002B54"/>
        <rFont val="Calibri"/>
        <family val="2"/>
        <scheme val="minor"/>
      </rPr>
      <t>...</t>
    </r>
  </si>
  <si>
    <t>Arenas silíceas y arenas cuarzosas, incl. coloreadas</t>
  </si>
  <si>
    <r>
      <t xml:space="preserve">Arenas naturales de cualquier clase, incl. coloreadas (exc. arenas auríferas y platiníferas,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</si>
  <si>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Cuarcita, simplemente troceada por aserrado o de otro modo, en bloques o en placas cuadradas </t>
    </r>
    <r>
      <rPr>
        <b/>
        <sz val="8"/>
        <color rgb="FF002B54"/>
        <rFont val="Calibri"/>
        <family val="2"/>
        <scheme val="minor"/>
      </rPr>
      <t>...</t>
    </r>
  </si>
  <si>
    <t>Piedra pómez</t>
  </si>
  <si>
    <r>
      <t xml:space="preserve">Dolomita, sinterizada o calcinada (exc. dolomita machacada para el hormigonado o para la construcción </t>
    </r>
    <r>
      <rPr>
        <b/>
        <sz val="8"/>
        <color rgb="FF002B54"/>
        <rFont val="Calibri"/>
        <family val="2"/>
        <scheme val="minor"/>
      </rPr>
      <t>...</t>
    </r>
  </si>
  <si>
    <t>Yeso natural; anhidrita</t>
  </si>
  <si>
    <t>Feldespato</t>
  </si>
  <si>
    <t>"Piritas de hierro tostadas ""cenizas de piritas"""</t>
  </si>
  <si>
    <t>Minerales de cobalto y sus concentrados</t>
  </si>
  <si>
    <t>Minerales de torio y sus concentrados</t>
  </si>
  <si>
    <t>Minerales de los metales preciosos y sus concentrados (exc. minerales de plata y sus concentrados)</t>
  </si>
  <si>
    <r>
      <t xml:space="preserve">Cenizas y residuos, que contengan principalmente plomo (exc. lodos de gasolina con plomo y </t>
    </r>
    <r>
      <rPr>
        <b/>
        <sz val="8"/>
        <color rgb="FF002B54"/>
        <rFont val="Calibri"/>
        <family val="2"/>
        <scheme val="minor"/>
      </rPr>
      <t>...</t>
    </r>
  </si>
  <si>
    <t>Lignitos, incl. pulverizados, pero sin aglomerar</t>
  </si>
  <si>
    <r>
      <t xml:space="preserve">Aceites de petróleo o de mineral bituminoso (excepto los aceites crudos) y preparaciones ncop </t>
    </r>
    <r>
      <rPr>
        <b/>
        <sz val="8"/>
        <color rgb="FF002B54"/>
        <rFont val="Calibri"/>
        <family val="2"/>
        <scheme val="minor"/>
      </rPr>
      <t>...</t>
    </r>
  </si>
  <si>
    <t>Butanos, licuados (exc. de pureza &gt;= 95% de n-butano o de isobutano)</t>
  </si>
  <si>
    <r>
      <t xml:space="preserve">Etileno, propileno, butileno y butadieno, licuados (exc. etileno de pureza &gt;= 95% y propileno, </t>
    </r>
    <r>
      <rPr>
        <b/>
        <sz val="8"/>
        <color rgb="FF002B54"/>
        <rFont val="Calibri"/>
        <family val="2"/>
        <scheme val="minor"/>
      </rPr>
      <t>...</t>
    </r>
  </si>
  <si>
    <t>Hidrocarburos, en estado gaseoso (exc. gas natural)</t>
  </si>
  <si>
    <t>"Cartuchos agotados ""irradiados"" de reactores nucleares [Euratom]"</t>
  </si>
  <si>
    <t>Helio-3</t>
  </si>
  <si>
    <t>Carburos de calcio, aunque no sean de constitución química definida</t>
  </si>
  <si>
    <t>"Buteno ""butileno"" y sus isómeros"</t>
  </si>
  <si>
    <t>O-Xileno</t>
  </si>
  <si>
    <t>Mezclas de isómeros del xileno</t>
  </si>
  <si>
    <t>Etilbenceno</t>
  </si>
  <si>
    <t>"1,2-Dicloroetano ""dicloruro de etileno"""</t>
  </si>
  <si>
    <t>Dichloropentafluoropropanes</t>
  </si>
  <si>
    <t>1,2,3,4,5,6-hexaclorociclohexano (HCH (ISO)), incluido el lindano (ISO, DCI)</t>
  </si>
  <si>
    <t>sulfonato de perfluorooctano de amonio</t>
  </si>
  <si>
    <r>
      <t xml:space="preserve">Sales de ácido sulfónico de perfluorooctano (excl. Amonio, litio y potasio perfluorooctano </t>
    </r>
    <r>
      <rPr>
        <b/>
        <sz val="8"/>
        <color rgb="FF002B54"/>
        <rFont val="Calibri"/>
        <family val="2"/>
        <scheme val="minor"/>
      </rPr>
      <t>...</t>
    </r>
  </si>
  <si>
    <t>"Tricloronitrometano ""cloropicrina"""</t>
  </si>
  <si>
    <r>
      <t xml:space="preserve">"Monoalcoholes acíclicos saturados (exc. metanol ""alcohol metílico"", propan-1-ol ""alcohol </t>
    </r>
    <r>
      <rPr>
        <b/>
        <sz val="8"/>
        <color rgb="FF002B54"/>
        <rFont val="Calibri"/>
        <family val="2"/>
        <scheme val="minor"/>
      </rPr>
      <t>...</t>
    </r>
  </si>
  <si>
    <t>Alcoholes terpénicos acíclicos</t>
  </si>
  <si>
    <t>"2-Etil-2-""hidroximetil""propano-1,3-diol ""trimetilolpropano"""</t>
  </si>
  <si>
    <t>"D-glucitol ""sorbitol"""</t>
  </si>
  <si>
    <r>
      <t xml:space="preserve">"Derivados halogenados, sulfonados, nitrados o nitrosados de los alcoholes acíclicos (exc. </t>
    </r>
    <r>
      <rPr>
        <b/>
        <sz val="8"/>
        <color rgb="FF002B54"/>
        <rFont val="Calibri"/>
        <family val="2"/>
        <scheme val="minor"/>
      </rPr>
      <t>...</t>
    </r>
  </si>
  <si>
    <t>Éteres aromáticos y sus derivados halogenados, sulfonados, nitrados o nitrosados</t>
  </si>
  <si>
    <r>
      <t xml:space="preserve">Aldehídos acíclicos sin otras funciones oxigenadas (sin metanal [formaldehído] y etanal [a </t>
    </r>
    <r>
      <rPr>
        <b/>
        <sz val="8"/>
        <color rgb="FF002B54"/>
        <rFont val="Calibri"/>
        <family val="2"/>
        <scheme val="minor"/>
      </rPr>
      <t>...</t>
    </r>
  </si>
  <si>
    <t>"Benzaldehído ""aldehído benzoico"""</t>
  </si>
  <si>
    <t>"Etilvainillina ""aldehído etilprotocatéquico"""</t>
  </si>
  <si>
    <r>
      <t xml:space="preserve">"Cetonas acíclicas sin otras funciones oxigenadas (exc. acetona, butanona ""metiletilcetona"" </t>
    </r>
    <r>
      <rPr>
        <b/>
        <sz val="8"/>
        <color rgb="FF002B54"/>
        <rFont val="Calibri"/>
        <family val="2"/>
        <scheme val="minor"/>
      </rPr>
      <t>...</t>
    </r>
  </si>
  <si>
    <t>Antraquinona</t>
  </si>
  <si>
    <t>Sales del ácido fórmico</t>
  </si>
  <si>
    <t>Anhídrido acético</t>
  </si>
  <si>
    <t>"Acetato dinosebo ""ISO"""</t>
  </si>
  <si>
    <t>Ácidos mono-, di- o tricloroacéticos, sus sales y sus ésteres</t>
  </si>
  <si>
    <t>Ácido propiónico, sus sales y sus ésteres</t>
  </si>
  <si>
    <r>
      <t xml:space="preserve">Ácidos monocarboxílicos ciclánicos, ciclénicos o cicloterpénicos, sus anhídridos, halogenuros, </t>
    </r>
    <r>
      <rPr>
        <b/>
        <sz val="8"/>
        <color rgb="FF002B54"/>
        <rFont val="Calibri"/>
        <family val="2"/>
        <scheme val="minor"/>
      </rPr>
      <t>...</t>
    </r>
  </si>
  <si>
    <t>Ácido fenilacético y sus sales</t>
  </si>
  <si>
    <t>Ácido láctico, sus sales y sus ésteres (exc. compuestos inorgánicos u orgánicos de mercurio)</t>
  </si>
  <si>
    <t>Ácido tartárico</t>
  </si>
  <si>
    <t>Ácido salicílico y sus sales (exc. compuestos inorgánicos u orgánicos de mercurio)</t>
  </si>
  <si>
    <r>
      <t xml:space="preserve">Poliaminas acíclicas y sus derivados; sales de estos productos (exc. etilendiamina, hexametilendiamina </t>
    </r>
    <r>
      <rPr>
        <b/>
        <sz val="8"/>
        <color rgb="FF002B54"/>
        <rFont val="Calibri"/>
        <family val="2"/>
        <scheme val="minor"/>
      </rPr>
      <t>...</t>
    </r>
  </si>
  <si>
    <t>Dietanolamina y sus sales</t>
  </si>
  <si>
    <t>"Dextropropoxifeno ""DCI"" y sus sales"</t>
  </si>
  <si>
    <t>Colina y sus sales</t>
  </si>
  <si>
    <t>Lecitinas y demás fosfoaminolípidos, incl. de constitución química no definida</t>
  </si>
  <si>
    <t>sulfonato de perfluorooctano didecildimetilamonio</t>
  </si>
  <si>
    <t>"Meprobamato ""DCI"""</t>
  </si>
  <si>
    <t>"Iminas y sus derivados; sales de estos productos (exc. clorodimoformo ""ISO"")"</t>
  </si>
  <si>
    <t>Metionina</t>
  </si>
  <si>
    <t>Aldicarb (ISO), captafol (ISO) y metamidofos (ISO)</t>
  </si>
  <si>
    <t>3-(trihidroxisilil) propil metilfosfonato de sodio</t>
  </si>
  <si>
    <t>propylphosphonate dimetil</t>
  </si>
  <si>
    <r>
      <t xml:space="preserve">"Alfentanil ""INN"", anileridina ""INN"", bezitramida ""INN"", bromazepam ""INN"", carfentanil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</si>
  <si>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Fentanilos y sus derivados, con heteroátomo [s] de nitrógeno únicamente, que contengan un ciclo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</si>
  <si>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"Derivados de la malonilurea ""ácido barbitúrico""; sales de estos productos (exc. sales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</si>
  <si>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"Lactamas (exc. 6-hexanolactama ""epsilón caprolactama"", clobazam ""INN"" y metiprilona ""INN"",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</si>
  <si>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Fentanilos y sus derivados (exc. ​​Únicamente con heteroátomo [s] de nitrógeno y productos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</si>
  <si>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sulfonamidas de perfluorooctano (excl. N-Methylperfluorooctane sulfonamida, sulfonamida N-Ethylperfluorooctane, </t>
    </r>
    <r>
      <rPr>
        <b/>
        <sz val="8"/>
        <color rgb="FF002B54"/>
        <rFont val="Calibri"/>
        <family val="2"/>
        <scheme val="minor"/>
      </rPr>
      <t>...</t>
    </r>
  </si>
  <si>
    <t>Vitamina B12 y sus derivados utilizados principalmente como vitaminas</t>
  </si>
  <si>
    <r>
      <t xml:space="preserve">Hormonas polipeptídicas, hormonas proteicas y hormonas glucoproteicas, sus derivados y análogos </t>
    </r>
    <r>
      <rPr>
        <b/>
        <sz val="8"/>
        <color rgb="FF002B54"/>
        <rFont val="Calibri"/>
        <family val="2"/>
        <scheme val="minor"/>
      </rPr>
      <t>...</t>
    </r>
  </si>
  <si>
    <t>Derivados halogenados de las hormonas corticosteroides</t>
  </si>
  <si>
    <t>Norefedrina y sus sales</t>
  </si>
  <si>
    <r>
      <t xml:space="preserve">Alcaloides del cornezuelo del centeno y sus derivados; sales de estos productos (exc. ergometrina,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</si>
  <si>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Azúcares químicamente puros (excepto la sacarosa, lactosa, maltosa, glucosa y fructosa [levulosa]); </t>
    </r>
    <r>
      <rPr>
        <b/>
        <sz val="8"/>
        <color rgb="FF002B54"/>
        <rFont val="Calibri"/>
        <family val="2"/>
        <scheme val="minor"/>
      </rPr>
      <t>...</t>
    </r>
  </si>
  <si>
    <t>Tetraciclinas y sus derivados; sales de estos productos</t>
  </si>
  <si>
    <r>
      <t xml:space="preserve">Conjuntos de lana o pelo fino, para mujeres o niñas (exc. de punto, así como conjuntos de esquí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</si>
  <si>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Abrigos, impermeables, chaquetones, capas y artículos simil., de algodón, para mujeres o niñas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</si>
  <si>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"Conjuntos de fibras sintéticas, para hombres o niños (exc. de punto, monos ""overoles"", conjuntos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</si>
  <si>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Abrigos, impermeables, chaquetones, capas y artículos simil., de lana o pelo fino, para hombres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</si>
  <si>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Transparentes textiles para calcar o dibujar; lienzos preparados para pintar; bucarán y telas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</si>
  <si>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Napas tramadas para neumáticos fabricadas con hilados de alta tenacidad de poliésteres, incl.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</si>
  <si>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Telas impregnadas, recubiertas, revestidas o estratificadas con poliuretano (exc. revestimientas </t>
    </r>
    <r>
      <rPr>
        <b/>
        <sz val="8"/>
        <color rgb="FF002B54"/>
        <rFont val="Calibri"/>
        <family val="2"/>
        <scheme val="minor"/>
      </rPr>
      <t>...</t>
    </r>
  </si>
  <si>
    <t>Tejidos con bucles, de punto, de algodón</t>
  </si>
  <si>
    <t>"Terciopelo y felpa, de punto, de algodón (exc. los tejidos ""de pelo largo"")"</t>
  </si>
  <si>
    <r>
      <t xml:space="preserve">"Tejidos de punto de anchura &gt; 30 cm, con un contenido de hilados de elastómeros &gt;= 5% en peso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</si>
  <si>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"Tejidos de punto, de anchura &gt; 30 cm, de fibras artificiales, estampados (exc. tejidos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</si>
  <si>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Conjuntos de punto, de materia textil, para hombres o niños (exc. de lana o pelo fino, de algodón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</si>
  <si>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"Tejidos de mezclilla ""denim"", con un contenido de algodón &gt;= 85% en peso, de peso &gt; 200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</si>
  <si>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"Tejidos de mezclilla ""denim"", con un alto contenido de algodón, pero &lt; 85% en peso, mezclado </t>
    </r>
    <r>
      <rPr>
        <b/>
        <sz val="8"/>
        <color rgb="FF002B54"/>
        <rFont val="Calibri"/>
        <family val="2"/>
        <scheme val="minor"/>
      </rPr>
      <t>...</t>
    </r>
  </si>
  <si>
    <t>Cordeles para atar o engavillar, de sisal o demás fibras textiles del género Ágave</t>
  </si>
  <si>
    <r>
      <t xml:space="preserve">Alfombras y demás revestimientos para el suelo, de nailon o demás poliamidas, con pelo insertado,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</si>
  <si>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"Alfombras y demás revestimientos para el suelo de materia textil sintética o artificial, con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</si>
  <si>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Losas para el suelo, de fieltro, distintas de las de pelo insertado y las flocadas, con una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</si>
  <si>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Alfombras y demás revestimientos para el suelo, de fieltro, distintos de los de pelo insertado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</si>
  <si>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Terciopelo y felpa por trama, cortados, de fibras sintéticas o artificiales (exc. los de punto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</si>
  <si>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Encajes en pieza, en tiras o en aplicaciones, fabricados a máquina, de fibras sintéticas 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</si>
  <si>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Monofilamentos de elastómeros de título &gt;= 67 decitex y cuya mayor dimensión de la sección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</si>
  <si>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hilados de filamentos sintéticos, incl. los monofilamentos de título &gt;= 67 decitex,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</si>
  <si>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Cables de filamentos de nailon o demás poliamidas, de conformidad con la nota 1 del capítulo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</si>
  <si>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Cables de filamentos artificiales, tal como se especifica en la Nota 1 del capítulo 55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</si>
  <si>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Fibras sintéticas discontinuas, sin cardar, peinar ni transformar de otra forma para la hilatura </t>
    </r>
    <r>
      <rPr>
        <b/>
        <sz val="8"/>
        <color rgb="FF002B54"/>
        <rFont val="Calibri"/>
        <family val="2"/>
        <scheme val="minor"/>
      </rPr>
      <t>...</t>
    </r>
  </si>
  <si>
    <t>Fibras artificiales discontinuas, cardadas, peinadas o transformadas de otro modo para la hilatura</t>
  </si>
  <si>
    <r>
      <t xml:space="preserve">Hilados con un contenido de fibras discontinuas de poliéster &gt;= 85% en peso, sencillos (exc. </t>
    </r>
    <r>
      <rPr>
        <b/>
        <sz val="8"/>
        <color rgb="FF002B54"/>
        <rFont val="Calibri"/>
        <family val="2"/>
        <scheme val="minor"/>
      </rPr>
      <t>...</t>
    </r>
  </si>
  <si>
    <t>Cascos de seguridad, incl. guarnecidos</t>
  </si>
  <si>
    <r>
      <t xml:space="preserve">Partes, adornos y accesorios para paraguas y parasoles de la partida 6601 ó para bastones, </t>
    </r>
    <r>
      <rPr>
        <b/>
        <sz val="8"/>
        <color rgb="FF002B54"/>
        <rFont val="Calibri"/>
        <family val="2"/>
        <scheme val="minor"/>
      </rPr>
      <t>...</t>
    </r>
  </si>
  <si>
    <t>Bolas y artículos simil. para molinos, moldeados (exc. de fundición no maleable)</t>
  </si>
  <si>
    <r>
      <t xml:space="preserve">"Cobre refinado, en bruto (exc. en forma de tochos, de barras para alambrón ""wire-bars"", </t>
    </r>
    <r>
      <rPr>
        <b/>
        <sz val="8"/>
        <color rgb="FF002B54"/>
        <rFont val="Calibri"/>
        <family val="2"/>
        <scheme val="minor"/>
      </rPr>
      <t>...</t>
    </r>
  </si>
  <si>
    <t>"Aleaciones a base de cobre-estaño ""bronce"", en bruto"</t>
  </si>
  <si>
    <r>
      <t xml:space="preserve">"Chapas y tiras, de aleaciones a base de cobre-estaño ""bronce"", de espesor &gt; 0,15 mm, sin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</si>
  <si>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"Chapas y tiras, de aleaciones a base de cobre-níquel-cinc ""alpaca"" de espesor &gt; 0,15 mm </t>
    </r>
    <r>
      <rPr>
        <b/>
        <sz val="8"/>
        <color rgb="FF002B54"/>
        <rFont val="Calibri"/>
        <family val="2"/>
        <scheme val="minor"/>
      </rPr>
      <t>...</t>
    </r>
  </si>
  <si>
    <t>"Tubos de aleaciones a base de cobre-cinc ""latón"""</t>
  </si>
  <si>
    <t>Aleaciones de aluminio, en bruto</t>
  </si>
  <si>
    <t>Barras y perfiles, de aluminio sin alear, n.c.o.p.</t>
  </si>
  <si>
    <r>
      <t xml:space="preserve">"Chapas y tiras, de aluminio sin alear, de espesor &gt; 0,2 mm, cuadradas o rectangulares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</si>
  <si>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Artículos de higiene o tocador y sus partes, de aluminio (exc. bidones, cajas y recipientes </t>
    </r>
    <r>
      <rPr>
        <b/>
        <sz val="8"/>
        <color rgb="FF002B54"/>
        <rFont val="Calibri"/>
        <family val="2"/>
        <scheme val="minor"/>
      </rPr>
      <t>...</t>
    </r>
  </si>
  <si>
    <t>Plomo en bruto, con antimonio como el otro elemento predominante en peso</t>
  </si>
  <si>
    <t>Rodio, semilabrado</t>
  </si>
  <si>
    <r>
      <t xml:space="preserve">Desperdicios y desechos de oro, incl. chapados de oro y demás desperdicios y desechos que contengan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</si>
  <si>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"Artículos de orfebrería y sus partes, de chapado de metal precioso ""plaqué"" sobre metal </t>
    </r>
    <r>
      <rPr>
        <b/>
        <sz val="8"/>
        <color rgb="FF002B54"/>
        <rFont val="Calibri"/>
        <family val="2"/>
        <scheme val="minor"/>
      </rPr>
      <t>...</t>
    </r>
  </si>
  <si>
    <t>Ferromanganeso, con un contenido de carbono &gt; 2% en peso</t>
  </si>
  <si>
    <t>Ferrosilicio, con un contenido de silicio &lt;= 55% en peso</t>
  </si>
  <si>
    <t>Ferrocromo, con un contenido de carbono &gt; 4% en peso</t>
  </si>
  <si>
    <t>"Desperdicios y desechos ""chatarra"", de fundición (exc. radiactivos)"</t>
  </si>
  <si>
    <r>
      <t xml:space="preserve">"Desperdicios y desechos ""chatarra"", de hierro o acero estañados (exc. radiactivos, así como </t>
    </r>
    <r>
      <rPr>
        <b/>
        <sz val="8"/>
        <color rgb="FF002B54"/>
        <rFont val="Calibri"/>
        <family val="2"/>
        <scheme val="minor"/>
      </rPr>
      <t>...</t>
    </r>
  </si>
  <si>
    <t>Barras de acero inoxidable, simplemente laminadas o extrudidas en caliente, de sección circular</t>
  </si>
  <si>
    <t>Barras de acero rápido</t>
  </si>
  <si>
    <t>Perfiles de aceros aleados, distinto del acero inoxidable, n.c.o.p.</t>
  </si>
  <si>
    <t>Tablestacas de hierro o acero, incl. perforadas o hechas con elementos ensamblados</t>
  </si>
  <si>
    <r>
      <t xml:space="preserve">"Tubos de entubación ""casing"" de los tipos utilizados para la extracción de petróleo o gas,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</si>
  <si>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Tubos y perfiles huecos, soldados, de sección circular, de hierro o acero sin alear (exc. tubos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</si>
  <si>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Tubos y perfiles huecos, soldados, de sección circular, de aceros aleados distinto del acero </t>
    </r>
    <r>
      <rPr>
        <b/>
        <sz val="8"/>
        <color rgb="FF002B54"/>
        <rFont val="Calibri"/>
        <family val="2"/>
        <scheme val="minor"/>
      </rPr>
      <t>...</t>
    </r>
  </si>
  <si>
    <t>Accesorios de tubería, de fundición, hierro o acero, moldeados (exc. de fundición no maleable)</t>
  </si>
  <si>
    <t>Puentes y partes de puentes, de fundición, hierro o acero</t>
  </si>
  <si>
    <t>"Cadenas de eslabones con contrete ""travesaño"", de fundición, hierro o acero"</t>
  </si>
  <si>
    <t>Tornillos para madera, de fundición, hierro o acero (exc. tirafondos)</t>
  </si>
  <si>
    <r>
      <t xml:space="preserve">Corbatas y lazos simil., de materia textil (exc. de seda o desperdicios de seda, de fibras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</si>
  <si>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"Sacos ""bolsas"" y talegas, para envasar, de tiras o formas simil., de polietileno o polipropileno </t>
    </r>
    <r>
      <rPr>
        <b/>
        <sz val="8"/>
        <color rgb="FF002B54"/>
        <rFont val="Calibri"/>
        <family val="2"/>
        <scheme val="minor"/>
      </rPr>
      <t>...</t>
    </r>
  </si>
  <si>
    <t>"Tiendas ""carpas"" de fibras sintéticas (exc. quitasoles-tienda)"</t>
  </si>
  <si>
    <t>Colchones neumáticos de materia textil</t>
  </si>
  <si>
    <r>
      <t xml:space="preserve">"Calzado de deporte con suela de caucho, plástico, cuero natural o regenerado y parte superior </t>
    </r>
    <r>
      <rPr>
        <b/>
        <sz val="8"/>
        <color rgb="FF002B54"/>
        <rFont val="Calibri"/>
        <family val="2"/>
        <scheme val="minor"/>
      </rPr>
      <t>...</t>
    </r>
  </si>
  <si>
    <t>Ropa de mesa, de punto</t>
  </si>
  <si>
    <r>
      <t xml:space="preserve">Losetas, losas, ladrillos y artículos simil., de cemento, hormigón o piedra artificial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</si>
  <si>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"Prendas y complementos ""accesorios"", de vestir, calzado y sombrereros y demás tocados,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</si>
  <si>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Manufacturas de piedra u otras sustancias minerales, n.c.o.p. que contiene magnesita, magnesia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</si>
  <si>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"Retortas, crisoles, muflas, toberas, tapones, soportes, copelas, tubos, fundas, varillas y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</si>
  <si>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Tejas, elementos de chimenea, conductos de humo, ornamentos arquitectónicos u artículos simil.,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</si>
  <si>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Plaquitas, cubos, dados u artículos simil., de cerámica, incl. de forma distinta de la cuadrada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</si>
  <si>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Tubos de vidrio, con un coeficiente de dilatación lineal &lt;= 5 x 10-6 por Kelvin, entre 0°C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</si>
  <si>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Placas u hojas de vidrio colado o laminado, coloreadas en la masa, opacificadas, chapadas o </t>
    </r>
    <r>
      <rPr>
        <b/>
        <sz val="8"/>
        <color rgb="FF002B54"/>
        <rFont val="Calibri"/>
        <family val="2"/>
        <scheme val="minor"/>
      </rPr>
      <t>...</t>
    </r>
  </si>
  <si>
    <t>Vasos, jarros y demás recipientes de vidrio para beber (exc. posavasos)</t>
  </si>
  <si>
    <r>
      <t xml:space="preserve">Artículos de vidrio, para servicio de mesa o de cocina (exc. con un coeficiente de dilatación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</si>
  <si>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Artículos de vidrio para laboratorio, higiene o farmacia, incl. graduados o calibrados, de </t>
    </r>
    <r>
      <rPr>
        <b/>
        <sz val="8"/>
        <color rgb="FF002B54"/>
        <rFont val="Calibri"/>
        <family val="2"/>
        <scheme val="minor"/>
      </rPr>
      <t>...</t>
    </r>
  </si>
  <si>
    <t>Hilados y astillas de fibra de vidrio (exc. ​​en hebras cortadas de longitud &lt;= 50 mm y mechas)</t>
  </si>
  <si>
    <r>
      <t xml:space="preserve">Tejidos de fibras de vidrio aglomerados mecánicamente (exc. ​​tejidos cerrados de mechas y </t>
    </r>
    <r>
      <rPr>
        <b/>
        <sz val="8"/>
        <color rgb="FF002B54"/>
        <rFont val="Calibri"/>
        <family val="2"/>
        <scheme val="minor"/>
      </rPr>
      <t>...</t>
    </r>
  </si>
  <si>
    <t>Perlas cultivadas, en bruto, incl. clasificadas</t>
  </si>
  <si>
    <t>Plata, incl. la plata dorada y la platinada, en polvo</t>
  </si>
  <si>
    <r>
      <t xml:space="preserve">Partes de quemadores para la alimentación de hogares; partes de alimentadores mecánicos de </t>
    </r>
    <r>
      <rPr>
        <b/>
        <sz val="8"/>
        <color rgb="FF002B54"/>
        <rFont val="Calibri"/>
        <family val="2"/>
        <scheme val="minor"/>
      </rPr>
      <t>...</t>
    </r>
  </si>
  <si>
    <t>distribuidores de abonos (excl. pulverizadores y esparcidores de estiércol)</t>
  </si>
  <si>
    <t>Cosechadoras-trilladoras</t>
  </si>
  <si>
    <t>Partes de máquinas de ordeñar y de máquinas y de aparatos para la industria lechera, n.c.o.p.</t>
  </si>
  <si>
    <t>pulverizadores agrícolas u hortícolas, portátil</t>
  </si>
  <si>
    <t>Aparatos elevadores o transportadores, neumáticos</t>
  </si>
  <si>
    <r>
      <t xml:space="preserve">Aparatos elevadores o transportadores, de acción continua, para mercancías, de cuchara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</si>
  <si>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Aparatos elevadores o transportadores, de acción continua, para mercancías, de banda o de correa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</si>
  <si>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Palas mecánicas, excavadoras, cargadoras y palas cargadoras, autopropulsadas (exc. palas mecánicas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</si>
  <si>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Cuchillas y hojas cortantes, de metal común, para aparatos de cocina o máquinas de la industria </t>
    </r>
    <r>
      <rPr>
        <b/>
        <sz val="8"/>
        <color rgb="FF002B54"/>
        <rFont val="Calibri"/>
        <family val="2"/>
        <scheme val="minor"/>
      </rPr>
      <t>...</t>
    </r>
  </si>
  <si>
    <t>Plaquitas, varillas, puntas y artículos similares para útiles, sin montar, de cermet</t>
  </si>
  <si>
    <t>Cuchillos, incl. las de podar, de metal común (exc. los de hoja fija y navajas de afeitar)</t>
  </si>
  <si>
    <r>
      <t xml:space="preserve">Herramientas y juegos de herramientas de manicura o pedicuro, incl. las limas uñas, de metal </t>
    </r>
    <r>
      <rPr>
        <b/>
        <sz val="8"/>
        <color rgb="FF002B54"/>
        <rFont val="Calibri"/>
        <family val="2"/>
        <scheme val="minor"/>
      </rPr>
      <t>...</t>
    </r>
  </si>
  <si>
    <t>Cerraduras de los tipos utilizados en muebles, de metal común</t>
  </si>
  <si>
    <t>Colgadores, perchas, soportes y artículos simil., de metal común</t>
  </si>
  <si>
    <t>Remaches tubulares o con espiga hendida, de metal común</t>
  </si>
  <si>
    <t>"Alambre ""relleno"" para soldadura de arco, de metal común"</t>
  </si>
  <si>
    <t>Máquinas y aparatos para la separación isotópica y sus partes, n.c.o.p. [Euratom]</t>
  </si>
  <si>
    <r>
      <t xml:space="preserve">"Elementos combustibles ""cartuchos"", sin irradiar, en vaina con dispositivos especiales para </t>
    </r>
    <r>
      <rPr>
        <b/>
        <sz val="8"/>
        <color rgb="FF002B54"/>
        <rFont val="Calibri"/>
        <family val="2"/>
        <scheme val="minor"/>
      </rPr>
      <t>...</t>
    </r>
  </si>
  <si>
    <t>"Calderas denominadas ""de agua sobrecalentada"""</t>
  </si>
  <si>
    <r>
      <t xml:space="preserve">Turbinas de vapor, de potencia &lt;= 40 MW (exc. para la propulsión de barcos, así como las turbinas </t>
    </r>
    <r>
      <rPr>
        <b/>
        <sz val="8"/>
        <color rgb="FF002B54"/>
        <rFont val="Calibri"/>
        <family val="2"/>
        <scheme val="minor"/>
      </rPr>
      <t>...</t>
    </r>
  </si>
  <si>
    <t>Polvo de condensación, de cinc</t>
  </si>
  <si>
    <t>Las demás manufacturas de estaño</t>
  </si>
  <si>
    <t>"Volframio ""tungsteno"" en bruto, incl. las barras simplemente obtenidas por sinterizado"</t>
  </si>
  <si>
    <t>Tantalio en bruto, incl. las barras simplemente obtenidas por sinterizado; polvo de tantalio</t>
  </si>
  <si>
    <r>
      <t xml:space="preserve">Bismuto y sus manufacturas, incl. desperdicios y desechos, que contengan &lt;= 99,99% de bismuto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</si>
  <si>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Manufacturas de circonio, que contengan =&gt; 1 parte de hafnio por 500 partes de circonio en </t>
    </r>
    <r>
      <rPr>
        <b/>
        <sz val="8"/>
        <color rgb="FF002B54"/>
        <rFont val="Calibri"/>
        <family val="2"/>
        <scheme val="minor"/>
      </rPr>
      <t>...</t>
    </r>
  </si>
  <si>
    <t>Desechos y desperdicios, de talio (exc. cenizas y residuos que contengan talio)</t>
  </si>
  <si>
    <t>"Manufacturas de niobio ""columbio"", galio, indio, vanadio y germanio, n.c.o.p."</t>
  </si>
  <si>
    <t>Layas y palas, con parte operante de metal común</t>
  </si>
  <si>
    <r>
      <t xml:space="preserve">Hojas de sierra circulares, incl. las fresas sierra, incl. las partes, de metal común, con </t>
    </r>
    <r>
      <rPr>
        <b/>
        <sz val="8"/>
        <color rgb="FF002B54"/>
        <rFont val="Calibri"/>
        <family val="2"/>
        <scheme val="minor"/>
      </rPr>
      <t>...</t>
    </r>
  </si>
  <si>
    <t>Cadenas cortantes, de metal común</t>
  </si>
  <si>
    <t>Llaves de ajuste de mano, incl. las llaves dinamométricas, de metal común, de boca ajustable</t>
  </si>
  <si>
    <t>Cubos de ajuste intercambiables, incl. con mango, de metal común</t>
  </si>
  <si>
    <t>Partes de máquinas para la fabricación de pasta de materias celulósicas, nep</t>
  </si>
  <si>
    <r>
      <t xml:space="preserve">Máquinas de taladrar o mortajar, para trabajar madera, plástico rígido o materias duras simil. </t>
    </r>
    <r>
      <rPr>
        <b/>
        <sz val="8"/>
        <color rgb="FF002B54"/>
        <rFont val="Calibri"/>
        <family val="2"/>
        <scheme val="minor"/>
      </rPr>
      <t>...</t>
    </r>
  </si>
  <si>
    <t>Máquinas de hendir, rebanar o desenrollar la madera</t>
  </si>
  <si>
    <r>
      <t xml:space="preserve">Portaútiles para máquinas herramienta y para herramientas de mano de cualquier tipo; dispositivos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</si>
  <si>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Platinas, agujas y demás artículos que participen en la formación de mallas, para máquinas </t>
    </r>
    <r>
      <rPr>
        <b/>
        <sz val="8"/>
        <color rgb="FF002B54"/>
        <rFont val="Calibri"/>
        <family val="2"/>
        <scheme val="minor"/>
      </rPr>
      <t>...</t>
    </r>
  </si>
  <si>
    <t>Máquinas de coser industriales (exc. unidades automáticas)</t>
  </si>
  <si>
    <t>Convertidores para metalurgia, acerías o fundiciones</t>
  </si>
  <si>
    <r>
      <t xml:space="preserve">Máquinas herramienta que operen por ultrasonido (exc. aparatos para limpieza por ultrasonido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</si>
  <si>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herramienta para trabajar cualquier metal por arranque de material, operado por procesos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</si>
  <si>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Escariadoras para metal, de control numérico (exc. unidades de mecanizado de correderas y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</si>
  <si>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de fresar para metal, de control numérico (exc. unidades de mecanizado de correderas, </t>
    </r>
    <r>
      <rPr>
        <b/>
        <sz val="8"/>
        <color rgb="FF002B54"/>
        <rFont val="Calibri"/>
        <family val="2"/>
        <scheme val="minor"/>
      </rPr>
      <t>...</t>
    </r>
  </si>
  <si>
    <t>Máquinas de afilar para metal, de control numérico</t>
  </si>
  <si>
    <t>"Máquinas de lapear ""bruñir"", para metal (exc. máquinas para acabar engranajes)"</t>
  </si>
  <si>
    <t>Máquinas perfiladoras para productos planos</t>
  </si>
  <si>
    <t>Prensas plegadoras controladas numéricamente</t>
  </si>
  <si>
    <r>
      <t xml:space="preserve">Máquinas para doblar, plegar, enderezar o aplanar productos planos (exc. ​​Máquinas de control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</si>
  <si>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herramienta para trabajar metal, carburos metálicos sinterizados o cermet, sin remover </t>
    </r>
    <r>
      <rPr>
        <b/>
        <sz val="8"/>
        <color rgb="FF002B54"/>
        <rFont val="Calibri"/>
        <family val="2"/>
        <scheme val="minor"/>
      </rPr>
      <t>...</t>
    </r>
  </si>
  <si>
    <t>Rodamientos de agujas</t>
  </si>
  <si>
    <r>
      <t xml:space="preserve">Máquinas para la fabricación aditiva (exc. ​​por depósito de metal, plástico, caucho, yeso, </t>
    </r>
    <r>
      <rPr>
        <b/>
        <sz val="8"/>
        <color rgb="FF002B54"/>
        <rFont val="Calibri"/>
        <family val="2"/>
        <scheme val="minor"/>
      </rPr>
      <t>...</t>
    </r>
  </si>
  <si>
    <t>Máquinas y aparatos para obras públicas, la construcción o trabajos análogos</t>
  </si>
  <si>
    <r>
      <t xml:space="preserve">Prensas para fabricar tableros de escamillas, de fibra de madera u otras materias leñosas y </t>
    </r>
    <r>
      <rPr>
        <b/>
        <sz val="8"/>
        <color rgb="FF002B54"/>
        <rFont val="Calibri"/>
        <family val="2"/>
        <scheme val="minor"/>
      </rPr>
      <t>...</t>
    </r>
  </si>
  <si>
    <t>Robots industriales, n.c.o.p.</t>
  </si>
  <si>
    <t>Válvulas de retención para tuberías, calderas, depósitos, cubas o continentes simil.</t>
  </si>
  <si>
    <r>
      <t xml:space="preserve">Partes y accesorios de máquinas herramienta para trabajar piedra, cerámica, hormigón, amiantocemento </t>
    </r>
    <r>
      <rPr>
        <b/>
        <sz val="8"/>
        <color rgb="FF002B54"/>
        <rFont val="Calibri"/>
        <family val="2"/>
        <scheme val="minor"/>
      </rPr>
      <t>...</t>
    </r>
  </si>
  <si>
    <t>Herramientas neumáticas, de uso manual, rotativas, incl. de percusión</t>
  </si>
  <si>
    <t>Sierras, incl. las tronzadoras, con motor eléctrico incorporado, de uso manual</t>
  </si>
  <si>
    <r>
      <t xml:space="preserve">Herramientas con motor eléctrico incorporado, de uso manual (exc. taladros de toda clase, incl. </t>
    </r>
    <r>
      <rPr>
        <b/>
        <sz val="8"/>
        <color rgb="FF002B54"/>
        <rFont val="Calibri"/>
        <family val="2"/>
        <scheme val="minor"/>
      </rPr>
      <t>...</t>
    </r>
  </si>
  <si>
    <t>Sierras o tronzadoras, de cadena, de uso manual, con motor incorporado que no sea eléctrico</t>
  </si>
  <si>
    <r>
      <t xml:space="preserve">Partes de sierras o tronzadoras de cadena, con motor incorporado, de uso manual, incl. eléctrico, </t>
    </r>
    <r>
      <rPr>
        <b/>
        <sz val="8"/>
        <color rgb="FF002B54"/>
        <rFont val="Calibri"/>
        <family val="2"/>
        <scheme val="minor"/>
      </rPr>
      <t>...</t>
    </r>
  </si>
  <si>
    <t>Máquinas y aparatos de oficina, n.c.o.p.</t>
  </si>
  <si>
    <r>
      <t xml:space="preserve">Partes y accesorios para máquinas de escribir y máquinas para tratamiento de textos de la partida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</si>
  <si>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automáticas para la venta de bebidas, con dispositivo de calentamiento o refrigeración </t>
    </r>
    <r>
      <rPr>
        <b/>
        <sz val="8"/>
        <color rgb="FF002B54"/>
        <rFont val="Calibri"/>
        <family val="2"/>
        <scheme val="minor"/>
      </rPr>
      <t>...</t>
    </r>
  </si>
  <si>
    <t>Máquinas de moldear en vacío y demás máquinas para termoformado, para trabajar caucho o plástico</t>
  </si>
  <si>
    <t>Electrodos de grafito u otros carbonos, de los tipos utilizados en hornos eléctricos</t>
  </si>
  <si>
    <t>Artículos de grafito u otros carbonos, para usos eléctricos (exc. electrodos y escobillas)</t>
  </si>
  <si>
    <t>Aisladores eléctricos de cerámica</t>
  </si>
  <si>
    <r>
      <t xml:space="preserve">Piezas aislantes para electricidad, de materias distintas de la cerámica y del plástico, así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</si>
  <si>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"Desechos y desperdicios de conjuntos eléctricos y electrónicos y placas de circuitos impresos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</si>
  <si>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Frenos distintos de los de aire comprimido, y sus partes, propios de vehículos para vías férreas,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</si>
  <si>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Motocultores y tractores de características simil. para la industria (exc. cabezas tractoras </t>
    </r>
    <r>
      <rPr>
        <b/>
        <sz val="8"/>
        <color rgb="FF002B54"/>
        <rFont val="Calibri"/>
        <family val="2"/>
        <scheme val="minor"/>
      </rPr>
      <t>...</t>
    </r>
  </si>
  <si>
    <t>Tractores de orugas (exc. motocultores de orugas)</t>
  </si>
  <si>
    <r>
      <t xml:space="preserve">Tractores, con potencia del motor &lt;= 18 kW (exc. Los de la partida 8709, motocultores, tractores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</si>
  <si>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vehículos automóviles para transporte de&gt; = 10 personas, incl. conductor, con sólo el motor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</si>
  <si>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Vehículos especialmente concebidos para desplazarse sobre nieve, incl. los trineos con motor,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</si>
  <si>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Vehículos automóviles para el transporte de mercancías, que tengan únicamente motor eléctrico </t>
    </r>
    <r>
      <rPr>
        <b/>
        <sz val="8"/>
        <color rgb="FF002B54"/>
        <rFont val="Calibri"/>
        <family val="2"/>
        <scheme val="minor"/>
      </rPr>
      <t>...</t>
    </r>
  </si>
  <si>
    <t>Pilas y baterías de pilas, de litio (exc. inservibles)</t>
  </si>
  <si>
    <t>Aspiradoras, incl. las de materias secas y líquidas, (exc. con motor eléctrico incorporado)</t>
  </si>
  <si>
    <r>
      <t xml:space="preserve">"Aparatos electromecánicos con motor eléctrico incorporado, de uso doméstico (exc. aspiradoras,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</si>
  <si>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de aparatos electromecánicos con motor eléctrico incorporado, de uso doméstico, n.c.o.p.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</si>
  <si>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Limpiaparabrisas y eliminadores de escarcha y de vaho, eléctricos, de los tipos utilizados </t>
    </r>
    <r>
      <rPr>
        <b/>
        <sz val="8"/>
        <color rgb="FF002B54"/>
        <rFont val="Calibri"/>
        <family val="2"/>
        <scheme val="minor"/>
      </rPr>
      <t>...</t>
    </r>
  </si>
  <si>
    <t>Hornos de haz de electrones</t>
  </si>
  <si>
    <t>Máquinas y aparatos para soldar metal por resistencia, no automáticos, ni siquiera parcialmente</t>
  </si>
  <si>
    <r>
      <t xml:space="preserve">Máquinas y aparatos para soldar, de láser u otros haces de luz o de fotones, de ultrasonidos,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</si>
  <si>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Calentadores eléctricos de agua de calentamiento instantáneo o acumulación y calentadores eléctricos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</si>
  <si>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Teléfonos para redes celulares o para otras redes inalámbricas (exc. los teléfonos de línea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</si>
  <si>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"Auriculares electroacústicos, incl. los de casco, incl. combinados con micrófono y juegos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</si>
  <si>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Aparatos de grabación o reproducción de sonido que utilicen medios magnéticos, ópticos o semiconductores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</si>
  <si>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Medios ópticos para la grabación de sonido o de otros fenómenos (excepto los no registrados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</si>
  <si>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Monitores con tubos catódicos, principalmente para usar en máquinas procesadoras de datos automáticas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</si>
  <si>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Monitores, sin aparatos receptores incorporados (exc. principalmente para usar en máquinas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</si>
  <si>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identificables como destinadas, exclusiva o principalmente, a módulos de visualización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</si>
  <si>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Aparatos eléctricos de señalización, seguridad, control o mando, para vías férreas o simil. </t>
    </r>
    <r>
      <rPr>
        <b/>
        <sz val="8"/>
        <color rgb="FF002B54"/>
        <rFont val="Calibri"/>
        <family val="2"/>
        <scheme val="minor"/>
      </rPr>
      <t>...</t>
    </r>
  </si>
  <si>
    <t>Condensadores de tantalio (exc. condensadores de potencia)</t>
  </si>
  <si>
    <t>Disyuntores, para una tensión &gt;= 72,5 kV</t>
  </si>
  <si>
    <t>Grupos electrógenos de energía eólica</t>
  </si>
  <si>
    <r>
      <t xml:space="preserve">Tubos catódicos (exc. tubos catódicos para aparatos receptores de televisión y videomonitores,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</si>
  <si>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de lámparas, de tubos y de válvulas electrónicos de cátodo caliente, cátodo frío o fotocátodo, </t>
    </r>
    <r>
      <rPr>
        <b/>
        <sz val="8"/>
        <color rgb="FF002B54"/>
        <rFont val="Calibri"/>
        <family val="2"/>
        <scheme val="minor"/>
      </rPr>
      <t>...</t>
    </r>
  </si>
  <si>
    <t>Alambre para bobinar, para electricidad, de cobre, aislado</t>
  </si>
  <si>
    <t>Cables y demás conductores eléctricos coaxiales, aislados</t>
  </si>
  <si>
    <r>
      <t xml:space="preserve">Multímetros para medida de tensión, intensidad, resistencia o potencia eléctricas, sin dispositivo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</si>
  <si>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"Instrumentos y aparatos para medida o control de obleas ""wafers"" o dispositivos, semico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</si>
  <si>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Instrumentos y aparatos para medida o control de magnitudes eléctricas, sin dispositivo registrador, </t>
    </r>
    <r>
      <rPr>
        <b/>
        <sz val="8"/>
        <color rgb="FF002B54"/>
        <rFont val="Calibri"/>
        <family val="2"/>
        <scheme val="minor"/>
      </rPr>
      <t>...</t>
    </r>
  </si>
  <si>
    <t>Instrumentos y aparatos de odontología, n.c.o.p.</t>
  </si>
  <si>
    <t>Audífonos (exc. sus partes y accesorios)</t>
  </si>
  <si>
    <r>
      <t xml:space="preserve">Partes y accesorios de máquinas y aparatos no electrónicos para ensayo de las propiedades mecánicas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</si>
  <si>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"Motocicletas, incl. los ciclomotores, con motor de émbolo ""pistón"" alternativo de cilindrada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</si>
  <si>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"Remolques y semirremolques no desplazables sobre carriles ""rieles"" (exc. para transporte </t>
    </r>
    <r>
      <rPr>
        <b/>
        <sz val="8"/>
        <color rgb="FF002B54"/>
        <rFont val="Calibri"/>
        <family val="2"/>
        <scheme val="minor"/>
      </rPr>
      <t>...</t>
    </r>
  </si>
  <si>
    <t>Helicópteros de peso en vacío &lt;= 2.000 kg (exc. los no tripulados de la partida 8806)</t>
  </si>
  <si>
    <r>
      <t xml:space="preserve">Aeronaves no tripuladas, con un peso máximo de despegue&gt; 7 kg pero &lt;= 25 kg (exc. el transporte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</si>
  <si>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"Transatlánticos, barcos para excursiones ""de cruceros"" y barcos simil. concebidos principalmente </t>
    </r>
    <r>
      <rPr>
        <b/>
        <sz val="8"/>
        <color rgb="FF002B54"/>
        <rFont val="Calibri"/>
        <family val="2"/>
        <scheme val="minor"/>
      </rPr>
      <t>...</t>
    </r>
  </si>
  <si>
    <t>Embarcaciones inflables de recreo o deporte</t>
  </si>
  <si>
    <r>
      <t xml:space="preserve">"Embarcaciones neumáticas ""incl. Neumáticas de casco rígido"", para recreo o deporte, equipadas </t>
    </r>
    <r>
      <rPr>
        <b/>
        <sz val="8"/>
        <color rgb="FF002B54"/>
        <rFont val="Calibri"/>
        <family val="2"/>
        <scheme val="minor"/>
      </rPr>
      <t>...</t>
    </r>
  </si>
  <si>
    <t>Navíos de guerra de todo tipo</t>
  </si>
  <si>
    <r>
      <t xml:space="preserve">Lentes, prismas, espejos y demás elementos de óptica de cualquier materia, montados, para instrumentos </t>
    </r>
    <r>
      <rPr>
        <b/>
        <sz val="8"/>
        <color rgb="FF002B54"/>
        <rFont val="Calibri"/>
        <family val="2"/>
        <scheme val="minor"/>
      </rPr>
      <t>...</t>
    </r>
  </si>
  <si>
    <t>"Monturas ""armazones"" de gafas ""anteojos"" o de artículos simil. (exc. de plástico)"</t>
  </si>
  <si>
    <t>"Gafas ""anteojos"" de sol"</t>
  </si>
  <si>
    <r>
      <t xml:space="preserve">"Gafas ""anteojos"" correctoras, protectoras u otras, y artículos simil. (exc. gafas ""anteojos""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</si>
  <si>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Cámaras fotográficas con visor de reflexión a través del objetivo, para películas en rollo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</si>
  <si>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Cámaras fotográficas para películas en rollo de anchura &lt; 35 mm (exc. cámeras fotográficas </t>
    </r>
    <r>
      <rPr>
        <b/>
        <sz val="8"/>
        <color rgb="FF002B54"/>
        <rFont val="Calibri"/>
        <family val="2"/>
        <scheme val="minor"/>
      </rPr>
      <t>...</t>
    </r>
  </si>
  <si>
    <t>Partes y accesorios de aparatos y dispositivos para producir destellos para fotografía, n.c.o.p.</t>
  </si>
  <si>
    <t>Pantallas de proyección</t>
  </si>
  <si>
    <t>Collages y cuadros simil.</t>
  </si>
  <si>
    <t>Especímenes humanos y sus partes, como colecciones o piezas de colección de interés anatómico</t>
  </si>
  <si>
    <t>Naipes</t>
  </si>
  <si>
    <r>
      <t xml:space="preserve">"Cuerdas de alumbrado eléctrico de los tipos utilizados para árboles de Navidad (exc. las destinadas </t>
    </r>
    <r>
      <rPr>
        <b/>
        <sz val="8"/>
        <color rgb="FF002B54"/>
        <rFont val="Calibri"/>
        <family val="2"/>
        <scheme val="minor"/>
      </rPr>
      <t>...</t>
    </r>
  </si>
  <si>
    <t>Escobas y escobillas de ramitas u otra materia vegetal atadas en haces, incl. con mango</t>
  </si>
  <si>
    <r>
      <t xml:space="preserve">Brochas de afeitar, cepillos para cabello, pestañas, uñas y demás cepillos para aseo personal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</si>
  <si>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Botones (exc. de plástico o de metal común, sin forrar con materia textile, así como botones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</si>
  <si>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Despertadores y demás relojes de pequeño mecanismo de relojería, distintos de los eléctricos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</si>
  <si>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Relojes eléctricos (exc. relojes de pulsera, bolsillo y relojes simil. de las partidas 9101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</si>
  <si>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Cajas y envolturas similares para aparatos de relojería (exc. para relojes de pulsera, bolsillo </t>
    </r>
    <r>
      <rPr>
        <b/>
        <sz val="8"/>
        <color rgb="FF002B54"/>
        <rFont val="Calibri"/>
        <family val="2"/>
        <scheme val="minor"/>
      </rPr>
      <t>...</t>
    </r>
  </si>
  <si>
    <t>Pulseras para reloj y sus partes, n.c.o.p.</t>
  </si>
  <si>
    <t>Platinas y puentes</t>
  </si>
  <si>
    <r>
      <t xml:space="preserve">Instrumentos musicales de teclado en los que el sonido se produzca o tenga que amplificarse </t>
    </r>
    <r>
      <rPr>
        <b/>
        <sz val="8"/>
        <color rgb="FF002B54"/>
        <rFont val="Calibri"/>
        <family val="2"/>
        <scheme val="minor"/>
      </rPr>
      <t>...</t>
    </r>
  </si>
  <si>
    <t>Cajas de música</t>
  </si>
  <si>
    <r>
      <t xml:space="preserve">Armas de guerra, incl. pistolas ametralladoras (exc. cañones, obuses morteros y demás piezas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</si>
  <si>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Armas de fuego y artefactos simil. que utilicen la deflagración de la pólvora (exc. escopetas </t>
    </r>
    <r>
      <rPr>
        <b/>
        <sz val="8"/>
        <color rgb="FF002B54"/>
        <rFont val="Calibri"/>
        <family val="2"/>
        <scheme val="minor"/>
      </rPr>
      <t>...</t>
    </r>
  </si>
  <si>
    <t>Asientos de bambú</t>
  </si>
  <si>
    <t>Asientos de ratán</t>
  </si>
  <si>
    <r>
      <t xml:space="preserve">Asientos con armazón de metal, con relleno (exc. de los tipos utilizados en aeronaves o en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</si>
  <si>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Calzado impermeable con suela y parte superior de caucho o de plástico, cuya parte superior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</si>
  <si>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"Calzado de deporte con suela y parte superior de caucho o plástico (exc. calzado impermeable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</si>
  <si>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Visillos y cortinas; guardamalletas y ropadiés de cama, de punto, de fibras sintéticas (exc. </t>
    </r>
    <r>
      <rPr>
        <b/>
        <sz val="8"/>
        <color rgb="FF002B54"/>
        <rFont val="Calibri"/>
        <family val="2"/>
        <scheme val="minor"/>
      </rPr>
      <t>...</t>
    </r>
  </si>
  <si>
    <t>Colchas de punto (exc. ropa de cama, cubrepiés o edredones)</t>
  </si>
  <si>
    <r>
      <t xml:space="preserve">"Partes superiores de calzado y sus partes (exc. contrafuertes y punteras duras, así como artículos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</si>
  <si>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Pelucas, barbas, cejas, pestañas, mechones y artículos análogos, de pelo o materia textil (exc. </t>
    </r>
    <r>
      <rPr>
        <b/>
        <sz val="8"/>
        <color rgb="FF002B54"/>
        <rFont val="Calibri"/>
        <family val="2"/>
        <scheme val="minor"/>
      </rPr>
      <t>...</t>
    </r>
  </si>
  <si>
    <t>Manufacturas de amiantocemento, celulosacemento o simil., que contengan amianto</t>
  </si>
  <si>
    <t>Paneles, losetas, tejas y artículos simil., de celulosacemento o simil. (exc. placas onduladas)</t>
  </si>
  <si>
    <t>Ropa de cama de fibras sintéticas o artificiales (exc. estampada y de punto)</t>
  </si>
  <si>
    <r>
      <t xml:space="preserve">Espejos retrovisores enmarcados o no, incl. los espejos retrovisores, con marco o sin él, para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</si>
  <si>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Artículos de cristal al plomo, de tocador, para oficina, de adorno de interiores o usos simil.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</si>
  <si>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Artículos de vidrio para laboratorio, higiene o farmacia, incl. graduados o calibrados (exc.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</si>
  <si>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"Ojos de vidrio (exc. los de prótesis); objetos de cuentas de vidrio o de imitaciones de perlas, </t>
    </r>
    <r>
      <rPr>
        <b/>
        <sz val="8"/>
        <color rgb="FF002B54"/>
        <rFont val="Calibri"/>
        <family val="2"/>
        <scheme val="minor"/>
      </rPr>
      <t>...</t>
    </r>
  </si>
  <si>
    <t>Esteras de fibra de vidrio unidas mecánicamente</t>
  </si>
  <si>
    <r>
      <t xml:space="preserve">Monedas (exc. de curso legal, monedas de oro, condecoraciones, artículos de joyería hechos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</si>
  <si>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"Ferroaleaciones (exc. ferromanganeso, ferrosilicio, ferro-sílico- manganeso, ferrocromo, ferro-sílico-cormo,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</si>
  <si>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Granallas, de fundición en bruto, de fundición especular, de hierro o acero (exc. granallas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</si>
  <si>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Hierro y acero sin alear, en lingotes (exc. lingotes de chatarra, productos obtenidos por colada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</si>
  <si>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Productos intermedios de hierro o acero sin alear, con un contenido de carbono &gt;= 0,25% en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</si>
  <si>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"Anoraks, cazadoras y artículos simil., de fibras sintéticas o artificiales, para hombres 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</si>
  <si>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"Trajes ""ambos o ternos"" de materia textil, para hombres o niños (exc. de lana o pelo fino </t>
    </r>
    <r>
      <rPr>
        <b/>
        <sz val="8"/>
        <color rgb="FF002B54"/>
        <rFont val="Calibri"/>
        <family val="2"/>
        <scheme val="minor"/>
      </rPr>
      <t>...</t>
    </r>
  </si>
  <si>
    <t>Mantas eléctricas, de todo tipo de materia textil</t>
  </si>
  <si>
    <t>Corbatas y lazos simil., de seda o desperdicios de seda (exc. de punto)</t>
  </si>
  <si>
    <r>
      <t xml:space="preserve">Camisones y pijamas, de materia textil, para hombres o niños (exc. de algodón, de fibras sintéticas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</si>
  <si>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con un alto contenido de fibras artificiales discontinuas, pero &lt; 85% en peso, distintos </t>
    </r>
    <r>
      <rPr>
        <b/>
        <sz val="8"/>
        <color rgb="FF002B54"/>
        <rFont val="Calibri"/>
        <family val="2"/>
        <scheme val="minor"/>
      </rPr>
      <t>...</t>
    </r>
  </si>
  <si>
    <t>Tejidos con un contenido de fibras artificiales discontinuas &gt;= 85% en peso, crudos o blanqueados</t>
  </si>
  <si>
    <t>Tejidos con un contenido de fibras artificiales discontinuas &gt;= 85% en peso, estampados</t>
  </si>
  <si>
    <r>
      <t xml:space="preserve">Fieltro impregnado, recubierto, revestido o estratificado (exc. fieltro punzonado y productos </t>
    </r>
    <r>
      <rPr>
        <b/>
        <sz val="8"/>
        <color rgb="FF002B54"/>
        <rFont val="Calibri"/>
        <family val="2"/>
        <scheme val="minor"/>
      </rPr>
      <t>...</t>
    </r>
  </si>
  <si>
    <t>Cordeles para atar o engavillar, de polietileno o de polipropileno</t>
  </si>
  <si>
    <r>
      <t xml:space="preserve">"Terciopelo y felpa por trama, cortados, rayados ""pana rayada"" [""corduroy""], de fibras </t>
    </r>
    <r>
      <rPr>
        <b/>
        <sz val="8"/>
        <color rgb="FF002B54"/>
        <rFont val="Calibri"/>
        <family val="2"/>
        <scheme val="minor"/>
      </rPr>
      <t>...</t>
    </r>
  </si>
  <si>
    <t>Cintas sin trama, de hilados o fibras paralelizados y aglutinados</t>
  </si>
  <si>
    <r>
      <t xml:space="preserve">Bordados distintos de los de algodón o de fibras sintéticas o artificiales, sobre materia textil,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</si>
  <si>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"Telas impregnadas, recubiertas, revestidas o estratificadas con poli""cloruro de vinilo""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</si>
  <si>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"Telas impregnadas, recubiertas, revestidas o estratificadas con plástico distinto del poli""cloruro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</si>
  <si>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Revestimientos para el suelo formados por un recubrimiento o revestimiento aplicado sobre un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</si>
  <si>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Las demás telas impregnadas, recubiertas o revestidas; lienzos pintados para decoraciones de </t>
    </r>
    <r>
      <rPr>
        <b/>
        <sz val="8"/>
        <color rgb="FF002B54"/>
        <rFont val="Calibri"/>
        <family val="2"/>
        <scheme val="minor"/>
      </rPr>
      <t>...</t>
    </r>
  </si>
  <si>
    <t>Gasas y tela para cerner, incl. confeccionadas</t>
  </si>
  <si>
    <r>
      <t xml:space="preserve">"Terciopelo y felpa, de punto, de fibras sintéticas o artificiales (exc. los tejidos ""de pelo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</si>
  <si>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"Tejidos de punto, de anchura &lt;= 30 cm, de lana o pelo fino (exc. con un contenido de hilados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</si>
  <si>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"Tejidos de punto, de anchura &lt;= 30 cm, de fibras sintéticas (exc. con un contenido de hilados </t>
    </r>
    <r>
      <rPr>
        <b/>
        <sz val="8"/>
        <color rgb="FF002B54"/>
        <rFont val="Calibri"/>
        <family val="2"/>
        <scheme val="minor"/>
      </rPr>
      <t>...</t>
    </r>
  </si>
  <si>
    <t>Desperdicios de fibras sintéticas, incl. las borras, los desperdicios de hilados y las hilachas</t>
  </si>
  <si>
    <r>
      <t xml:space="preserve">Hilos de coser de fibras artificiales discontinuas, incl. acondicionados para la venta al por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</si>
  <si>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algodón, con un contenido de algodón &gt;= 85% en peso, de peso &gt; 200 g/m², crudos </t>
    </r>
    <r>
      <rPr>
        <b/>
        <sz val="8"/>
        <color rgb="FF002B54"/>
        <rFont val="Calibri"/>
        <family val="2"/>
        <scheme val="minor"/>
      </rPr>
      <t>...</t>
    </r>
  </si>
  <si>
    <t>Lino agramado o espadado</t>
  </si>
  <si>
    <t>Hilados de lino, sencillos</t>
  </si>
  <si>
    <t>Capullos de seda aptos para el devanado</t>
  </si>
  <si>
    <t>Hilados de desperdicios de seda sin acondicionar para la venta al por menor</t>
  </si>
  <si>
    <t>Tejidos de borrilla</t>
  </si>
  <si>
    <r>
      <t xml:space="preserve">Tejidos con un contenido de seda o desperdicios de seda, distintos de la borrilla &gt;= 85% en </t>
    </r>
    <r>
      <rPr>
        <b/>
        <sz val="8"/>
        <color rgb="FF002B54"/>
        <rFont val="Calibri"/>
        <family val="2"/>
        <scheme val="minor"/>
      </rPr>
      <t>...</t>
    </r>
  </si>
  <si>
    <t>Lana carbonizada, sin cardar ni peinar</t>
  </si>
  <si>
    <t>Diccionarios y enciclopedias, incl. en fascículos</t>
  </si>
  <si>
    <r>
      <t xml:space="preserve">Artículos de mesa o de cocina, de bambú (excl. Palillos, tablas de cortar, tablas de cortar </t>
    </r>
    <r>
      <rPr>
        <b/>
        <sz val="8"/>
        <color rgb="FF002B54"/>
        <rFont val="Calibri"/>
        <family val="2"/>
        <scheme val="minor"/>
      </rPr>
      <t>...</t>
    </r>
  </si>
  <si>
    <t>Tapones de todo tipo, de corcho natural, incl. los esbozos para tapones con aristas redondeadas</t>
  </si>
  <si>
    <r>
      <t xml:space="preserve">"Trenzas y productos similares, de vegetales trazados, sin ensamblar, material trenzado, y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</si>
  <si>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yute o demás fibras textiles del líber de la partida 5303, blanqueados, teñidos, </t>
    </r>
    <r>
      <rPr>
        <b/>
        <sz val="8"/>
        <color rgb="FF002B54"/>
        <rFont val="Calibri"/>
        <family val="2"/>
        <scheme val="minor"/>
      </rPr>
      <t>...</t>
    </r>
  </si>
  <si>
    <t>Tejidos de las demás fibras textiles vegetales; tejidos de hilados de papel</t>
  </si>
  <si>
    <r>
      <t xml:space="preserve">Hilados texturados, de filamentos de nailon o demás poliamidas, de título &gt; 50 tex por hilo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</si>
  <si>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texturados, de filamentos de polipropileno (exc. hilos de coser e hilados acondicionados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</si>
  <si>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Hilados texturados, de filamentos sintéticos (exc. hilos de coser, hilados acondicionados para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</si>
  <si>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Tejidos de hilados con un contenido de filamentos de poliésteres sin texturar &gt;= 85% en peso, </t>
    </r>
    <r>
      <rPr>
        <b/>
        <sz val="8"/>
        <color rgb="FF002B54"/>
        <rFont val="Calibri"/>
        <family val="2"/>
        <scheme val="minor"/>
      </rPr>
      <t>...</t>
    </r>
  </si>
  <si>
    <t>Estopa de filamentos a que se refiere la nota 1 del capítulo 55, de aramidas</t>
  </si>
  <si>
    <t>Cables de filamentos artificiales</t>
  </si>
  <si>
    <r>
      <t xml:space="preserve">Tornillos de banco, prensas de carpintero y simil. (exc. partes o accesorios de máquinas h </t>
    </r>
    <r>
      <rPr>
        <b/>
        <sz val="8"/>
        <color rgb="FF002B54"/>
        <rFont val="Calibri"/>
        <family val="2"/>
        <scheme val="minor"/>
      </rPr>
      <t>...</t>
    </r>
  </si>
  <si>
    <t>"Útiles de roscar ""incl. aterrajar"", intercambiables"</t>
  </si>
  <si>
    <t>Útiles de fresar, intercambiables</t>
  </si>
  <si>
    <t>Hojas de metal común, para cuchillos de mesa y demás cuchillos de la partida 8211</t>
  </si>
  <si>
    <r>
      <t xml:space="preserve">Máquinas de cortar el pelo o de esquilar y demás artículos de cuchillería, n.c.o.p., de metal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</si>
  <si>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Guarniciones, herrajes y artículos simil., de metal común, para muebles (exc. cerraduras, cerrojos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</si>
  <si>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Clasificadores, ficheros, cajas de clasificación, bandejas de correspondencia, plumeros (vasos </t>
    </r>
    <r>
      <rPr>
        <b/>
        <sz val="8"/>
        <color rgb="FF002B54"/>
        <rFont val="Calibri"/>
        <family val="2"/>
        <scheme val="minor"/>
      </rPr>
      <t>...</t>
    </r>
  </si>
  <si>
    <t>Desperdicios y desechos de tantalio (exc. cenizas y residuos que contengan tantalio)</t>
  </si>
  <si>
    <t>Crisoles de tantalio</t>
  </si>
  <si>
    <r>
      <t xml:space="preserve">Desperdicios y desechos, de magnesio (exc. cenizas y residuos que contengan magnesio, así como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</si>
  <si>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Bismuto y sus manufacturas, incl. desperdicios y desechos, que contengan&gt; 99,99% de bismuto </t>
    </r>
    <r>
      <rPr>
        <b/>
        <sz val="8"/>
        <color rgb="FF002B54"/>
        <rFont val="Calibri"/>
        <family val="2"/>
        <scheme val="minor"/>
      </rPr>
      <t>...</t>
    </r>
  </si>
  <si>
    <t>Manufacturas de cadmio, n.c.o.p.</t>
  </si>
  <si>
    <t>Desperdicios y desechos, de titanio (exc. cenizas y residuos que contengan titanio)</t>
  </si>
  <si>
    <r>
      <t xml:space="preserve">Desperdicios y desechos de circonio, que contengan =&gt; 1 parte de hafnio por 500 partes de circonio </t>
    </r>
    <r>
      <rPr>
        <b/>
        <sz val="8"/>
        <color rgb="FF002B54"/>
        <rFont val="Calibri"/>
        <family val="2"/>
        <scheme val="minor"/>
      </rPr>
      <t>...</t>
    </r>
  </si>
  <si>
    <t>Antimonio en bruto; polvo de antimonio</t>
  </si>
  <si>
    <t>Manufacturas de hafnio, n.c.o.p.</t>
  </si>
  <si>
    <t>Cadmio y manufacturas de cadmio, n.c.o.p.</t>
  </si>
  <si>
    <r>
      <t xml:space="preserve">Hoces y guadañas, cuchillos de heno, cuñas y otras herramientas de mano del tipo utilizado </t>
    </r>
    <r>
      <rPr>
        <b/>
        <sz val="8"/>
        <color rgb="FF002B54"/>
        <rFont val="Calibri"/>
        <family val="2"/>
        <scheme val="minor"/>
      </rPr>
      <t>...</t>
    </r>
  </si>
  <si>
    <t>Sierras de mano, con parte operante de metal común (exc. con motor incorporado)</t>
  </si>
  <si>
    <r>
      <t xml:space="preserve">Hojas de sierra, incl. las hojas sin dentar, de metal común (exc. hojas de sierra de cinta, </t>
    </r>
    <r>
      <rPr>
        <b/>
        <sz val="8"/>
        <color rgb="FF002B54"/>
        <rFont val="Calibri"/>
        <family val="2"/>
        <scheme val="minor"/>
      </rPr>
      <t>...</t>
    </r>
  </si>
  <si>
    <t>"Traíllas ""scrapers"" autopropulsadas"</t>
  </si>
  <si>
    <t>Partes de ascensores, montacargas o escaleras mecánicas, n.c.o.p.</t>
  </si>
  <si>
    <t>"Hojas de topadoras frontales ""bulldozers"" o de topadoras angulares ""angledozers"", n.c.o.p."</t>
  </si>
  <si>
    <t>Sembradoras, plantadoras y transplantadoras (exc. Máquinas sin labranza)</t>
  </si>
  <si>
    <r>
      <t xml:space="preserve">"Máquinas, aparatos y artefactos agrícolas, hortícolas o silvícolas, para la preparación 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</si>
  <si>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Cortadoras de césped, con motor, en las que el dispositivo de corte gire en un plano vertical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</si>
  <si>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de máquinas y de aparatos para el trabajo de la pasta de papel, del papel o cartón,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</si>
  <si>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y aparatos para imprimir offset, usados, alimentados con hojas de formato &gt; 22 x 36 </t>
    </r>
    <r>
      <rPr>
        <b/>
        <sz val="8"/>
        <color rgb="FF002B54"/>
        <rFont val="Calibri"/>
        <family val="2"/>
        <scheme val="minor"/>
      </rPr>
      <t>...</t>
    </r>
  </si>
  <si>
    <t>"Máquinas y aparatos para imprimir, heliográficos ""huecograbado"""</t>
  </si>
  <si>
    <t>Partes de elevadores de líquidos, n.c.o.p.</t>
  </si>
  <si>
    <r>
      <t xml:space="preserve">Máquinas y aparatos para acondicionamiento de aire, de los tipos utilizados en vehículos automóviles </t>
    </r>
    <r>
      <rPr>
        <b/>
        <sz val="8"/>
        <color rgb="FF002B54"/>
        <rFont val="Calibri"/>
        <family val="2"/>
        <scheme val="minor"/>
      </rPr>
      <t>...</t>
    </r>
  </si>
  <si>
    <t>Secadores para productos agrícolas</t>
  </si>
  <si>
    <t>"Desnatadoras ""descremadoras"" y clarificadoras centrífugas para tratamiento de la leche"</t>
  </si>
  <si>
    <t>Básculas y balanzas de pesada continua sobre transportadores</t>
  </si>
  <si>
    <r>
      <t xml:space="preserve">Instrumentos e aparatos de pesar, con capacidad &gt; 30 kg pero &lt;= 5.000 kg (exc. instrumentos </t>
    </r>
    <r>
      <rPr>
        <b/>
        <sz val="8"/>
        <color rgb="FF002B54"/>
        <rFont val="Calibri"/>
        <family val="2"/>
        <scheme val="minor"/>
      </rPr>
      <t>...</t>
    </r>
  </si>
  <si>
    <t>Extintores, cargados o no</t>
  </si>
  <si>
    <r>
      <t xml:space="preserve">Pistolas aerográficas y aparatos simil. (exc. máquinas y aparatos eléctricos para proyectar </t>
    </r>
    <r>
      <rPr>
        <b/>
        <sz val="8"/>
        <color rgb="FF002B54"/>
        <rFont val="Calibri"/>
        <family val="2"/>
        <scheme val="minor"/>
      </rPr>
      <t>...</t>
    </r>
  </si>
  <si>
    <t>pulverizadores agrícolas u hortícolas (excl. portátiles)</t>
  </si>
  <si>
    <t>Grúas de pórtico</t>
  </si>
  <si>
    <r>
      <t xml:space="preserve">Grúas móviles y carretillas grúa, sobre neumáticos (exc. camiones grúa, pórticos móviles sobre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</si>
  <si>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Partes de los aparatos de calentamiento no eléctrico y de uso doméstico de la partida 7321,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</si>
  <si>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"Artículos de higiene o tocador, y sus partes, de fundición (exc. bidones latas o botes, cajas </t>
    </r>
    <r>
      <rPr>
        <b/>
        <sz val="8"/>
        <color rgb="FF002B54"/>
        <rFont val="Calibri"/>
        <family val="2"/>
        <scheme val="minor"/>
      </rPr>
      <t>...</t>
    </r>
  </si>
  <si>
    <t>Polvo de estructura no laminar, de cobre (exc. granallas de cobre)</t>
  </si>
  <si>
    <r>
      <t xml:space="preserve">Polvo de estructura laminar y escamillas, de cobre (exc. granallas de cobre y lentejuelas de </t>
    </r>
    <r>
      <rPr>
        <b/>
        <sz val="8"/>
        <color rgb="FF002B54"/>
        <rFont val="Calibri"/>
        <family val="2"/>
        <scheme val="minor"/>
      </rPr>
      <t>...</t>
    </r>
  </si>
  <si>
    <t>Tubos de aluminio sin alear (exc. los perfiles huecos)</t>
  </si>
  <si>
    <t>Envases tubulares flexibles, de aluminio</t>
  </si>
  <si>
    <r>
      <t xml:space="preserve">Depósitos, barriles, tambores, bidones, botes, cajas y recipientes simil., de aluminio, incl.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</si>
  <si>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Plomo en bruto (exc. plomo refinado y plomo con antimonio como el otro elemento predominante </t>
    </r>
    <r>
      <rPr>
        <b/>
        <sz val="8"/>
        <color rgb="FF002B54"/>
        <rFont val="Calibri"/>
        <family val="2"/>
        <scheme val="minor"/>
      </rPr>
      <t>...</t>
    </r>
  </si>
  <si>
    <t>"Empalmes ""rácores"", codos, manguitos y demás accesorios de tubería, de aleaciones de cobre"</t>
  </si>
  <si>
    <t>Cables, trenzas y artículos similares, de cobre, sin aislar para electricidad</t>
  </si>
  <si>
    <r>
      <t xml:space="preserve">Aparatos de higiene o tocador y sus partes, de cobre (exc. bidones, cajas y recipientes simil. </t>
    </r>
    <r>
      <rPr>
        <b/>
        <sz val="8"/>
        <color rgb="FF002B54"/>
        <rFont val="Calibri"/>
        <family val="2"/>
        <scheme val="minor"/>
      </rPr>
      <t>...</t>
    </r>
  </si>
  <si>
    <t>Accesorios de tubería, de níquel</t>
  </si>
  <si>
    <t>Manufacturas de níquel, n.c.o.p.</t>
  </si>
  <si>
    <r>
      <t xml:space="preserve">Alambre de aluminio sin alear, cuya mayor dimensión de la sección transversal sea &gt; 7 mm (exc. </t>
    </r>
    <r>
      <rPr>
        <b/>
        <sz val="8"/>
        <color rgb="FF002B54"/>
        <rFont val="Calibri"/>
        <family val="2"/>
        <scheme val="minor"/>
      </rPr>
      <t>...</t>
    </r>
  </si>
  <si>
    <t>Tirafondos, de fundición, hierro o acero</t>
  </si>
  <si>
    <t>Paladio, semilabrado</t>
  </si>
  <si>
    <t>Iridio, osmio y rutenio, semilabrados</t>
  </si>
  <si>
    <t>Barras de hierro o acero sin alear, simplemente forjadas</t>
  </si>
  <si>
    <r>
      <t xml:space="preserve">Barras de acero de fácil mecanización, sin alear, simplemente laminadas o extrudidas en caliente,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</si>
  <si>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Perfiles en L, de hierro o acero sin alear, simplemente laminados o extrudidos en caliente,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</si>
  <si>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Perfiles de hierro o acero sin alear, simplemente obtenidos o acabados en frío a partir de </t>
    </r>
    <r>
      <rPr>
        <b/>
        <sz val="8"/>
        <color rgb="FF002B54"/>
        <rFont val="Calibri"/>
        <family val="2"/>
        <scheme val="minor"/>
      </rPr>
      <t>...</t>
    </r>
  </si>
  <si>
    <t>Perfiles de hierro o acero, obtenidos por soldadura</t>
  </si>
  <si>
    <t>Bridas de tubería, de acero inoxidable (exc. moldeadas)</t>
  </si>
  <si>
    <r>
      <t xml:space="preserve">Hornos industriales y de laboratorio, calentados por resistencia (exc. las prensas isostáticas </t>
    </r>
    <r>
      <rPr>
        <b/>
        <sz val="8"/>
        <color rgb="FF002B54"/>
        <rFont val="Calibri"/>
        <family val="2"/>
        <scheme val="minor"/>
      </rPr>
      <t>...</t>
    </r>
  </si>
  <si>
    <t>Radiadores de acumulación, eléctricos, para la calefacción de locales</t>
  </si>
  <si>
    <t>Aparatos electrotérmicos para secar las manos</t>
  </si>
  <si>
    <t>Planchas eléctricas</t>
  </si>
  <si>
    <t>Cajas de cojinetes con rodamientos incorporados, para máquinas</t>
  </si>
  <si>
    <r>
      <t xml:space="preserve">Teléfonos para telefonía con hilos (exc. interfonos, así como teléfonos de usuario de auricular </t>
    </r>
    <r>
      <rPr>
        <b/>
        <sz val="8"/>
        <color rgb="FF002B54"/>
        <rFont val="Calibri"/>
        <family val="2"/>
        <scheme val="minor"/>
      </rPr>
      <t>...</t>
    </r>
  </si>
  <si>
    <t>Partes de condensadores eléctricos fijos, variables o ajustables, n.c.o.p.</t>
  </si>
  <si>
    <r>
      <t xml:space="preserve">Resistencias variables bobinadas, incl. los reóstatos y los potenciómetros, de potencia &lt;= </t>
    </r>
    <r>
      <rPr>
        <b/>
        <sz val="8"/>
        <color rgb="FF002B54"/>
        <rFont val="Calibri"/>
        <family val="2"/>
        <scheme val="minor"/>
      </rPr>
      <t>...</t>
    </r>
  </si>
  <si>
    <t>Disyuntores, para una tensión &gt; 1.000 V pero &lt; 72,5 kV</t>
  </si>
  <si>
    <r>
      <t xml:space="preserve">Aparatos para protección de circuitos eléctricos, para una tensión &lt;= 1.000 V (exc. fusibles, </t>
    </r>
    <r>
      <rPr>
        <b/>
        <sz val="8"/>
        <color rgb="FF002B54"/>
        <rFont val="Calibri"/>
        <family val="2"/>
        <scheme val="minor"/>
      </rPr>
      <t>...</t>
    </r>
  </si>
  <si>
    <t>Grabador o reproductor de sonidos, operativo con monedas, targetas y otro tipo de pago</t>
  </si>
  <si>
    <r>
      <t xml:space="preserve">"Aparatos de grabación o reproducción de imagen y sonido ""vídeos"", de cinta magnética, incl. </t>
    </r>
    <r>
      <rPr>
        <b/>
        <sz val="8"/>
        <color rgb="FF002B54"/>
        <rFont val="Calibri"/>
        <family val="2"/>
        <scheme val="minor"/>
      </rPr>
      <t>...</t>
    </r>
  </si>
  <si>
    <t>Tarjetas con tira magnética incorporada, para grabar sonidos y otros fenomenos</t>
  </si>
  <si>
    <r>
      <t xml:space="preserve">Mecanismos de grabación, de estado sólido, sin datos volátiles, de una fuente de energia externa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</si>
  <si>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Soportes preparados para grabar sonido o para grabaciones simil., sin grabar (exc. bandas magnéticas, </t>
    </r>
    <r>
      <rPr>
        <b/>
        <sz val="8"/>
        <color rgb="FF002B54"/>
        <rFont val="Calibri"/>
        <family val="2"/>
        <scheme val="minor"/>
      </rPr>
      <t>...</t>
    </r>
  </si>
  <si>
    <t>Piezas aislantes para electricidad, de plástico</t>
  </si>
  <si>
    <t>Partes eléctricas de máquinas o de aparatos, n.c.o.p. del capítulo 85</t>
  </si>
  <si>
    <r>
      <t xml:space="preserve">Partes eléctricas de máquinas o de aparatos, no expresadas ni comprendidas en otra parte del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</si>
  <si>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"Desperdicios y desechos eléctricos y electrónicos, de los tipos utilizados principalmente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</si>
  <si>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"Desechos y desechos eléctricos y electrónicos, que contengan pilas primarias, baterías primarias </t>
    </r>
    <r>
      <rPr>
        <b/>
        <sz val="8"/>
        <color rgb="FF002B54"/>
        <rFont val="Calibri"/>
        <family val="2"/>
        <scheme val="minor"/>
      </rPr>
      <t>...</t>
    </r>
  </si>
  <si>
    <t>Locomotoras diesel-eléctricas</t>
  </si>
  <si>
    <r>
      <t xml:space="preserve">Automotores para vías férreas y tranvías autopropulsados (exc. los de fuente externa de electricidad,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</si>
  <si>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"Vagones para transporte de mercancías, sobre carriles ""rieles"" (exc. los especialmente concebidos </t>
    </r>
    <r>
      <rPr>
        <b/>
        <sz val="8"/>
        <color rgb="FF002B54"/>
        <rFont val="Calibri"/>
        <family val="2"/>
        <scheme val="minor"/>
      </rPr>
      <t>...</t>
    </r>
  </si>
  <si>
    <t>"Bojes y ""bissels"", de tracción propios de vehículos para vías férreas o simil."</t>
  </si>
  <si>
    <r>
      <t xml:space="preserve">"Bojes y ""bissels"", propios de vehículos para vías férreas o simil. (exc. bojes y ""bissels""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</si>
  <si>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"Tractores de carretera para semirremolques, tanto con motor de pistón de combustión interna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</si>
  <si>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Tractores, con potencia del motor&gt; 75 kW pero &lt;= 130 kW (exc. Los de la partida 8709, motocultores,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</si>
  <si>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Tractores, de un motor de potencia&gt; 130 kW (exc. Los de la partida 8709, motocultores, tractores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</si>
  <si>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Vehículos automóviles para el transporte de mercancías, con motores distintos de los motores </t>
    </r>
    <r>
      <rPr>
        <b/>
        <sz val="8"/>
        <color rgb="FF002B54"/>
        <rFont val="Calibri"/>
        <family val="2"/>
        <scheme val="minor"/>
      </rPr>
      <t>...</t>
    </r>
  </si>
  <si>
    <t>"Camiones grúa (exc. coches para reparaciones ""auxilio mecánico"")"</t>
  </si>
  <si>
    <t>Chasis de vehículos automóviles de las partidas 8701 a 8705, equipados con su motor</t>
  </si>
  <si>
    <r>
      <t xml:space="preserve">Carrocerías de tractores, vehículos automóviles para transporte de &gt;= 10 personas, para transporte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</si>
  <si>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y aparatos de mezclar o malaxar materias minerales sólidas, incl. el polvo y las pastas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</si>
  <si>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automáticas para la venta de bebidas, sin dispositivo de calentamiento o refrigeración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</si>
  <si>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Calderas de vapor, incl. las calderas mixtas (exc. calderas acuotubulares, así como las de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</si>
  <si>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"Generadores de gas pobre ""gas de aire"" o de gas de agua, incl. con sus depuradores; generadores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</si>
  <si>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"Motores de émbolo ""pistón"" alternativo de encendido por chispa o motores rotativos, de encendido </t>
    </r>
    <r>
      <rPr>
        <b/>
        <sz val="8"/>
        <color rgb="FF002B54"/>
        <rFont val="Calibri"/>
        <family val="2"/>
        <scheme val="minor"/>
      </rPr>
      <t>...</t>
    </r>
  </si>
  <si>
    <t>Turborreactores, de empuje &gt; 25 kN</t>
  </si>
  <si>
    <t>Bombas para hormigón</t>
  </si>
  <si>
    <r>
      <t xml:space="preserve">Motores de CC y generadores de CC de potencia&gt; 750 W pero &lt;= 75 kW (exc. los generadores f </t>
    </r>
    <r>
      <rPr>
        <b/>
        <sz val="8"/>
        <color rgb="FF002B54"/>
        <rFont val="Calibri"/>
        <family val="2"/>
        <scheme val="minor"/>
      </rPr>
      <t>...</t>
    </r>
  </si>
  <si>
    <t>Motores de corriente alterna, polifásicos, de potencia &gt; 75 kW</t>
  </si>
  <si>
    <t>Generadores fotovoltaicos de CC, de potencia &lt;= 50 W</t>
  </si>
  <si>
    <t>Convertidores rotativos eléctricos</t>
  </si>
  <si>
    <t>Transformadores de dieléctrico líquido, de potencia &lt;= 650 kVA</t>
  </si>
  <si>
    <t>Acoplamientos, embragues, variadores de velocidad y frenos, electromagnéticos</t>
  </si>
  <si>
    <t>Acumuladores de litio-ion (exc. inservibles)</t>
  </si>
  <si>
    <t>Peinadoras para la preparación de materia textil</t>
  </si>
  <si>
    <t>Telares para tejidos de anchura &gt; 30 cm, sin lanzadera</t>
  </si>
  <si>
    <r>
      <t xml:space="preserve">Máquinas y aparatos auxiliares para las máquinas de las partidas 8444, 8445, 8446 u 8447 (exc. </t>
    </r>
    <r>
      <rPr>
        <b/>
        <sz val="8"/>
        <color rgb="FF002B54"/>
        <rFont val="Calibri"/>
        <family val="2"/>
        <scheme val="minor"/>
      </rPr>
      <t>...</t>
    </r>
  </si>
  <si>
    <t>Máquinas para lavar ropa, de capacidad unitaria, expresada en peso de ropa seca &gt; 10 kg</t>
  </si>
  <si>
    <t>Partes de máquinas para lavar ropa, n.c.o.p.</t>
  </si>
  <si>
    <t>Máquinas para limpieza en seco de manufacturas textiles</t>
  </si>
  <si>
    <t>Máquinas y prensas para planchar, incl. prensas para fijar (exc. ??calandrias)</t>
  </si>
  <si>
    <r>
      <t xml:space="preserve">Máquinas y aparatos para aprestar, acabar, recubrir o impregnar hilados, telas o manufacturas </t>
    </r>
    <r>
      <rPr>
        <b/>
        <sz val="8"/>
        <color rgb="FF002B54"/>
        <rFont val="Calibri"/>
        <family val="2"/>
        <scheme val="minor"/>
      </rPr>
      <t>...</t>
    </r>
  </si>
  <si>
    <t>Unidades automáticas para máquinas de coser industriales</t>
  </si>
  <si>
    <r>
      <t xml:space="preserve">Máquinas y aparatos para la fabricación o reparación de manufacturas de cuero o piel (exc. </t>
    </r>
    <r>
      <rPr>
        <b/>
        <sz val="8"/>
        <color rgb="FF002B54"/>
        <rFont val="Calibri"/>
        <family val="2"/>
        <scheme val="minor"/>
      </rPr>
      <t>...</t>
    </r>
  </si>
  <si>
    <t>Máquinas de puestos múltiples, para trabajar metal</t>
  </si>
  <si>
    <t>Máquinas de taladrar metal, de control numérico (exc. unidades de mecanizado de correderas)</t>
  </si>
  <si>
    <r>
      <t xml:space="preserve">Rectificadoras para el acabado de metal, de control numérico (exc. De la superficie plana, </t>
    </r>
    <r>
      <rPr>
        <b/>
        <sz val="8"/>
        <color rgb="FF002B54"/>
        <rFont val="Calibri"/>
        <family val="2"/>
        <scheme val="minor"/>
      </rPr>
      <t>...</t>
    </r>
  </si>
  <si>
    <t>Máquinas de aserrar o trocear, para metal (exc. máquinas accionadas manualmente)</t>
  </si>
  <si>
    <r>
      <t xml:space="preserve">Máquinas para doblar, plegar, enderezar o aplanar con control numérico para productos planos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</si>
  <si>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Máquinas, incl. las prensas, de cizallar, de control numérico, para trabajar metal (exc. máquinas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</si>
  <si>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de punzonar, entallar o mordisquear para productos planos incl. máquinas combinadas </t>
    </r>
    <r>
      <rPr>
        <b/>
        <sz val="8"/>
        <color rgb="FF002B54"/>
        <rFont val="Calibri"/>
        <family val="2"/>
        <scheme val="minor"/>
      </rPr>
      <t>...</t>
    </r>
  </si>
  <si>
    <t>Prensas mecánicas para trabajar metales en frío</t>
  </si>
  <si>
    <r>
      <t xml:space="preserve">Máquinas de cepillar; máquinas de fresar o moldurar, para trabajar madera, plástico rígido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</si>
  <si>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Máquinas herramienta para trabajar madera, corcho, hueso, caucho endurecido, plásticos duros </t>
    </r>
    <r>
      <rPr>
        <b/>
        <sz val="8"/>
        <color rgb="FF002B54"/>
        <rFont val="Calibri"/>
        <family val="2"/>
        <scheme val="minor"/>
      </rPr>
      <t>...</t>
    </r>
  </si>
  <si>
    <t>Partes de herramientas neumáticas, de uso manual, n.c.o.p.</t>
  </si>
  <si>
    <t>Cajas registradoras con dispositivo para cálculo incorporado</t>
  </si>
  <si>
    <t>Remolacha azucarera, fresca, refrigerada, congelada o seca, incl. pulverizada</t>
  </si>
  <si>
    <t>Grasa de lana y sustancias grasas derivadas, incluida la lanolina</t>
  </si>
  <si>
    <r>
      <t xml:space="preserve">Los demás aceites y sus fracciones obtenidos exclusivamente de la aceituna, incluso refinados, </t>
    </r>
    <r>
      <rPr>
        <b/>
        <sz val="8"/>
        <color rgb="FF002B54"/>
        <rFont val="Calibri"/>
        <family val="2"/>
        <scheme val="minor"/>
      </rPr>
      <t>...</t>
    </r>
  </si>
  <si>
    <t>Aceite de algodón, en bruto, incl. sin el gosipol</t>
  </si>
  <si>
    <t>"Aceite de coco ""copra"", en bruto"</t>
  </si>
  <si>
    <r>
      <t xml:space="preserve">"Aceite de lino ""de linaza"" y sus fracciones, incl. refinados, sin modificar químicamente </t>
    </r>
    <r>
      <rPr>
        <b/>
        <sz val="8"/>
        <color rgb="FF002B54"/>
        <rFont val="Calibri"/>
        <family val="2"/>
        <scheme val="minor"/>
      </rPr>
      <t>...</t>
    </r>
  </si>
  <si>
    <t>Aceite de jojoba y sus fracciones</t>
  </si>
  <si>
    <r>
      <t xml:space="preserve">Preparaciones y conservas de carne o despojos de pato, ganso o pintada, de especies domésticas </t>
    </r>
    <r>
      <rPr>
        <b/>
        <sz val="8"/>
        <color rgb="FF002B54"/>
        <rFont val="Calibri"/>
        <family val="2"/>
        <scheme val="minor"/>
      </rPr>
      <t>...</t>
    </r>
  </si>
  <si>
    <t>Paletas y trozos de paleta, de porcinos, preparados o conservados</t>
  </si>
  <si>
    <r>
      <t xml:space="preserve">Preparaciones y conservas, de carne o de despojos de bovinos (exc. embutidos y productos simil.;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</si>
  <si>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Grasa de animales de las especies bovina, ovina o caprina (excepto el sebo, oleoestearina,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</si>
  <si>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Estearina solar, aceite de manteca de cerdo, oleoestearina, oleomargarina y aceite de sebo, </t>
    </r>
    <r>
      <rPr>
        <b/>
        <sz val="8"/>
        <color rgb="FF002B54"/>
        <rFont val="Calibri"/>
        <family val="2"/>
        <scheme val="minor"/>
      </rPr>
      <t>...</t>
    </r>
  </si>
  <si>
    <t>Vieiras, incl. reina vieiras, preparados o conservados (excepto ahumado)</t>
  </si>
  <si>
    <t>Oreja de mar, preparados o conservados (excepto ahumado)</t>
  </si>
  <si>
    <r>
      <t xml:space="preserve">Glucosa sólida y jarabe de glucosa sin adición de aromatizante ni colorante, sin fructosa o </t>
    </r>
    <r>
      <rPr>
        <b/>
        <sz val="8"/>
        <color rgb="FF002B54"/>
        <rFont val="Calibri"/>
        <family val="2"/>
        <scheme val="minor"/>
      </rPr>
      <t>...</t>
    </r>
  </si>
  <si>
    <t>Alumbres</t>
  </si>
  <si>
    <t>Nitratos (exc. de potasio y de mercurio)</t>
  </si>
  <si>
    <t>"Hidrogenocarbonato ""bicarbonato"" de sodio"</t>
  </si>
  <si>
    <t>Carbonato de calcio</t>
  </si>
  <si>
    <t>"Peroxoboratos ""perboratos"""</t>
  </si>
  <si>
    <t>Dicromato de sodio</t>
  </si>
  <si>
    <t>Manganitos, manganatos y permanganatos (exc. permanganato de potasio)</t>
  </si>
  <si>
    <t>Metal precioso en estado coloidal</t>
  </si>
  <si>
    <r>
      <t xml:space="preserve">Compuestos de plata, inorgánicos u orgánicos, aunque no sean de constitución química definida </t>
    </r>
    <r>
      <rPr>
        <b/>
        <sz val="8"/>
        <color rgb="FF002B54"/>
        <rFont val="Calibri"/>
        <family val="2"/>
        <scheme val="minor"/>
      </rPr>
      <t>...</t>
    </r>
  </si>
  <si>
    <t>Residuos radiactivos</t>
  </si>
  <si>
    <t>Boro enriquecido en boro-10 y sus compuestos</t>
  </si>
  <si>
    <t>Litio enriquecido en litio-6 y sus compuestos</t>
  </si>
  <si>
    <r>
      <t xml:space="preserve">Hidruros, nitruros, aziduros (azidas), siliciuros y boruros, aunque no sean de constitución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</si>
  <si>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Los demás compuestos inorgánicos (incluida el agua destilada, de conductibilidad o del mismo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</si>
  <si>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Fosfuros, ya sea de constitución química definida (exc ferrofósforos.); compuestos inorgánicos, </t>
    </r>
    <r>
      <rPr>
        <b/>
        <sz val="8"/>
        <color rgb="FF002B54"/>
        <rFont val="Calibri"/>
        <family val="2"/>
        <scheme val="minor"/>
      </rPr>
      <t>...</t>
    </r>
  </si>
  <si>
    <t>"Propeno ""propileno"""</t>
  </si>
  <si>
    <t>"Clorometano ""cloruro de metilo"" y cloroetano ""cloruro de etilo"""</t>
  </si>
  <si>
    <t>Dichlorotrifluoroethanes</t>
  </si>
  <si>
    <r>
      <t xml:space="preserve">Hexaclorobenceno (ISO) y DDT (ISO) (clofenotane (DCI), 1,1,1-tricloro-2 ,2-bis (p-clorofenil) </t>
    </r>
    <r>
      <rPr>
        <b/>
        <sz val="8"/>
        <color rgb="FF002B54"/>
        <rFont val="Calibri"/>
        <family val="2"/>
        <scheme val="minor"/>
      </rPr>
      <t>...</t>
    </r>
  </si>
  <si>
    <t>ácido sulfónico de perfluorooctano</t>
  </si>
  <si>
    <t>fluoruro de sulfonilo perfluorooctano</t>
  </si>
  <si>
    <t>"Butan-1-ol ""alcohol n-butílico"""</t>
  </si>
  <si>
    <t>"Dioles acíclicos (exc. etilenglicol ""etanodiol"" y propilenglicol ""propano-1,2-diol"")"</t>
  </si>
  <si>
    <t>Esteroles e inositoles</t>
  </si>
  <si>
    <t>"Sulgonados ""ISO"" y sus sales"</t>
  </si>
  <si>
    <r>
      <t xml:space="preserve">"Éteres acíclicos y sus derivados halogenados, sulfonados, nitrados o nitrosados (exc. éter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</si>
  <si>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"Éteres monoalquílicos del etilenglicol o del dietilenglicol (exc. 2,2'-oxidietanol ""dietilenglicol"",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</si>
  <si>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Éteres-fenoles, éteres-alcoholes-fenoles y sus derivados halogenados, sulfonados, nitrados </t>
    </r>
    <r>
      <rPr>
        <b/>
        <sz val="8"/>
        <color rgb="FF002B54"/>
        <rFont val="Calibri"/>
        <family val="2"/>
        <scheme val="minor"/>
      </rPr>
      <t>...</t>
    </r>
  </si>
  <si>
    <t>"Oxirano ""óxido de etileno"""</t>
  </si>
  <si>
    <t>"1-Cloro-2,3-epoxipropano ""epiclorhidrina"""</t>
  </si>
  <si>
    <t>"La endrina ""ISO"""</t>
  </si>
  <si>
    <t>"Etanal ""acetaldehído"""</t>
  </si>
  <si>
    <t>"Vainillina ""aldehído metilprotocatéquico"""</t>
  </si>
  <si>
    <t>Derivados halogenados, sulfonados, nitrados o nitrosados de los productos de la partida 2912</t>
  </si>
  <si>
    <t>Ciclohexanona y metilciclohexanonas</t>
  </si>
  <si>
    <r>
      <t xml:space="preserve">Cetonas ciclánicos, ciclénicos o cicloterpénicos, sin otras funciones oxigenadas (sin ciclohexanona, </t>
    </r>
    <r>
      <rPr>
        <b/>
        <sz val="8"/>
        <color rgb="FF002B54"/>
        <rFont val="Calibri"/>
        <family val="2"/>
        <scheme val="minor"/>
      </rPr>
      <t>...</t>
    </r>
  </si>
  <si>
    <t>Ácidos butanoicos, ácidos pentanoicos, sus sales y sus ésteres</t>
  </si>
  <si>
    <t>El ácido palmítico, ácido esteárico, sus sales y sus ésteres</t>
  </si>
  <si>
    <t>Ésteres del ácido metacrílico</t>
  </si>
  <si>
    <t>Ácido benzoico, sus sales y sus ésteres (exc. compuestos inorgánicos u orgánicos de mercurio)</t>
  </si>
  <si>
    <r>
      <t xml:space="preserve">Ácidos policarboxílicos acíclicos, sus anhídridos, halogenuros, peróxidos, peroxiácidos y sus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</si>
  <si>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"Mandarinas, incl. las tangerinas y satsumas; clementinas, wilkings e híbridos simil. de agrios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</si>
  <si>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"Agrios ""cítricos"", frescos o secos (exc. naranjas, limones ""Citrus limon, Citrus limonum"", </t>
    </r>
    <r>
      <rPr>
        <b/>
        <sz val="8"/>
        <color rgb="FF002B54"/>
        <rFont val="Calibri"/>
        <family val="2"/>
        <scheme val="minor"/>
      </rPr>
      <t>...</t>
    </r>
  </si>
  <si>
    <t>"Albaricoques ""damascos, chabacanos"", secos"</t>
  </si>
  <si>
    <t>Manzanas, secas</t>
  </si>
  <si>
    <t>"Canela ""Cinnarmomum zeylanicum Blume"" (exc. sin triturar ni pulverizar)"</t>
  </si>
  <si>
    <t>Cardamomo, triturada o pulverizada</t>
  </si>
  <si>
    <t>Centeno para siembra</t>
  </si>
  <si>
    <t>"Malta ""de cebada u otros cereales"", sin tostar"</t>
  </si>
  <si>
    <t>Almidón de maíz</t>
  </si>
  <si>
    <t>Gluten de trigo, incluso seco</t>
  </si>
  <si>
    <t>Habas de soja, incluso quebrantadas (exc. ??las de siembra para siembra)</t>
  </si>
  <si>
    <r>
      <t xml:space="preserve">Cacahuetes sin cáscara, incluso quebrantados (exc. ??de semillas para la siembra, o maníes </t>
    </r>
    <r>
      <rPr>
        <b/>
        <sz val="8"/>
        <color rgb="FF002B54"/>
        <rFont val="Calibri"/>
        <family val="2"/>
        <scheme val="minor"/>
      </rPr>
      <t>...</t>
    </r>
  </si>
  <si>
    <t>Nueces y almendra de palma</t>
  </si>
  <si>
    <t>Semilla de alfalfa, para siembra</t>
  </si>
  <si>
    <t>"Semilla de ballico ""Lolium multiflorum Lam."", ""Lolium perenne L."", para siembra"</t>
  </si>
  <si>
    <t>Productos comestibles de origen animal no expresados ni comprendidos en otra parte</t>
  </si>
  <si>
    <r>
      <t xml:space="preserve">Plumas de las utilizadas para relleno y plumón, en bruto o simplemente limpiados, desinfectados </t>
    </r>
    <r>
      <rPr>
        <b/>
        <sz val="8"/>
        <color rgb="FF002B54"/>
        <rFont val="Calibri"/>
        <family val="2"/>
        <scheme val="minor"/>
      </rPr>
      <t>...</t>
    </r>
  </si>
  <si>
    <t>Oseína y huesos acidulados</t>
  </si>
  <si>
    <t>Esquejes sin enraizar e injertos</t>
  </si>
  <si>
    <t>Coliflores y brócoli frescos o refrigerados</t>
  </si>
  <si>
    <t>"Endibias ""Witloof"", ""Cichorium intybus var. foliosum"", frescas o refrigeradas"</t>
  </si>
  <si>
    <t>"Trufas frescas o refrigeradas ""Tuber spp."""</t>
  </si>
  <si>
    <t>Aceitunas frescas o refrigeradas</t>
  </si>
  <si>
    <t>Espinacas, incl. las de Nueva Zelanda, y armuelles, incl. cocidas con agua o vapor, congeladas</t>
  </si>
  <si>
    <r>
      <t xml:space="preserve">"Hortalizas, incl. ""silvestres"", mezclas de hortalizas, incl. ""silvestres"", conservadas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</si>
  <si>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"Hongos gelatinosos ""Tremella spp."", secos, incl. los cortados en trozos o en rodajas o los </t>
    </r>
    <r>
      <rPr>
        <b/>
        <sz val="8"/>
        <color rgb="FF002B54"/>
        <rFont val="Calibri"/>
        <family val="2"/>
        <scheme val="minor"/>
      </rPr>
      <t>...</t>
    </r>
  </si>
  <si>
    <t>"Cocos frescos en el interior de shell ""endocarpio"""</t>
  </si>
  <si>
    <t>Almendras, frescas o secas, con cáscara</t>
  </si>
  <si>
    <t>"Avellanas ""Corylus spp."", frescas o secas, con cáscara"</t>
  </si>
  <si>
    <t>Nueces de areca frescos o secos, incluso sin cáscara o mondados</t>
  </si>
  <si>
    <t>"Filetes de pez espada ""Xiphias gladius"", congelados"</t>
  </si>
  <si>
    <t>"Carne congelada, incluso picada, de abadejo de Alaska ""Theragra chalcogramma"" (sin filetes)"</t>
  </si>
  <si>
    <r>
      <t xml:space="preserve">"Ahumados de salmón del Pacífico ""Oncorhynchus nerka, Oncorhynchus gorbuscha, Oncorhynchus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</si>
  <si>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"Camarones de agua fría y gambas ""Pandalus spp., Crangon crangon"", con o sin cáscara, vivos,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</si>
  <si>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"Camarones, incluso con cáscara o sin cáscara, vivos, frescos o refrigerados (excepto gambas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</si>
  <si>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"Langostas ""Homarus spp."", Con o sin cáscara, secas, saladas, ahumadas o en salmuera, incl. </t>
    </r>
    <r>
      <rPr>
        <b/>
        <sz val="8"/>
        <color rgb="FF002B54"/>
        <rFont val="Calibri"/>
        <family val="2"/>
        <scheme val="minor"/>
      </rPr>
      <t>...</t>
    </r>
  </si>
  <si>
    <t>"Pulpo ""Octopus spp."", Ahumados, congelados, secos, salados o en salmuera"</t>
  </si>
  <si>
    <r>
      <t xml:space="preserve">Caracoles, en vivo, salmuera, frescas, refrigeradas, congeladas, saladas, secas o en, incluso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</si>
  <si>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"Congelados, incluso con cáscara, almejas, berberechos y arca ""familias Arcidae, Arcticidae,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</si>
  <si>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"Almejas, berberechos y conchas de arca ahumados, congelados, secos, salados o en salmuera, </t>
    </r>
    <r>
      <rPr>
        <b/>
        <sz val="8"/>
        <color rgb="FF002B54"/>
        <rFont val="Calibri"/>
        <family val="2"/>
        <scheme val="minor"/>
      </rPr>
      <t>...</t>
    </r>
  </si>
  <si>
    <t>"Abulon vivos, frescos o refrigerados, incluso con cáscara ""Haliotis spp."""</t>
  </si>
  <si>
    <r>
      <t xml:space="preserve">"Medusas vivas, en salmuera, frescas, refrigeradas, congeladas, secas, saladas o en, incluso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</si>
  <si>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"Suero de mantequilla ""de manteca"", leche y nata ""crema"" cuajadas, kéfir y demás leches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</si>
  <si>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Pastas lácteas para untar, con un contenido de materias grasas &gt;= 39% en peso pero &lt; 80% en </t>
    </r>
    <r>
      <rPr>
        <b/>
        <sz val="8"/>
        <color rgb="FF002B54"/>
        <rFont val="Calibri"/>
        <family val="2"/>
        <scheme val="minor"/>
      </rPr>
      <t>...</t>
    </r>
  </si>
  <si>
    <t>Huevos de aves frescos con cáscara (excepto los de aves domésticas, y fertilizados para incubar)</t>
  </si>
  <si>
    <t>Los bovinos vivos (excepto ganado y búfalos)</t>
  </si>
  <si>
    <t>Aves de rapiña, vivas</t>
  </si>
  <si>
    <t>Canales o medias canales, de bovinos, congeladas</t>
  </si>
  <si>
    <r>
      <t xml:space="preserve">Pescado fresco o refrigerado de la Bregmacerotidae familias, Euclichthyidae, Gadidae, Macrouridae, </t>
    </r>
    <r>
      <rPr>
        <b/>
        <sz val="8"/>
        <color rgb="FF002B54"/>
        <rFont val="Calibri"/>
        <family val="2"/>
        <scheme val="minor"/>
      </rPr>
      <t>...</t>
    </r>
  </si>
  <si>
    <t>"Anguilas ""Anguilla spp."", frescas o refrigeradas"</t>
  </si>
  <si>
    <t>"Frescos o refrigerados, y rayas ""Rajidae"""</t>
  </si>
  <si>
    <t>"Salmones rojos ""Oncorhynchus nerka"", congelados"</t>
  </si>
  <si>
    <t>"Bagre congelado ""Pangasius spp. Silurus spp. Clarias spp. Ictalurus spp."""</t>
  </si>
  <si>
    <t>"Atunes de aleta amarilla o rabiles ""Thunnus albacares"", congelados"</t>
  </si>
  <si>
    <t>"Pez espada ""Xiphias gladius"", congelado"</t>
  </si>
  <si>
    <t>"Carboneros ""Pollachius virens"", congelados"</t>
  </si>
  <si>
    <t>Aletas de tiburón congeladas</t>
  </si>
  <si>
    <r>
      <t xml:space="preserve">"Filetes frescos o refrigerados de la carpa ""Cyprinus carpio, Carassius carassius, Ctenopharyngodon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</si>
  <si>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Filetes frescos o refrigerados de pescados de las familias Bregmacerotidae, Euclichthyidae, </t>
    </r>
    <r>
      <rPr>
        <b/>
        <sz val="8"/>
        <color rgb="FF002B54"/>
        <rFont val="Calibri"/>
        <family val="2"/>
        <scheme val="minor"/>
      </rPr>
      <t>...</t>
    </r>
  </si>
  <si>
    <t>Carnes frescas o refrigeradas, incluso picadas, de alevines y demás tiburones (excepto filetes)</t>
  </si>
  <si>
    <t>"Filetes de eglefino ""Melanogrammus aeglefinus"", congelados"</t>
  </si>
  <si>
    <r>
      <t xml:space="preserve">Guarniciones para muebles, carrocerías o simil., de plástico (exc. artículos para la construcción </t>
    </r>
    <r>
      <rPr>
        <b/>
        <sz val="8"/>
        <color rgb="FF002B54"/>
        <rFont val="Calibri"/>
        <family val="2"/>
        <scheme val="minor"/>
      </rPr>
      <t>...</t>
    </r>
  </si>
  <si>
    <t>Siliconas en formas primarias</t>
  </si>
  <si>
    <r>
      <t xml:space="preserve">Resinas de petróleo, resinas de cumarona, resinas de indeno, resinas de cumarona-indeno y politerpenos,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</si>
  <si>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Polímeros naturales, así como proteínas endurecidas, derivados químicos del caucho natural </t>
    </r>
    <r>
      <rPr>
        <b/>
        <sz val="8"/>
        <color rgb="FF002B54"/>
        <rFont val="Calibri"/>
        <family val="2"/>
        <scheme val="minor"/>
      </rPr>
      <t>...</t>
    </r>
  </si>
  <si>
    <t>Desechos, desperdicios y recortes, de polímeros de estireno</t>
  </si>
  <si>
    <r>
      <t xml:space="preserve">"Abeto de dobladillo (cicuta occidental ""Tsuga heterophylla"" y abeto ""Abies spp."") Aserrado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</si>
  <si>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Placas, láminas, hojas y tiras, de derivados no celulares de la celulosa y sin esfuerzo, estratificación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</si>
  <si>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Placas, láminas, hojas y tiras, de polímeros celulares de cloruro de vinilo, sin trabajar o </t>
    </r>
    <r>
      <rPr>
        <b/>
        <sz val="8"/>
        <color rgb="FF002B54"/>
        <rFont val="Calibri"/>
        <family val="2"/>
        <scheme val="minor"/>
      </rPr>
      <t>...</t>
    </r>
  </si>
  <si>
    <t>Manufacturas de tripa, vejigas o tendones</t>
  </si>
  <si>
    <t>Pieles en bruto, de zorro, enteras, incl. sin la cabeza, cola o patas</t>
  </si>
  <si>
    <r>
      <t xml:space="preserve">Madera en plaquitas o escamillas, de coníferas (exc. de las especies utilizadas principalmente </t>
    </r>
    <r>
      <rPr>
        <b/>
        <sz val="8"/>
        <color rgb="FF002B54"/>
        <rFont val="Calibri"/>
        <family val="2"/>
        <scheme val="minor"/>
      </rPr>
      <t>...</t>
    </r>
  </si>
  <si>
    <t>Bolitas de madera</t>
  </si>
  <si>
    <t>"Tableros de madera ""OSB"""</t>
  </si>
  <si>
    <r>
      <t xml:space="preserve">"Madera chapada y madera estratificada similar, que tengan por lo menos una hoja externa de </t>
    </r>
    <r>
      <rPr>
        <b/>
        <sz val="8"/>
        <color rgb="FF002B54"/>
        <rFont val="Calibri"/>
        <family val="2"/>
        <scheme val="minor"/>
      </rPr>
      <t>...</t>
    </r>
  </si>
  <si>
    <t>Paneles de mosaico para el suelo, ensamblados, de madera</t>
  </si>
  <si>
    <t>Los paneles de suelo para suelos de mosaico, ensamblado, de madera distinta de bambú</t>
  </si>
  <si>
    <r>
      <t xml:space="preserve">"Obras y piezas de carpintería para construcciones, incl. los tableros celulares (exc. ventanas,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</si>
  <si>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Hojas para chapado, incl. las obtenidas por cortado de madera estratificada, para contrachapado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</si>
  <si>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Madera de coníferas, incl. las tablillas y frisos para parqués sin ensamblar, perfilada longitudinalmente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</si>
  <si>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"Madera de encina, roble, alcornoque y demás belloteros ""Quercus spp."", aserrada o desbastada </t>
    </r>
    <r>
      <rPr>
        <b/>
        <sz val="8"/>
        <color rgb="FF002B54"/>
        <rFont val="Calibri"/>
        <family val="2"/>
        <scheme val="minor"/>
      </rPr>
      <t>...</t>
    </r>
  </si>
  <si>
    <t>Pasta de línter de algodón</t>
  </si>
  <si>
    <r>
      <t xml:space="preserve">"Papel o cartón para reciclar ""desperdicios y desechos"", obtenido principalmente a partir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</si>
  <si>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"Papel o cartón para reciclar ""desperdicios y desechos"", incl. los desperdicios y desechos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</si>
  <si>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Wallpaper y revestimientos similares de paredes de papel, y papel para vidrieras (sin revestimientos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</si>
  <si>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Pañuelos, toallitas de desmaquillaje y toallas, de pasta de papel, de papel, de guata de celulosa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</si>
  <si>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Manteles y servilletas, de pasta de papel, de papel, de guata de celulosa o de napa de fibras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</si>
  <si>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Extractos curtientes de origen vegetal (sin extracto de quebracho y el extracto de acacia), </t>
    </r>
    <r>
      <rPr>
        <b/>
        <sz val="8"/>
        <color rgb="FF002B54"/>
        <rFont val="Calibri"/>
        <family val="2"/>
        <scheme val="minor"/>
      </rPr>
      <t>...</t>
    </r>
  </si>
  <si>
    <t>Productos curtientes orgánicos sintéticos</t>
  </si>
  <si>
    <r>
      <t xml:space="preserve">Materias colorantes orgánicas sintéticas y preparaciones del tipo de las utilizadas para colorear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</si>
  <si>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Productos orgánicos sintéticos de los tipos utilizados para el avivado fluorescente, incl.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</si>
  <si>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Composiciones vitrificables, engobes y preparaciones simil., del tipo de las usadas en cerámica,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</si>
  <si>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"Abrillantadores ""lustres"" líquidos y preparaciones simil., del tipo de las usadas en cerámica,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</si>
  <si>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"Aceites esenciales de naranja, desterpenados o no, incl. los ""concretos"" o ""absolutos""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</si>
  <si>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Superfosfatos (excl. Tales productos que contienen en peso =&gt; ??35% de pentóxido de difósforo,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</si>
  <si>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Carnalita, silvinita y demás sales de potasio naturales, sulfato de magnesio y de potasio, </t>
    </r>
    <r>
      <rPr>
        <b/>
        <sz val="8"/>
        <color rgb="FF002B54"/>
        <rFont val="Calibri"/>
        <family val="2"/>
        <scheme val="minor"/>
      </rPr>
      <t>...</t>
    </r>
  </si>
  <si>
    <t>Agentes de superficie orgánicos catiónicos, incluso acondicionados para la venta al por menor</t>
  </si>
  <si>
    <r>
      <t xml:space="preserve">"Abrillantadores ""lustres"" y preparaciones simil. para carrocerías, incl. papel, guata, fieltro, </t>
    </r>
    <r>
      <rPr>
        <b/>
        <sz val="8"/>
        <color rgb="FF002B54"/>
        <rFont val="Calibri"/>
        <family val="2"/>
        <scheme val="minor"/>
      </rPr>
      <t>...</t>
    </r>
  </si>
  <si>
    <t>"Cauchos naturales técnicamente especificados ""TSNR"""</t>
  </si>
  <si>
    <r>
      <t xml:space="preserve">"Caucho estireno-butadieno ""SBR"" o caucho estireno-butadieno carboxilado ""XSBR"", en formas </t>
    </r>
    <r>
      <rPr>
        <b/>
        <sz val="8"/>
        <color rgb="FF002B54"/>
        <rFont val="Calibri"/>
        <family val="2"/>
        <scheme val="minor"/>
      </rPr>
      <t>...</t>
    </r>
  </si>
  <si>
    <t>"Caucho isobuteno-isopreno ""butilo"" ""IIR"", en formas primarias o en placas, hojas o tiras"</t>
  </si>
  <si>
    <t>"Látex de caucho acrilonitrilo-butadieno ""NBR"""</t>
  </si>
  <si>
    <r>
      <t xml:space="preserve">"Látex de caucho sintético (exc. de caucho estireno-butadieno ""SBR""; de caucho estireno-butadieno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</si>
  <si>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Caucho mezclado sin vulcanizar, en forma de placas, hojas o tiras (exc. caucho con adición </t>
    </r>
    <r>
      <rPr>
        <b/>
        <sz val="8"/>
        <color rgb="FF002B54"/>
        <rFont val="Calibri"/>
        <family val="2"/>
        <scheme val="minor"/>
      </rPr>
      <t>...</t>
    </r>
  </si>
  <si>
    <t>Perfiles para recauchutar, de caucho sin vulcanizar, para neumáticos</t>
  </si>
  <si>
    <t>Placas, hojas y tiras, de caucho no celular, vulcanizado y sin endurecer</t>
  </si>
  <si>
    <t>Correas transportadoras, de caucho vulcanizado, reforzadas solamente con materia textil</t>
  </si>
  <si>
    <r>
      <t xml:space="preserve">Neumáticos nuevos de caucho, de los tipos utilizados en vehículos agrícolas o forestales y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</si>
  <si>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Neumáticos nuevos de caucho (exc. De los tipos utilizados en la agricultura, la silvicultura, </t>
    </r>
    <r>
      <rPr>
        <b/>
        <sz val="8"/>
        <color rgb="FF002B54"/>
        <rFont val="Calibri"/>
        <family val="2"/>
        <scheme val="minor"/>
      </rPr>
      <t>...</t>
    </r>
  </si>
  <si>
    <t>"Neumáticos ""llantas neumáticas"" usados, de caucho"</t>
  </si>
  <si>
    <t>"Cámaras de caucho para neumáticos ""llantas neumáticas"", de los tipos utilizados en bicicletas"</t>
  </si>
  <si>
    <r>
      <t xml:space="preserve">"Cámaras de caucho para neumáticos ""llantas neumáticas"" (exc. de los tipos utilizados en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</si>
  <si>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Colchones, almohadas, cojines y demás artículos inflables, de caucho vulcanizado sin endurecer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</si>
  <si>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"Plena flor dividida, de porcino, en estado húmedo, incl. el ""wet blue"", curtidos, depilados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</si>
  <si>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Cueros y pieles charolados y sus imitaciones de cueros o pieles chapados; cueros y pieles metalizados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</si>
  <si>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Recortes y demás desperdicios de cuero o piel, preparados, o de cuero regenerado, inutilizables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</si>
  <si>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Gelatinas (aunque se presenten en hojas cuadradas o rectangulares, incluso trabajadas en la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</si>
  <si>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Colas a base de almidón, fécula, dextrina o demás almidones o féculas modificados (exc. acondicionadas </t>
    </r>
    <r>
      <rPr>
        <b/>
        <sz val="8"/>
        <color rgb="FF002B54"/>
        <rFont val="Calibri"/>
        <family val="2"/>
        <scheme val="minor"/>
      </rPr>
      <t>...</t>
    </r>
  </si>
  <si>
    <t>Pólvora</t>
  </si>
  <si>
    <r>
      <t xml:space="preserve">Cohetes de señales o granífugos y simil., petardos y demás artículos de pirotecnia (exc. cartuchos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</si>
  <si>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Placas y películas fotográficas, impresionadas y reveladas (exc. Los productos de papel, cartón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</si>
  <si>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Lejías residuales de la fabricación de pastas de celulosa, aunque estén concentradas, desazucaradas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</si>
  <si>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Preparaciones para el decapado de metal; pastas y polvos para soldar, constituidos por metal </t>
    </r>
    <r>
      <rPr>
        <b/>
        <sz val="8"/>
        <color rgb="FF002B54"/>
        <rFont val="Calibri"/>
        <family val="2"/>
        <scheme val="minor"/>
      </rPr>
      <t>...</t>
    </r>
  </si>
  <si>
    <t>Plastificantes compuestos para caucho o plástico, n.c.o.p.</t>
  </si>
  <si>
    <t>Catalizadores sobre soporte, con metal precioso o sus compuestos como sustancia activa, n.c.o.p.</t>
  </si>
  <si>
    <r>
      <t xml:space="preserve">Cementos, morteros, hormigones y composiciones similares, refractarios, incl. mezcla de dolomita </t>
    </r>
    <r>
      <rPr>
        <b/>
        <sz val="8"/>
        <color rgb="FF002B54"/>
        <rFont val="Calibri"/>
        <family val="2"/>
        <scheme val="minor"/>
      </rPr>
      <t>...</t>
    </r>
  </si>
  <si>
    <t>Ácido oleico, industrial</t>
  </si>
  <si>
    <t>"Mezclas y preparaciones que contengan tris ""2,3-dibromopropil fosfato"</t>
  </si>
  <si>
    <r>
      <t xml:space="preserve">"Las mezclas y preparados que contengan aldrina ""ISO"", canfeclor ""ISO"" ""toxafeno"", clordano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</si>
  <si>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Desechos de soluciones decapantes, fluidos hidráulicos, líquidos para frenos y líquidos an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</si>
  <si>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"Mezclas que contienen bromoclorodifluorometano ""Halon-1211"", bromotrifluorometano ""Halon-1301"" </t>
    </r>
    <r>
      <rPr>
        <b/>
        <sz val="8"/>
        <color rgb="FF002B54"/>
        <rFont val="Calibri"/>
        <family val="2"/>
        <scheme val="minor"/>
      </rPr>
      <t>...</t>
    </r>
  </si>
  <si>
    <t>Polietileno de densidad &lt; 0,94, en formas primarias</t>
  </si>
  <si>
    <t>Copolímeros de propileno, en formas primarias</t>
  </si>
  <si>
    <t>Poliestireno, en formas primarias (exc. expandible)</t>
  </si>
  <si>
    <r>
      <t xml:space="preserve">Polímeros de cloruro de vinilo o de otras olefinas halogenadas, en formas primarias, fluorados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</si>
  <si>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"Polímeros de cloruro de vinilo o de otras olefinas halogenadas, en formas primarias (exc. </t>
    </r>
    <r>
      <rPr>
        <b/>
        <sz val="8"/>
        <color rgb="FF002B54"/>
        <rFont val="Calibri"/>
        <family val="2"/>
        <scheme val="minor"/>
      </rPr>
      <t>...</t>
    </r>
  </si>
  <si>
    <t>"Poli""acetato de vinilo"", en dispersión acuosa"</t>
  </si>
  <si>
    <r>
      <t xml:space="preserve">Copolímeros de vinilo, en formas primarias (exc. copolímeros de cloruro de vinilo y acetato </t>
    </r>
    <r>
      <rPr>
        <b/>
        <sz val="8"/>
        <color rgb="FF002B54"/>
        <rFont val="Calibri"/>
        <family val="2"/>
        <scheme val="minor"/>
      </rPr>
      <t>...</t>
    </r>
  </si>
  <si>
    <t>"Cortisona, hidrocortisona, prednisona ""dehidrocortisona"" y prednisolona ""dehidrocortisona"""</t>
  </si>
  <si>
    <r>
      <t xml:space="preserve">"Alcaloides del opio y sus derivados; sales de estos productos (exc. concentrado de paja de </t>
    </r>
    <r>
      <rPr>
        <b/>
        <sz val="8"/>
        <color rgb="FF002B54"/>
        <rFont val="Calibri"/>
        <family val="2"/>
        <scheme val="minor"/>
      </rPr>
      <t>...</t>
    </r>
  </si>
  <si>
    <t>Ácido lisérgico y sus sales</t>
  </si>
  <si>
    <r>
      <t xml:space="preserve">"Cocaína. ecgonina, levometanfetamina, metanfetamina ""DCI"", racemato de metanfetamina; sales,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</si>
  <si>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Productos inmunológicos, sin mezclar, sin dosificar ni en formas o envases para la venta al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</si>
  <si>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Toxinas, cultivos de microorganismos y productos similares, p. ej. plasmodios (exc. levaduras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</si>
  <si>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"Desechos de aceites que contengan difenilos policlorados ""PCB"", terfenilos policlorados </t>
    </r>
    <r>
      <rPr>
        <b/>
        <sz val="8"/>
        <color rgb="FF002B54"/>
        <rFont val="Calibri"/>
        <family val="2"/>
        <scheme val="minor"/>
      </rPr>
      <t>...</t>
    </r>
  </si>
  <si>
    <t>Parafina, con un contenido de aceite &lt; 0,75% en peso</t>
  </si>
  <si>
    <t>Calcio</t>
  </si>
  <si>
    <t>oxicloruro de fósforo</t>
  </si>
  <si>
    <t>Halogenuros y oxihalogenuros de los elementos no metálicos (exc. cloruros y oxicloruros)</t>
  </si>
  <si>
    <t>Tierras colorantes con un contenido de hierro combinado &gt;= 70% en peso, expresado en Fe2O3</t>
  </si>
  <si>
    <t>Óxidos e hidróxidos de cobalto; óxidos de cobalto comerciales</t>
  </si>
  <si>
    <t>Óxido e hidróxido de litio</t>
  </si>
  <si>
    <t>Óxidos de antimonio</t>
  </si>
  <si>
    <t>Cloruro de magnesio</t>
  </si>
  <si>
    <t>Minerales de niobio o tantalio, minerales de vanadio y sus concentrados</t>
  </si>
  <si>
    <t>Cenizas y residuos, que contengan principalmente cinc (exc. matas de galvanización)</t>
  </si>
  <si>
    <t>Lignitos aglomerados</t>
  </si>
  <si>
    <r>
      <t xml:space="preserve">Gas de hulla, gas de agua, gas pobre y gases similares, excepto el gas de petróleo y demás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</si>
  <si>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"Xilol ""xilenos"" con un contenido de xilenos &gt;50% en peso (exc. de constitución química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</si>
  <si>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Mosto de uva, parcialmente fermentado, de grado alcohólico adquirido &gt; 0,5% vol (exc. mosto </t>
    </r>
    <r>
      <rPr>
        <b/>
        <sz val="8"/>
        <color rgb="FF002B54"/>
        <rFont val="Calibri"/>
        <family val="2"/>
        <scheme val="minor"/>
      </rPr>
      <t>...</t>
    </r>
  </si>
  <si>
    <t>Alcohol etílico y aguardiente desnaturalizados, de cualquier graduación</t>
  </si>
  <si>
    <r>
      <t xml:space="preserve">Tortas y demás residuos sólidos de la extracción del aceite de cacahuete (cacahuate, maní),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</si>
  <si>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"Tortas y demás residuos sólidos de la extracción de materias grasas o aceites vegetales, incl. </t>
    </r>
    <r>
      <rPr>
        <b/>
        <sz val="8"/>
        <color rgb="FF002B54"/>
        <rFont val="Calibri"/>
        <family val="2"/>
        <scheme val="minor"/>
      </rPr>
      <t>...</t>
    </r>
  </si>
  <si>
    <t>Cigarrillos que contengan tabaco</t>
  </si>
  <si>
    <r>
      <t xml:space="preserve">"Tabaco, ""homogeneizado"" o ""reconstituido"" a partir de hojas de tabaco finamente picadas, </t>
    </r>
    <r>
      <rPr>
        <b/>
        <sz val="8"/>
        <color rgb="FF002B54"/>
        <rFont val="Calibri"/>
        <family val="2"/>
        <scheme val="minor"/>
      </rPr>
      <t>...</t>
    </r>
  </si>
  <si>
    <t>Productos que contienen tabaco o tabaco reconstituido, destinados a la inhalación sin combustión</t>
  </si>
  <si>
    <r>
      <t xml:space="preserve">Macadán de escorias o de desechos industriales simil., incl. con cantos, grava, guijarros y </t>
    </r>
    <r>
      <rPr>
        <b/>
        <sz val="8"/>
        <color rgb="FF002B54"/>
        <rFont val="Calibri"/>
        <family val="2"/>
        <scheme val="minor"/>
      </rPr>
      <t>...</t>
    </r>
  </si>
  <si>
    <t>Mica en polvo</t>
  </si>
  <si>
    <t>Espato flúor, con un contenido de fluoruro de calcio &gt; 97% en peso</t>
  </si>
  <si>
    <t>Ácido o-acetilsalicílico, sus sales y sus ésteres</t>
  </si>
  <si>
    <t>2- (N, N-diisopropilamino) de clorhidrato de cloruro de etilo</t>
  </si>
  <si>
    <t>Anilina y sus sales (exc. compuestos inorgánicos u orgánicos de mercurio)</t>
  </si>
  <si>
    <r>
      <t xml:space="preserve">"Anfetamina ""DCI"", benzfetamina ""DCI"", dexanfetamina ""DCI"", etilanfetamina ""DCI"", fencanfamina </t>
    </r>
    <r>
      <rPr>
        <b/>
        <sz val="8"/>
        <color rgb="FF002B54"/>
        <rFont val="Calibri"/>
        <family val="2"/>
        <scheme val="minor"/>
      </rPr>
      <t>...</t>
    </r>
  </si>
  <si>
    <t>Trietanolamina</t>
  </si>
  <si>
    <t>"Anfepramona ""DCI"", metadona ""DCI"" y normetadona ""DCI""; sales de estos productos"</t>
  </si>
  <si>
    <t>sulfonato de perfluorooctano tetraetilamonio</t>
  </si>
  <si>
    <t>"Alaclor ""ISO"""</t>
  </si>
  <si>
    <r>
      <t xml:space="preserve">"Fenproporex ""DCI"" y sus sales; intermediario de la metadona ""DCI"" ""4-ciano-2-dimetil </t>
    </r>
    <r>
      <rPr>
        <b/>
        <sz val="8"/>
        <color rgb="FF002B54"/>
        <rFont val="Calibri"/>
        <family val="2"/>
        <scheme val="minor"/>
      </rPr>
      <t>...</t>
    </r>
  </si>
  <si>
    <t>Tetrametilo de plomo tetraetilo de plomo y</t>
  </si>
  <si>
    <t>2,4,6-tripropil-1,3,5,2,4,6-trioxatriphosphinane 2,4,6-trióxido</t>
  </si>
  <si>
    <t>La sucralosa</t>
  </si>
  <si>
    <r>
      <t xml:space="preserve">"Compuestos heterocíclicos con heteroátomo [s] de oxígeno solamente (exc. ​​Compuestos que </t>
    </r>
    <r>
      <rPr>
        <b/>
        <sz val="8"/>
        <color rgb="FF002B54"/>
        <rFont val="Calibri"/>
        <family val="2"/>
        <scheme val="minor"/>
      </rPr>
      <t>...</t>
    </r>
  </si>
  <si>
    <t>"N-fenetil-4-piperidona ""NPP"""</t>
  </si>
  <si>
    <t>"6-Hexanolactama ""epsilón caprolactama"""</t>
  </si>
  <si>
    <t>"Azinfos-metilo ""ISO"""</t>
  </si>
  <si>
    <r>
      <t xml:space="preserve">"Compuestos heterocíclicos con heteroátomo/s de nitrógeno exclusivamente (exc. compuestos cuya </t>
    </r>
    <r>
      <rPr>
        <b/>
        <sz val="8"/>
        <color rgb="FF002B54"/>
        <rFont val="Calibri"/>
        <family val="2"/>
        <scheme val="minor"/>
      </rPr>
      <t>...</t>
    </r>
  </si>
  <si>
    <t>Vitamina B6 y sus derivados utilizados principalmente como vitaminas</t>
  </si>
  <si>
    <t>"Armas de avancarga ""black powder"", no concebidas ni adecuadas para disparar cartuchos"</t>
  </si>
  <si>
    <t>Partes y accesorios de revólveres o pistolas, n.c.o.p.</t>
  </si>
  <si>
    <t>Sables, espadas, bayonetas, lanzas y demás armas blancas, sus partes y fundas</t>
  </si>
  <si>
    <r>
      <t xml:space="preserve">Asientos convertibles en camas, de madera (exc. ​​asientos de jardín y equipo de campamento, </t>
    </r>
    <r>
      <rPr>
        <b/>
        <sz val="8"/>
        <color rgb="FF002B54"/>
        <rFont val="Calibri"/>
        <family val="2"/>
        <scheme val="minor"/>
      </rPr>
      <t>...</t>
    </r>
  </si>
  <si>
    <t>Termostatos para regulación o control</t>
  </si>
  <si>
    <t>"Manostatos ""presostatos"" (exc. artículos y órganos de la partida 8481)"</t>
  </si>
  <si>
    <r>
      <t xml:space="preserve">"Relojes de bolsillo y simil., incl. los contadores de tiempo de los mismos tipos, eléctricos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</si>
  <si>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Despertadores y demás relojes de pequeño mecanismo de relojería, eléctricos (exc. relojes de </t>
    </r>
    <r>
      <rPr>
        <b/>
        <sz val="8"/>
        <color rgb="FF002B54"/>
        <rFont val="Calibri"/>
        <family val="2"/>
        <scheme val="minor"/>
      </rPr>
      <t>...</t>
    </r>
  </si>
  <si>
    <t>Despertadores (exc. eléctricos)</t>
  </si>
  <si>
    <r>
      <t xml:space="preserve">Interruptores horarios y demás aparatos que permitan accionar un dispositivo en un momento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</si>
  <si>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Mecanismos de relojería completos y montados, distintos de los de pilas o de acumulador y sin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</si>
  <si>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"Cajas de relojes de pulsera, bolsillo y relojes simil., de materiales distintos de metal precioso, </t>
    </r>
    <r>
      <rPr>
        <b/>
        <sz val="8"/>
        <color rgb="FF002B54"/>
        <rFont val="Calibri"/>
        <family val="2"/>
        <scheme val="minor"/>
      </rPr>
      <t>...</t>
    </r>
  </si>
  <si>
    <t>Violines y demás instrumentos musicales de arco</t>
  </si>
  <si>
    <t>Consolas de videojuegos y máquinas (excepto los operados por cualquier medio de pago)</t>
  </si>
  <si>
    <t>Artículos y material para tenis de mesa</t>
  </si>
  <si>
    <t>Raquetas de tenis, incl. sin cordaje (exc. raquetas de tenis de mesa)</t>
  </si>
  <si>
    <t>Circos y zoológicos ambulantes</t>
  </si>
  <si>
    <t>Atracciones de feria</t>
  </si>
  <si>
    <t>Partes de asientos, n.c.o.p.</t>
  </si>
  <si>
    <r>
      <t xml:space="preserve">"Candelabros y demás accesorios eléctricos de iluminación para techos o paredes, exclusivamente </t>
    </r>
    <r>
      <rPr>
        <b/>
        <sz val="8"/>
        <color rgb="FF002B54"/>
        <rFont val="Calibri"/>
        <family val="2"/>
        <scheme val="minor"/>
      </rPr>
      <t>...</t>
    </r>
  </si>
  <si>
    <t>Lámparas eléctricas de cabecera, mesa, oficina o de pie</t>
  </si>
  <si>
    <t>Partes de muebles, distintas de los asientos, n.c.o.p.</t>
  </si>
  <si>
    <t>Aparatos de rayos ultravioletas o infrarrojos para uso médico</t>
  </si>
  <si>
    <t>Agujas tubulares de metal y agujas de sutura, para uso médico</t>
  </si>
  <si>
    <t>Dientes artificiales</t>
  </si>
  <si>
    <r>
      <t xml:space="preserve">Aparatos que lleve la propia persona o se le implanten para compensar un defecto o incapacidad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</si>
  <si>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Cuentarrevoluciones, contadores de producción, taxímetros, cuentakilómetros, podómetros y demás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</si>
  <si>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"Ciclomotores y velocípedos equipados con motor auxiliar, con motor de émbolo ""pistón"" alternativo </t>
    </r>
    <r>
      <rPr>
        <b/>
        <sz val="8"/>
        <color rgb="FF002B54"/>
        <rFont val="Calibri"/>
        <family val="2"/>
        <scheme val="minor"/>
      </rPr>
      <t>...</t>
    </r>
  </si>
  <si>
    <t>"Motocicletas con motor de émbolo ""pistón"" alternativo de cilindrada &gt; 500 cm³ e &lt;= 800 cm³"</t>
  </si>
  <si>
    <r>
      <t xml:space="preserve">Tubos para cámaras de televisión; tubos convertidores o intensificadores de imagen; los demás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</si>
  <si>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Tubos de visualización gráfica y de datos, de color, con un paso de la pantalla de los puntos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</si>
  <si>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Tubos de microondas, por ejemplo, tubos de ondas progresivas y carcinotrones (exc. ??magnetrones </t>
    </r>
    <r>
      <rPr>
        <b/>
        <sz val="8"/>
        <color rgb="FF002B54"/>
        <rFont val="Calibri"/>
        <family val="2"/>
        <scheme val="minor"/>
      </rPr>
      <t>...</t>
    </r>
  </si>
  <si>
    <t>Partes de tubos catódicos, n.c.o.p.</t>
  </si>
  <si>
    <t>Células fotovoltaicas no ensambladas en módulos ni formadas en paneles</t>
  </si>
  <si>
    <t>Simuladores de combate aéreo y sus partes</t>
  </si>
  <si>
    <r>
      <t xml:space="preserve">Aeronave no tripulada, solo para vuelo teledirigido, con un peso máximo de despegue&gt; 150 kg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</si>
  <si>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Aeronaves no tripuladas, con un peso máximo de despegue &lt;= 250 g (exc. para vuelos controlados </t>
    </r>
    <r>
      <rPr>
        <b/>
        <sz val="8"/>
        <color rgb="FF002B54"/>
        <rFont val="Calibri"/>
        <family val="2"/>
        <scheme val="minor"/>
      </rPr>
      <t>...</t>
    </r>
  </si>
  <si>
    <t>Barcos cisterna</t>
  </si>
  <si>
    <t>Barcos frigorífico (exc. barcos cisterna)</t>
  </si>
  <si>
    <t>Barcos y yates con motor interior, de recreo o deporte</t>
  </si>
  <si>
    <r>
      <t xml:space="preserve">Catalejos, anteojos astronómicos, telescopios ópticos y sus armazones; los demás instrumentos </t>
    </r>
    <r>
      <rPr>
        <b/>
        <sz val="8"/>
        <color rgb="FF002B54"/>
        <rFont val="Calibri"/>
        <family val="2"/>
        <scheme val="minor"/>
      </rPr>
      <t>...</t>
    </r>
  </si>
  <si>
    <r>
      <t xml:space="preserve">"Aparatos y dispositivos para producir destellos para fotografía (exc. aparatos de tubo de </t>
    </r>
    <r>
      <rPr>
        <b/>
        <sz val="8"/>
        <color rgb="FF002B54"/>
        <rFont val="Calibri"/>
        <family val="2"/>
        <scheme val="minor"/>
      </rPr>
      <t>...</t>
    </r>
  </si>
  <si>
    <t>Partes y accesorios de cámaras fotográficas, n.c.o.p.</t>
  </si>
  <si>
    <t>Proyectores cinematográficos</t>
  </si>
  <si>
    <t>Partes y accesorios de proyectores cinematográficos, n.c.o.p.</t>
  </si>
  <si>
    <t>Proyectores de imagen, y ampliadoras y reductoras (excepto cinematográficas y piezas)</t>
  </si>
  <si>
    <r>
      <t xml:space="preserve">Microscopios ópticos para fotomicrografía, cinefotomicrografía o microproyección (exc. microscopios </t>
    </r>
    <r>
      <rPr>
        <b/>
        <sz val="8"/>
        <color rgb="FF002B54"/>
        <rFont val="Calibri"/>
        <family val="2"/>
        <scheme val="minor"/>
      </rPr>
      <t>...</t>
    </r>
  </si>
  <si>
    <t>Instrumentos y aparatos de fotogrametría</t>
  </si>
  <si>
    <t>Aparatos de centellografía</t>
  </si>
  <si>
    <r>
      <t xml:space="preserve">Termos y demás recipientes isotérmicos, montados y aislados por vacío, así como sus partes </t>
    </r>
    <r>
      <rPr>
        <b/>
        <sz val="8"/>
        <color rgb="FF002B54"/>
        <rFont val="Calibri"/>
        <family val="2"/>
        <scheme val="minor"/>
      </rPr>
      <t>...</t>
    </r>
  </si>
  <si>
    <t>Maniquíes y artículos similares; autómatas y escenas animadas para escaparates</t>
  </si>
  <si>
    <t>Grabados, estampas y litografías originales</t>
  </si>
  <si>
    <r>
      <t xml:space="preserve">Juegos de artículos pertenecientes, por lo menos, a dos de los artículos siguientes: bolígrafos, </t>
    </r>
    <r>
      <rPr>
        <b/>
        <sz val="8"/>
        <color rgb="FF002B54"/>
        <rFont val="Calibri"/>
        <family val="2"/>
        <scheme val="minor"/>
      </rPr>
      <t>...</t>
    </r>
  </si>
  <si>
    <t>Minas para lápices o portaminas</t>
  </si>
  <si>
    <t>Encendedores de gas recargables, de bolsillo</t>
  </si>
  <si>
    <t>producto</t>
  </si>
  <si>
    <t>Todos</t>
  </si>
  <si>
    <t>Cobre refinado</t>
  </si>
  <si>
    <t xml:space="preserve">Minerales de molibdeno </t>
  </si>
  <si>
    <t>"Arándanos rojos, mirtilos y demás</t>
  </si>
  <si>
    <t>Fosfatos de calcio naturales</t>
  </si>
  <si>
    <t>camisetas, de punto, de algodón</t>
  </si>
  <si>
    <t>"paltas"", frescos o secos"</t>
  </si>
  <si>
    <t>'TOTAL</t>
  </si>
  <si>
    <t>'270900</t>
  </si>
  <si>
    <t>'711319</t>
  </si>
  <si>
    <t>'200599</t>
  </si>
  <si>
    <t>'080521</t>
  </si>
  <si>
    <t>'611020</t>
  </si>
  <si>
    <t>'999999</t>
  </si>
  <si>
    <t>'610510</t>
  </si>
  <si>
    <t>'030489</t>
  </si>
  <si>
    <t>'790111</t>
  </si>
  <si>
    <t>'080450</t>
  </si>
  <si>
    <t>'081190</t>
  </si>
  <si>
    <t>'710812</t>
  </si>
  <si>
    <t>'070310</t>
  </si>
  <si>
    <t>'740710</t>
  </si>
  <si>
    <t>'610990</t>
  </si>
  <si>
    <t>'200190</t>
  </si>
  <si>
    <t>'740919</t>
  </si>
  <si>
    <t>'610520</t>
  </si>
  <si>
    <t>'790112</t>
  </si>
  <si>
    <t>'150420</t>
  </si>
  <si>
    <t>'271019</t>
  </si>
  <si>
    <t>'700721</t>
  </si>
  <si>
    <t>'090421</t>
  </si>
  <si>
    <t>'081110</t>
  </si>
  <si>
    <t>'091011</t>
  </si>
  <si>
    <t>'170114</t>
  </si>
  <si>
    <t>'392062</t>
  </si>
  <si>
    <t>'180400</t>
  </si>
  <si>
    <t>'030617</t>
  </si>
  <si>
    <t>'200899</t>
  </si>
  <si>
    <t>'392020</t>
  </si>
  <si>
    <t>'710691</t>
  </si>
  <si>
    <t>'100850</t>
  </si>
  <si>
    <t>'080390</t>
  </si>
  <si>
    <t>'610831</t>
  </si>
  <si>
    <t>'611030</t>
  </si>
  <si>
    <t>'271012</t>
  </si>
  <si>
    <t>'200820</t>
  </si>
  <si>
    <t>'870822</t>
  </si>
  <si>
    <t>'200830</t>
  </si>
  <si>
    <t>'071080</t>
  </si>
  <si>
    <t>'392092</t>
  </si>
  <si>
    <t>'090112</t>
  </si>
  <si>
    <t>'611120</t>
  </si>
  <si>
    <t>'392310</t>
  </si>
  <si>
    <t>'610442</t>
  </si>
  <si>
    <t>'281700</t>
  </si>
  <si>
    <t>'610610</t>
  </si>
  <si>
    <t>'510910</t>
  </si>
  <si>
    <t>'740821</t>
  </si>
  <si>
    <t>'870829</t>
  </si>
  <si>
    <t>'200560</t>
  </si>
  <si>
    <t>'740811</t>
  </si>
  <si>
    <t>'740829</t>
  </si>
  <si>
    <t>'070810</t>
  </si>
  <si>
    <t>'090422</t>
  </si>
  <si>
    <t>'080529</t>
  </si>
  <si>
    <t>'180690</t>
  </si>
  <si>
    <t>'200931</t>
  </si>
  <si>
    <t>'030442</t>
  </si>
  <si>
    <t>'030743</t>
  </si>
  <si>
    <t>'320500</t>
  </si>
  <si>
    <t>'611019</t>
  </si>
  <si>
    <t>'740911</t>
  </si>
  <si>
    <t>'850710</t>
  </si>
  <si>
    <t>'200989</t>
  </si>
  <si>
    <t>'120991</t>
  </si>
  <si>
    <t>'690722</t>
  </si>
  <si>
    <t>'080122</t>
  </si>
  <si>
    <t>'320300</t>
  </si>
  <si>
    <t>'130239</t>
  </si>
  <si>
    <t>'120770</t>
  </si>
  <si>
    <t>'151790</t>
  </si>
  <si>
    <t>'081090</t>
  </si>
  <si>
    <t>'210390</t>
  </si>
  <si>
    <t>'611420</t>
  </si>
  <si>
    <t>'180100</t>
  </si>
  <si>
    <t>'330119</t>
  </si>
  <si>
    <t>'200990</t>
  </si>
  <si>
    <t>'701090</t>
  </si>
  <si>
    <t>'160554</t>
  </si>
  <si>
    <t>'071040</t>
  </si>
  <si>
    <t>'071339</t>
  </si>
  <si>
    <t>'610462</t>
  </si>
  <si>
    <t>'510990</t>
  </si>
  <si>
    <t>'080550</t>
  </si>
  <si>
    <t>'392010</t>
  </si>
  <si>
    <t>'030722</t>
  </si>
  <si>
    <t>'060319</t>
  </si>
  <si>
    <t>'210690</t>
  </si>
  <si>
    <t>'080522</t>
  </si>
  <si>
    <t>'200799</t>
  </si>
  <si>
    <t>'610620</t>
  </si>
  <si>
    <t>'260800</t>
  </si>
  <si>
    <t>'200570</t>
  </si>
  <si>
    <t>'843149</t>
  </si>
  <si>
    <t>'160416</t>
  </si>
  <si>
    <t>'630120</t>
  </si>
  <si>
    <t>'690721</t>
  </si>
  <si>
    <t>'071335</t>
  </si>
  <si>
    <t>'610342</t>
  </si>
  <si>
    <t>'847490</t>
  </si>
  <si>
    <t>'030749</t>
  </si>
  <si>
    <t>'180632</t>
  </si>
  <si>
    <t>'790700</t>
  </si>
  <si>
    <t>'270111</t>
  </si>
  <si>
    <t>'283325</t>
  </si>
  <si>
    <t>'611011</t>
  </si>
  <si>
    <t>'121299</t>
  </si>
  <si>
    <t>'841199</t>
  </si>
  <si>
    <t>'620342</t>
  </si>
  <si>
    <t>'560819</t>
  </si>
  <si>
    <t>'610721</t>
  </si>
  <si>
    <t>'390769</t>
  </si>
  <si>
    <t>'190490</t>
  </si>
  <si>
    <t>'190590</t>
  </si>
  <si>
    <t>'390761</t>
  </si>
  <si>
    <t>'070320</t>
  </si>
  <si>
    <t>'841221</t>
  </si>
  <si>
    <t>'060110</t>
  </si>
  <si>
    <t>'740819</t>
  </si>
  <si>
    <t>'620442</t>
  </si>
  <si>
    <t>'950300</t>
  </si>
  <si>
    <t>'930629</t>
  </si>
  <si>
    <t>'550330</t>
  </si>
  <si>
    <t>'611595</t>
  </si>
  <si>
    <t>'250100</t>
  </si>
  <si>
    <t>'121190</t>
  </si>
  <si>
    <t>'071029</t>
  </si>
  <si>
    <t>'220820</t>
  </si>
  <si>
    <t>'440922</t>
  </si>
  <si>
    <t>'510820</t>
  </si>
  <si>
    <t>'251710</t>
  </si>
  <si>
    <t>'080430</t>
  </si>
  <si>
    <t>'040291</t>
  </si>
  <si>
    <t>'650500</t>
  </si>
  <si>
    <t>'780110</t>
  </si>
  <si>
    <t>'390190</t>
  </si>
  <si>
    <t>'850211</t>
  </si>
  <si>
    <t>'620520</t>
  </si>
  <si>
    <t>'180620</t>
  </si>
  <si>
    <t>'100590</t>
  </si>
  <si>
    <t>'110620</t>
  </si>
  <si>
    <t>'180500</t>
  </si>
  <si>
    <t>'391590</t>
  </si>
  <si>
    <t>'711292</t>
  </si>
  <si>
    <t>'610832</t>
  </si>
  <si>
    <t>'051199</t>
  </si>
  <si>
    <t>'611596</t>
  </si>
  <si>
    <t>'030482</t>
  </si>
  <si>
    <t>'620220</t>
  </si>
  <si>
    <t>'030283</t>
  </si>
  <si>
    <t>'680291</t>
  </si>
  <si>
    <t>'640351</t>
  </si>
  <si>
    <t>'392330</t>
  </si>
  <si>
    <t>'392350</t>
  </si>
  <si>
    <t>'620462</t>
  </si>
  <si>
    <t>'030461</t>
  </si>
  <si>
    <t>'220300</t>
  </si>
  <si>
    <t>'160569</t>
  </si>
  <si>
    <t>'200891</t>
  </si>
  <si>
    <t>'071420</t>
  </si>
  <si>
    <t>'120799</t>
  </si>
  <si>
    <t>'281000</t>
  </si>
  <si>
    <t>'800120</t>
  </si>
  <si>
    <t>'160414</t>
  </si>
  <si>
    <t>'611430</t>
  </si>
  <si>
    <t>'940360</t>
  </si>
  <si>
    <t>'100890</t>
  </si>
  <si>
    <t>'080540</t>
  </si>
  <si>
    <t>'250850</t>
  </si>
  <si>
    <t>'030391</t>
  </si>
  <si>
    <t>'081340</t>
  </si>
  <si>
    <t>'392321</t>
  </si>
  <si>
    <t>'840999</t>
  </si>
  <si>
    <t>'030729</t>
  </si>
  <si>
    <t>'200490</t>
  </si>
  <si>
    <t>'760200</t>
  </si>
  <si>
    <t>'130220</t>
  </si>
  <si>
    <t>'711311</t>
  </si>
  <si>
    <t>'610891</t>
  </si>
  <si>
    <t>'440729</t>
  </si>
  <si>
    <t>'620630</t>
  </si>
  <si>
    <t>'691390</t>
  </si>
  <si>
    <t>'610220</t>
  </si>
  <si>
    <t>'841391</t>
  </si>
  <si>
    <t>'130219</t>
  </si>
  <si>
    <t>'071290</t>
  </si>
  <si>
    <t>'850162</t>
  </si>
  <si>
    <t>'740721</t>
  </si>
  <si>
    <t>'110630</t>
  </si>
  <si>
    <t>'970529</t>
  </si>
  <si>
    <t>'610443</t>
  </si>
  <si>
    <t>'700711</t>
  </si>
  <si>
    <t>'560600</t>
  </si>
  <si>
    <t>'711620</t>
  </si>
  <si>
    <t>'080420</t>
  </si>
  <si>
    <t>'030520</t>
  </si>
  <si>
    <t>'630790</t>
  </si>
  <si>
    <t>'640399</t>
  </si>
  <si>
    <t>'610343</t>
  </si>
  <si>
    <t>'560811</t>
  </si>
  <si>
    <t>'610452</t>
  </si>
  <si>
    <t>'160420</t>
  </si>
  <si>
    <t>'190120</t>
  </si>
  <si>
    <t>'310100</t>
  </si>
  <si>
    <t>'200939</t>
  </si>
  <si>
    <t>'510710</t>
  </si>
  <si>
    <t>'630130</t>
  </si>
  <si>
    <t>'030389</t>
  </si>
  <si>
    <t>'850720</t>
  </si>
  <si>
    <t>'200290</t>
  </si>
  <si>
    <t>'392410</t>
  </si>
  <si>
    <t>'392049</t>
  </si>
  <si>
    <t>'190532</t>
  </si>
  <si>
    <t>'610822</t>
  </si>
  <si>
    <t>'611594</t>
  </si>
  <si>
    <t>'030339</t>
  </si>
  <si>
    <t>'610463</t>
  </si>
  <si>
    <t>'740822</t>
  </si>
  <si>
    <t>'740400</t>
  </si>
  <si>
    <t>'540710</t>
  </si>
  <si>
    <t>'621420</t>
  </si>
  <si>
    <t>'330741</t>
  </si>
  <si>
    <t>'611710</t>
  </si>
  <si>
    <t>'520710</t>
  </si>
  <si>
    <t>'091012</t>
  </si>
  <si>
    <t>'030481</t>
  </si>
  <si>
    <t>'200540</t>
  </si>
  <si>
    <t>'610444</t>
  </si>
  <si>
    <t>'190531</t>
  </si>
  <si>
    <t>'293890</t>
  </si>
  <si>
    <t>'071350</t>
  </si>
  <si>
    <t>'610210</t>
  </si>
  <si>
    <t>'610120</t>
  </si>
  <si>
    <t>'511290</t>
  </si>
  <si>
    <t>'490199</t>
  </si>
  <si>
    <t>'620821</t>
  </si>
  <si>
    <t>'481930</t>
  </si>
  <si>
    <t>'620920</t>
  </si>
  <si>
    <t>'120890</t>
  </si>
  <si>
    <t>'620343</t>
  </si>
  <si>
    <t>'030483</t>
  </si>
  <si>
    <t>'611691</t>
  </si>
  <si>
    <t>'640359</t>
  </si>
  <si>
    <t>'551120</t>
  </si>
  <si>
    <t>'841330</t>
  </si>
  <si>
    <t>'560750</t>
  </si>
  <si>
    <t>'621142</t>
  </si>
  <si>
    <t>'220299</t>
  </si>
  <si>
    <t>'330590</t>
  </si>
  <si>
    <t>'150920</t>
  </si>
  <si>
    <t>'711719</t>
  </si>
  <si>
    <t>'180310</t>
  </si>
  <si>
    <t>'090121</t>
  </si>
  <si>
    <t>'940490</t>
  </si>
  <si>
    <t>'282550</t>
  </si>
  <si>
    <t>'550630</t>
  </si>
  <si>
    <t>'261310</t>
  </si>
  <si>
    <t>'190410</t>
  </si>
  <si>
    <t>'190190</t>
  </si>
  <si>
    <t>'711790</t>
  </si>
  <si>
    <t>'621290</t>
  </si>
  <si>
    <t>'110423</t>
  </si>
  <si>
    <t>'430390</t>
  </si>
  <si>
    <t>'610130</t>
  </si>
  <si>
    <t>'110290</t>
  </si>
  <si>
    <t>'380891</t>
  </si>
  <si>
    <t>'847720</t>
  </si>
  <si>
    <t>'850212</t>
  </si>
  <si>
    <t>'610821</t>
  </si>
  <si>
    <t>'420292</t>
  </si>
  <si>
    <t>'284020</t>
  </si>
  <si>
    <t>'691200</t>
  </si>
  <si>
    <t>'220421</t>
  </si>
  <si>
    <t>'220210</t>
  </si>
  <si>
    <t>'460219</t>
  </si>
  <si>
    <t>'290545</t>
  </si>
  <si>
    <t>'121130</t>
  </si>
  <si>
    <t>'843041</t>
  </si>
  <si>
    <t>'140490</t>
  </si>
  <si>
    <t>'950510</t>
  </si>
  <si>
    <t>'160559</t>
  </si>
  <si>
    <t>'070820</t>
  </si>
  <si>
    <t>'292242</t>
  </si>
  <si>
    <t>'392329</t>
  </si>
  <si>
    <t>'441899</t>
  </si>
  <si>
    <t>'680221</t>
  </si>
  <si>
    <t>'610711</t>
  </si>
  <si>
    <t>'621210</t>
  </si>
  <si>
    <t>'811300</t>
  </si>
  <si>
    <t>'611780</t>
  </si>
  <si>
    <t>'030211</t>
  </si>
  <si>
    <t>'740729</t>
  </si>
  <si>
    <t>'200941</t>
  </si>
  <si>
    <t>'710692</t>
  </si>
  <si>
    <t>'360320</t>
  </si>
  <si>
    <t>'848350</t>
  </si>
  <si>
    <t>'850433</t>
  </si>
  <si>
    <t>'847130</t>
  </si>
  <si>
    <t>'030499</t>
  </si>
  <si>
    <t>'340290</t>
  </si>
  <si>
    <t>'610230</t>
  </si>
  <si>
    <t>'030799</t>
  </si>
  <si>
    <t>'520790</t>
  </si>
  <si>
    <t>'970390</t>
  </si>
  <si>
    <t>'710310</t>
  </si>
  <si>
    <t>'210500</t>
  </si>
  <si>
    <t>'510720</t>
  </si>
  <si>
    <t>'511219</t>
  </si>
  <si>
    <t>'630499</t>
  </si>
  <si>
    <t>'030532</t>
  </si>
  <si>
    <t>'560311</t>
  </si>
  <si>
    <t>'851762</t>
  </si>
  <si>
    <t>'330113</t>
  </si>
  <si>
    <t>'071120</t>
  </si>
  <si>
    <t>'681381</t>
  </si>
  <si>
    <t>'841480</t>
  </si>
  <si>
    <t>'843143</t>
  </si>
  <si>
    <t>'630231</t>
  </si>
  <si>
    <t>'070519</t>
  </si>
  <si>
    <t>'610469</t>
  </si>
  <si>
    <t>'848180</t>
  </si>
  <si>
    <t>'120999</t>
  </si>
  <si>
    <t>'790120</t>
  </si>
  <si>
    <t>'741012</t>
  </si>
  <si>
    <t>'848490</t>
  </si>
  <si>
    <t>'071360</t>
  </si>
  <si>
    <t>'391910</t>
  </si>
  <si>
    <t>'030792</t>
  </si>
  <si>
    <t>'030821</t>
  </si>
  <si>
    <t>'610441</t>
  </si>
  <si>
    <t>'620452</t>
  </si>
  <si>
    <t>'620120</t>
  </si>
  <si>
    <t>'841720</t>
  </si>
  <si>
    <t>'690740</t>
  </si>
  <si>
    <t>'151800</t>
  </si>
  <si>
    <t>'200591</t>
  </si>
  <si>
    <t>'520959</t>
  </si>
  <si>
    <t>'170490</t>
  </si>
  <si>
    <t>'392099</t>
  </si>
  <si>
    <t>'970121</t>
  </si>
  <si>
    <t>'030111</t>
  </si>
  <si>
    <t>'610791</t>
  </si>
  <si>
    <t>'282741</t>
  </si>
  <si>
    <t>'880730</t>
  </si>
  <si>
    <t>'420100</t>
  </si>
  <si>
    <t>'283329</t>
  </si>
  <si>
    <t>'080510</t>
  </si>
  <si>
    <t>'570291</t>
  </si>
  <si>
    <t>'300610</t>
  </si>
  <si>
    <t>'190219</t>
  </si>
  <si>
    <t>'030569</t>
  </si>
  <si>
    <t>'610461</t>
  </si>
  <si>
    <t>'841981</t>
  </si>
  <si>
    <t>'440799</t>
  </si>
  <si>
    <t>'903180</t>
  </si>
  <si>
    <t>'071010</t>
  </si>
  <si>
    <t>'030474</t>
  </si>
  <si>
    <t>'621133</t>
  </si>
  <si>
    <t>'610892</t>
  </si>
  <si>
    <t>'481151</t>
  </si>
  <si>
    <t>'848410</t>
  </si>
  <si>
    <t>'731442</t>
  </si>
  <si>
    <t>'950590</t>
  </si>
  <si>
    <t>'060420</t>
  </si>
  <si>
    <t>'392390</t>
  </si>
  <si>
    <t>'610451</t>
  </si>
  <si>
    <t>'250200</t>
  </si>
  <si>
    <t>'230990</t>
  </si>
  <si>
    <t>'843139</t>
  </si>
  <si>
    <t>'420222</t>
  </si>
  <si>
    <t>'282732</t>
  </si>
  <si>
    <t>'870899</t>
  </si>
  <si>
    <t>'842139</t>
  </si>
  <si>
    <t>'200981</t>
  </si>
  <si>
    <t>'150410</t>
  </si>
  <si>
    <t>'681599</t>
  </si>
  <si>
    <t>'401110</t>
  </si>
  <si>
    <t>'841950</t>
  </si>
  <si>
    <t>'200559</t>
  </si>
  <si>
    <t>'630210</t>
  </si>
  <si>
    <t>'820559</t>
  </si>
  <si>
    <t>'230120</t>
  </si>
  <si>
    <t>'330749</t>
  </si>
  <si>
    <t>'620431</t>
  </si>
  <si>
    <t>'841350</t>
  </si>
  <si>
    <t>'100630</t>
  </si>
  <si>
    <t>'610432</t>
  </si>
  <si>
    <t>'950699</t>
  </si>
  <si>
    <t>'853710</t>
  </si>
  <si>
    <t>'720421</t>
  </si>
  <si>
    <t>'940350</t>
  </si>
  <si>
    <t>'848310</t>
  </si>
  <si>
    <t>'030366</t>
  </si>
  <si>
    <t>'610453</t>
  </si>
  <si>
    <t>'200819</t>
  </si>
  <si>
    <t>'200919</t>
  </si>
  <si>
    <t>'110429</t>
  </si>
  <si>
    <t>'610712</t>
  </si>
  <si>
    <t>'600632</t>
  </si>
  <si>
    <t>'960200</t>
  </si>
  <si>
    <t>'611090</t>
  </si>
  <si>
    <t>'843610</t>
  </si>
  <si>
    <t>'810197</t>
  </si>
  <si>
    <t>'950629</t>
  </si>
  <si>
    <t>'620640</t>
  </si>
  <si>
    <t>'200520</t>
  </si>
  <si>
    <t>'610449</t>
  </si>
  <si>
    <t>'611190</t>
  </si>
  <si>
    <t>'732690</t>
  </si>
  <si>
    <t>'180631</t>
  </si>
  <si>
    <t>'330510</t>
  </si>
  <si>
    <t>'731210</t>
  </si>
  <si>
    <t>'220830</t>
  </si>
  <si>
    <t>'040299</t>
  </si>
  <si>
    <t>'780600</t>
  </si>
  <si>
    <t>'520859</t>
  </si>
  <si>
    <t>'071331</t>
  </si>
  <si>
    <t>'252800</t>
  </si>
  <si>
    <t>'700992</t>
  </si>
  <si>
    <t>'071022</t>
  </si>
  <si>
    <t>'151590</t>
  </si>
  <si>
    <t>'970510</t>
  </si>
  <si>
    <t>'841790</t>
  </si>
  <si>
    <t>'100510</t>
  </si>
  <si>
    <t>'210320</t>
  </si>
  <si>
    <t>'730799</t>
  </si>
  <si>
    <t>'510219</t>
  </si>
  <si>
    <t>'841370</t>
  </si>
  <si>
    <t>'210310</t>
  </si>
  <si>
    <t>'847990</t>
  </si>
  <si>
    <t>'621143</t>
  </si>
  <si>
    <t>'850300</t>
  </si>
  <si>
    <t>'500600</t>
  </si>
  <si>
    <t>'481190</t>
  </si>
  <si>
    <t>'481940</t>
  </si>
  <si>
    <t>'160419</t>
  </si>
  <si>
    <t>'630239</t>
  </si>
  <si>
    <t>'482190</t>
  </si>
  <si>
    <t>'610839</t>
  </si>
  <si>
    <t>'740990</t>
  </si>
  <si>
    <t>'030752</t>
  </si>
  <si>
    <t>'060490</t>
  </si>
  <si>
    <t>'071333</t>
  </si>
  <si>
    <t>'711011</t>
  </si>
  <si>
    <t>'430400</t>
  </si>
  <si>
    <t>'710399</t>
  </si>
  <si>
    <t>'392640</t>
  </si>
  <si>
    <t>'611490</t>
  </si>
  <si>
    <t>'970191</t>
  </si>
  <si>
    <t>'621710</t>
  </si>
  <si>
    <t>'030616</t>
  </si>
  <si>
    <t>'600537</t>
  </si>
  <si>
    <t>'220900</t>
  </si>
  <si>
    <t>'401699</t>
  </si>
  <si>
    <t>'220110</t>
  </si>
  <si>
    <t>'711299</t>
  </si>
  <si>
    <t>'160415</t>
  </si>
  <si>
    <t>'611241</t>
  </si>
  <si>
    <t>'391721</t>
  </si>
  <si>
    <t>'680292</t>
  </si>
  <si>
    <t>'611012</t>
  </si>
  <si>
    <t>'610590</t>
  </si>
  <si>
    <t>'420291</t>
  </si>
  <si>
    <t>'903289</t>
  </si>
  <si>
    <t>'620240</t>
  </si>
  <si>
    <t>'790500</t>
  </si>
  <si>
    <t>'180320</t>
  </si>
  <si>
    <t>'440722</t>
  </si>
  <si>
    <t>'960190</t>
  </si>
  <si>
    <t>'940169</t>
  </si>
  <si>
    <t>'200551</t>
  </si>
  <si>
    <t>'081400</t>
  </si>
  <si>
    <t>'570110</t>
  </si>
  <si>
    <t>'401693</t>
  </si>
  <si>
    <t>'330129</t>
  </si>
  <si>
    <t>'340111</t>
  </si>
  <si>
    <t>'010620</t>
  </si>
  <si>
    <t>'840890</t>
  </si>
  <si>
    <t>'860900</t>
  </si>
  <si>
    <t>'940161</t>
  </si>
  <si>
    <t>'850213</t>
  </si>
  <si>
    <t>'940399</t>
  </si>
  <si>
    <t>'870840</t>
  </si>
  <si>
    <t>'610729</t>
  </si>
  <si>
    <t>'630190</t>
  </si>
  <si>
    <t>'392690</t>
  </si>
  <si>
    <t>'210610</t>
  </si>
  <si>
    <t>'940389</t>
  </si>
  <si>
    <t>'731412</t>
  </si>
  <si>
    <t>'030289</t>
  </si>
  <si>
    <t>'392061</t>
  </si>
  <si>
    <t>'650699</t>
  </si>
  <si>
    <t>'071334</t>
  </si>
  <si>
    <t>'720449</t>
  </si>
  <si>
    <t>'071490</t>
  </si>
  <si>
    <t>'251620</t>
  </si>
  <si>
    <t>'253090</t>
  </si>
  <si>
    <t>'730840</t>
  </si>
  <si>
    <t>'620130</t>
  </si>
  <si>
    <t>'650400</t>
  </si>
  <si>
    <t>'711320</t>
  </si>
  <si>
    <t>'481690</t>
  </si>
  <si>
    <t>'291739</t>
  </si>
  <si>
    <t>'611212</t>
  </si>
  <si>
    <t>'280620</t>
  </si>
  <si>
    <t>'841490</t>
  </si>
  <si>
    <t>'847180</t>
  </si>
  <si>
    <t>'330499</t>
  </si>
  <si>
    <t>'420221</t>
  </si>
  <si>
    <t>'831190</t>
  </si>
  <si>
    <t>'847190</t>
  </si>
  <si>
    <t>'170290</t>
  </si>
  <si>
    <t>'732620</t>
  </si>
  <si>
    <t>'853329</t>
  </si>
  <si>
    <t>'901490</t>
  </si>
  <si>
    <t>'621139</t>
  </si>
  <si>
    <t>'851779</t>
  </si>
  <si>
    <t>'960719</t>
  </si>
  <si>
    <t>'970531</t>
  </si>
  <si>
    <t>'081010</t>
  </si>
  <si>
    <t>'610690</t>
  </si>
  <si>
    <t>'600621</t>
  </si>
  <si>
    <t>'710499</t>
  </si>
  <si>
    <t>'620341</t>
  </si>
  <si>
    <t>'610341</t>
  </si>
  <si>
    <t>'382499</t>
  </si>
  <si>
    <t>'420229</t>
  </si>
  <si>
    <t>'440929</t>
  </si>
  <si>
    <t>'620721</t>
  </si>
  <si>
    <t>'481810</t>
  </si>
  <si>
    <t>'030471</t>
  </si>
  <si>
    <t>'960720</t>
  </si>
  <si>
    <t>'051191</t>
  </si>
  <si>
    <t>'730890</t>
  </si>
  <si>
    <t>'621149</t>
  </si>
  <si>
    <t>'380991</t>
  </si>
  <si>
    <t>'841229</t>
  </si>
  <si>
    <t>'760720</t>
  </si>
  <si>
    <t>'920600</t>
  </si>
  <si>
    <t>'732111</t>
  </si>
  <si>
    <t>'284019</t>
  </si>
  <si>
    <t>'091030</t>
  </si>
  <si>
    <t>'160417</t>
  </si>
  <si>
    <t>'960820</t>
  </si>
  <si>
    <t>'611130</t>
  </si>
  <si>
    <t>'847780</t>
  </si>
  <si>
    <t>'220890</t>
  </si>
  <si>
    <t>'830910</t>
  </si>
  <si>
    <t>'420500</t>
  </si>
  <si>
    <t>'620463</t>
  </si>
  <si>
    <t>'440349</t>
  </si>
  <si>
    <t>'283699</t>
  </si>
  <si>
    <t>'110419</t>
  </si>
  <si>
    <t>'110313</t>
  </si>
  <si>
    <t>'640520</t>
  </si>
  <si>
    <t>'850440</t>
  </si>
  <si>
    <t>'060290</t>
  </si>
  <si>
    <t>'420299</t>
  </si>
  <si>
    <t>'830230</t>
  </si>
  <si>
    <t>'071310</t>
  </si>
  <si>
    <t>'330300</t>
  </si>
  <si>
    <t>'870850</t>
  </si>
  <si>
    <t>'200912</t>
  </si>
  <si>
    <t>'481910</t>
  </si>
  <si>
    <t>'321590</t>
  </si>
  <si>
    <t>'811261</t>
  </si>
  <si>
    <t>'850434</t>
  </si>
  <si>
    <t>'920590</t>
  </si>
  <si>
    <t>'520822</t>
  </si>
  <si>
    <t>'390690</t>
  </si>
  <si>
    <t>'360350</t>
  </si>
  <si>
    <t>'620891</t>
  </si>
  <si>
    <t>'442019</t>
  </si>
  <si>
    <t>'430219</t>
  </si>
  <si>
    <t>'842490</t>
  </si>
  <si>
    <t>'110610</t>
  </si>
  <si>
    <t>'401290</t>
  </si>
  <si>
    <t>'843141</t>
  </si>
  <si>
    <t>'690723</t>
  </si>
  <si>
    <t>'030721</t>
  </si>
  <si>
    <t>'890399</t>
  </si>
  <si>
    <t>'940180</t>
  </si>
  <si>
    <t>'020890</t>
  </si>
  <si>
    <t>'291815</t>
  </si>
  <si>
    <t>'620443</t>
  </si>
  <si>
    <t>'121292</t>
  </si>
  <si>
    <t>'850239</t>
  </si>
  <si>
    <t>'890710</t>
  </si>
  <si>
    <t>'280610</t>
  </si>
  <si>
    <t>'080132</t>
  </si>
  <si>
    <t>'880400</t>
  </si>
  <si>
    <t>'420330</t>
  </si>
  <si>
    <t>'961590</t>
  </si>
  <si>
    <t>'391729</t>
  </si>
  <si>
    <t>'610459</t>
  </si>
  <si>
    <t>'840820</t>
  </si>
  <si>
    <t>'520300</t>
  </si>
  <si>
    <t>'640420</t>
  </si>
  <si>
    <t>'200949</t>
  </si>
  <si>
    <t>'620449</t>
  </si>
  <si>
    <t>'610899</t>
  </si>
  <si>
    <t>'850134</t>
  </si>
  <si>
    <t>'630260</t>
  </si>
  <si>
    <t>'732119</t>
  </si>
  <si>
    <t>'820713</t>
  </si>
  <si>
    <t>'640690</t>
  </si>
  <si>
    <t>'390740</t>
  </si>
  <si>
    <t>'510529</t>
  </si>
  <si>
    <t>'640391</t>
  </si>
  <si>
    <t>'854370</t>
  </si>
  <si>
    <t>'940529</t>
  </si>
  <si>
    <t>'441990</t>
  </si>
  <si>
    <t>'610431</t>
  </si>
  <si>
    <t>'430310</t>
  </si>
  <si>
    <t>'620530</t>
  </si>
  <si>
    <t>'481159</t>
  </si>
  <si>
    <t>'830629</t>
  </si>
  <si>
    <t>'851140</t>
  </si>
  <si>
    <t>'442090</t>
  </si>
  <si>
    <t>'950490</t>
  </si>
  <si>
    <t>'491191</t>
  </si>
  <si>
    <t>'091099</t>
  </si>
  <si>
    <t>'511211</t>
  </si>
  <si>
    <t>'640419</t>
  </si>
  <si>
    <t>'030119</t>
  </si>
  <si>
    <t>'071332</t>
  </si>
  <si>
    <t>'070999</t>
  </si>
  <si>
    <t>'441410</t>
  </si>
  <si>
    <t>'071021</t>
  </si>
  <si>
    <t>'440122</t>
  </si>
  <si>
    <t>'842430</t>
  </si>
  <si>
    <t>'620453</t>
  </si>
  <si>
    <t>'690919</t>
  </si>
  <si>
    <t>'691490</t>
  </si>
  <si>
    <t>'360360</t>
  </si>
  <si>
    <t>'610419</t>
  </si>
  <si>
    <t>'401120</t>
  </si>
  <si>
    <t>'210111</t>
  </si>
  <si>
    <t>'330210</t>
  </si>
  <si>
    <t>'842123</t>
  </si>
  <si>
    <t>'441821</t>
  </si>
  <si>
    <t>'681389</t>
  </si>
  <si>
    <t>'940340</t>
  </si>
  <si>
    <t>'200580</t>
  </si>
  <si>
    <t>'481141</t>
  </si>
  <si>
    <t>'620230</t>
  </si>
  <si>
    <t>'110220</t>
  </si>
  <si>
    <t>'903190</t>
  </si>
  <si>
    <t>'731512</t>
  </si>
  <si>
    <t>'391732</t>
  </si>
  <si>
    <t>'846630</t>
  </si>
  <si>
    <t>'848340</t>
  </si>
  <si>
    <t>'848190</t>
  </si>
  <si>
    <t>'940179</t>
  </si>
  <si>
    <t>'620432</t>
  </si>
  <si>
    <t>'630140</t>
  </si>
  <si>
    <t>'621132</t>
  </si>
  <si>
    <t>'852691</t>
  </si>
  <si>
    <t>'842230</t>
  </si>
  <si>
    <t>'841360</t>
  </si>
  <si>
    <t>'902590</t>
  </si>
  <si>
    <t>'120930</t>
  </si>
  <si>
    <t>'950430</t>
  </si>
  <si>
    <t>'200210</t>
  </si>
  <si>
    <t>'680510</t>
  </si>
  <si>
    <t>'610190</t>
  </si>
  <si>
    <t>'847150</t>
  </si>
  <si>
    <t>'970539</t>
  </si>
  <si>
    <t>'920999</t>
  </si>
  <si>
    <t>'630293</t>
  </si>
  <si>
    <t>'610339</t>
  </si>
  <si>
    <t>'853649</t>
  </si>
  <si>
    <t>'620791</t>
  </si>
  <si>
    <t>'090962</t>
  </si>
  <si>
    <t>'701399</t>
  </si>
  <si>
    <t>'630291</t>
  </si>
  <si>
    <t>'160432</t>
  </si>
  <si>
    <t>'848420</t>
  </si>
  <si>
    <t>'790200</t>
  </si>
  <si>
    <t>'442199</t>
  </si>
  <si>
    <t>'901920</t>
  </si>
  <si>
    <t>'420231</t>
  </si>
  <si>
    <t>'071220</t>
  </si>
  <si>
    <t>'848390</t>
  </si>
  <si>
    <t>'731010</t>
  </si>
  <si>
    <t>'080930</t>
  </si>
  <si>
    <t>'442011</t>
  </si>
  <si>
    <t>'970610</t>
  </si>
  <si>
    <t>'741510</t>
  </si>
  <si>
    <t>'940521</t>
  </si>
  <si>
    <t>'851150</t>
  </si>
  <si>
    <t>'790390</t>
  </si>
  <si>
    <t>'070960</t>
  </si>
  <si>
    <t>'620140</t>
  </si>
  <si>
    <t>'901730</t>
  </si>
  <si>
    <t>'850161</t>
  </si>
  <si>
    <t>'621010</t>
  </si>
  <si>
    <t>'870810</t>
  </si>
  <si>
    <t>'850110</t>
  </si>
  <si>
    <t>'580890</t>
  </si>
  <si>
    <t>'680100</t>
  </si>
  <si>
    <t>'110520</t>
  </si>
  <si>
    <t>'611693</t>
  </si>
  <si>
    <t>'030355</t>
  </si>
  <si>
    <t>'110510</t>
  </si>
  <si>
    <t>'180610</t>
  </si>
  <si>
    <t>'842940</t>
  </si>
  <si>
    <t>'330790</t>
  </si>
  <si>
    <t>'401180</t>
  </si>
  <si>
    <t>'760529</t>
  </si>
  <si>
    <t>'100390</t>
  </si>
  <si>
    <t>'200410</t>
  </si>
  <si>
    <t>'611510</t>
  </si>
  <si>
    <t>'620469</t>
  </si>
  <si>
    <t>'392510</t>
  </si>
  <si>
    <t>'282110</t>
  </si>
  <si>
    <t>'681099</t>
  </si>
  <si>
    <t>'200870</t>
  </si>
  <si>
    <t>'848120</t>
  </si>
  <si>
    <t>'731449</t>
  </si>
  <si>
    <t>'170240</t>
  </si>
  <si>
    <t>'220510</t>
  </si>
  <si>
    <t>'842511</t>
  </si>
  <si>
    <t>'400510</t>
  </si>
  <si>
    <t>'570310</t>
  </si>
  <si>
    <t>'200600</t>
  </si>
  <si>
    <t>'730711</t>
  </si>
  <si>
    <t>'610349</t>
  </si>
  <si>
    <t>'392490</t>
  </si>
  <si>
    <t>'300490</t>
  </si>
  <si>
    <t>'420232</t>
  </si>
  <si>
    <t>'460290</t>
  </si>
  <si>
    <t>'090510</t>
  </si>
  <si>
    <t>'030475</t>
  </si>
  <si>
    <t>'970290</t>
  </si>
  <si>
    <t>'570210</t>
  </si>
  <si>
    <t>'200971</t>
  </si>
  <si>
    <t>'870870</t>
  </si>
  <si>
    <t>'071090</t>
  </si>
  <si>
    <t>'621600</t>
  </si>
  <si>
    <t>'442191</t>
  </si>
  <si>
    <t>'391510</t>
  </si>
  <si>
    <t>'610722</t>
  </si>
  <si>
    <t>'080299</t>
  </si>
  <si>
    <t>'731431</t>
  </si>
  <si>
    <t>'853690</t>
  </si>
  <si>
    <t>'621490</t>
  </si>
  <si>
    <t>'847330</t>
  </si>
  <si>
    <t>'852910</t>
  </si>
  <si>
    <t>'480810</t>
  </si>
  <si>
    <t>'820760</t>
  </si>
  <si>
    <t>'620433</t>
  </si>
  <si>
    <t>'120400</t>
  </si>
  <si>
    <t>'271099</t>
  </si>
  <si>
    <t>'851660</t>
  </si>
  <si>
    <t>'901890</t>
  </si>
  <si>
    <t>'691190</t>
  </si>
  <si>
    <t>'560729</t>
  </si>
  <si>
    <t>'481920</t>
  </si>
  <si>
    <t>'730792</t>
  </si>
  <si>
    <t>'511220</t>
  </si>
  <si>
    <t>'521159</t>
  </si>
  <si>
    <t>'852589</t>
  </si>
  <si>
    <t>'852610</t>
  </si>
  <si>
    <t>'330491</t>
  </si>
  <si>
    <t>'100119</t>
  </si>
  <si>
    <t>'841780</t>
  </si>
  <si>
    <t>'841239</t>
  </si>
  <si>
    <t>'620930</t>
  </si>
  <si>
    <t>'940320</t>
  </si>
  <si>
    <t>'620690</t>
  </si>
  <si>
    <t>'441879</t>
  </si>
  <si>
    <t>'610332</t>
  </si>
  <si>
    <t>'620610</t>
  </si>
  <si>
    <t>'550130</t>
  </si>
  <si>
    <t>'903040</t>
  </si>
  <si>
    <t>'840991</t>
  </si>
  <si>
    <t>'610433</t>
  </si>
  <si>
    <t>'870880</t>
  </si>
  <si>
    <t>'940110</t>
  </si>
  <si>
    <t>'090240</t>
  </si>
  <si>
    <t>'841989</t>
  </si>
  <si>
    <t>'392119</t>
  </si>
  <si>
    <t>'551513</t>
  </si>
  <si>
    <t>'392059</t>
  </si>
  <si>
    <t>'620590</t>
  </si>
  <si>
    <t>'540233</t>
  </si>
  <si>
    <t>'691310</t>
  </si>
  <si>
    <t>'491199</t>
  </si>
  <si>
    <t>'630492</t>
  </si>
  <si>
    <t>'620711</t>
  </si>
  <si>
    <t>'251749</t>
  </si>
  <si>
    <t>'392590</t>
  </si>
  <si>
    <t>'441231</t>
  </si>
  <si>
    <t>'847160</t>
  </si>
  <si>
    <t>'600623</t>
  </si>
  <si>
    <t>'190211</t>
  </si>
  <si>
    <t>'620459</t>
  </si>
  <si>
    <t>'610310</t>
  </si>
  <si>
    <t>'940690</t>
  </si>
  <si>
    <t>'611220</t>
  </si>
  <si>
    <t>'870830</t>
  </si>
  <si>
    <t>'170260</t>
  </si>
  <si>
    <t>'271290</t>
  </si>
  <si>
    <t>'841459</t>
  </si>
  <si>
    <t>'630491</t>
  </si>
  <si>
    <t>'843820</t>
  </si>
  <si>
    <t>'510539</t>
  </si>
  <si>
    <t>'200979</t>
  </si>
  <si>
    <t>'621112</t>
  </si>
  <si>
    <t>'902610</t>
  </si>
  <si>
    <t>'530911</t>
  </si>
  <si>
    <t>'611211</t>
  </si>
  <si>
    <t>'530620</t>
  </si>
  <si>
    <t>'901420</t>
  </si>
  <si>
    <t>'842132</t>
  </si>
  <si>
    <t>'620444</t>
  </si>
  <si>
    <t>'880720</t>
  </si>
  <si>
    <t>'848280</t>
  </si>
  <si>
    <t>'200969</t>
  </si>
  <si>
    <t>'320890</t>
  </si>
  <si>
    <t>'551291</t>
  </si>
  <si>
    <t>'620331</t>
  </si>
  <si>
    <t>'090122</t>
  </si>
  <si>
    <t>'440399</t>
  </si>
  <si>
    <t>'901380</t>
  </si>
  <si>
    <t>'820719</t>
  </si>
  <si>
    <t>'570500</t>
  </si>
  <si>
    <t>'902750</t>
  </si>
  <si>
    <t>'844391</t>
  </si>
  <si>
    <t>'321511</t>
  </si>
  <si>
    <t>'701337</t>
  </si>
  <si>
    <t>'620332</t>
  </si>
  <si>
    <t>'050800</t>
  </si>
  <si>
    <t>'848330</t>
  </si>
  <si>
    <t>'903032</t>
  </si>
  <si>
    <t>'842290</t>
  </si>
  <si>
    <t>'480300</t>
  </si>
  <si>
    <t>'401130</t>
  </si>
  <si>
    <t>'902519</t>
  </si>
  <si>
    <t>'902730</t>
  </si>
  <si>
    <t>'721119</t>
  </si>
  <si>
    <t>'711890</t>
  </si>
  <si>
    <t>'550991</t>
  </si>
  <si>
    <t>'482369</t>
  </si>
  <si>
    <t>'902789</t>
  </si>
  <si>
    <t>'902219</t>
  </si>
  <si>
    <t>'390810</t>
  </si>
  <si>
    <t>'620461</t>
  </si>
  <si>
    <t>'010129</t>
  </si>
  <si>
    <t>'190230</t>
  </si>
  <si>
    <t>'902720</t>
  </si>
  <si>
    <t>'851769</t>
  </si>
  <si>
    <t>'100199</t>
  </si>
  <si>
    <t>'621430</t>
  </si>
  <si>
    <t>'611790</t>
  </si>
  <si>
    <t>'340120</t>
  </si>
  <si>
    <t>'110813</t>
  </si>
  <si>
    <t>'551130</t>
  </si>
  <si>
    <t>'321519</t>
  </si>
  <si>
    <t>'570241</t>
  </si>
  <si>
    <t>'010121</t>
  </si>
  <si>
    <t>'848220</t>
  </si>
  <si>
    <t>'920890</t>
  </si>
  <si>
    <t>'640590</t>
  </si>
  <si>
    <t>'110311</t>
  </si>
  <si>
    <t>'400921</t>
  </si>
  <si>
    <t>'731821</t>
  </si>
  <si>
    <t>'970310</t>
  </si>
  <si>
    <t>'680423</t>
  </si>
  <si>
    <t>'901580</t>
  </si>
  <si>
    <t>'847989</t>
  </si>
  <si>
    <t>'940120</t>
  </si>
  <si>
    <t>'580500</t>
  </si>
  <si>
    <t>'040900</t>
  </si>
  <si>
    <t>'620441</t>
  </si>
  <si>
    <t>'848210</t>
  </si>
  <si>
    <t>'170191</t>
  </si>
  <si>
    <t>'841290</t>
  </si>
  <si>
    <t>'441520</t>
  </si>
  <si>
    <t>'320413</t>
  </si>
  <si>
    <t>'160521</t>
  </si>
  <si>
    <t>'902480</t>
  </si>
  <si>
    <t>'940370</t>
  </si>
  <si>
    <t>'903290</t>
  </si>
  <si>
    <t>'620829</t>
  </si>
  <si>
    <t>'340130</t>
  </si>
  <si>
    <t>'841430</t>
  </si>
  <si>
    <t>'844399</t>
  </si>
  <si>
    <t>'700729</t>
  </si>
  <si>
    <t>'420239</t>
  </si>
  <si>
    <t>'630221</t>
  </si>
  <si>
    <t>'090220</t>
  </si>
  <si>
    <t>'680299</t>
  </si>
  <si>
    <t>'440410</t>
  </si>
  <si>
    <t>'847141</t>
  </si>
  <si>
    <t>'621220</t>
  </si>
  <si>
    <t>'300693</t>
  </si>
  <si>
    <t>'903149</t>
  </si>
  <si>
    <t>'610819</t>
  </si>
  <si>
    <t>'630493</t>
  </si>
  <si>
    <t>'360330</t>
  </si>
  <si>
    <t>'121490</t>
  </si>
  <si>
    <t>'970199</t>
  </si>
  <si>
    <t>'441510</t>
  </si>
  <si>
    <t>'611529</t>
  </si>
  <si>
    <t>'731815</t>
  </si>
  <si>
    <t>'510610</t>
  </si>
  <si>
    <t>'901819</t>
  </si>
  <si>
    <t>'702000</t>
  </si>
  <si>
    <t>'230110</t>
  </si>
  <si>
    <t>'401590</t>
  </si>
  <si>
    <t>'340250</t>
  </si>
  <si>
    <t>'570190</t>
  </si>
  <si>
    <t>'680990</t>
  </si>
  <si>
    <t>'620990</t>
  </si>
  <si>
    <t>'520641</t>
  </si>
  <si>
    <t>'030819</t>
  </si>
  <si>
    <t>'611692</t>
  </si>
  <si>
    <t>'621120</t>
  </si>
  <si>
    <t>'843880</t>
  </si>
  <si>
    <t>'190300</t>
  </si>
  <si>
    <t>'850511</t>
  </si>
  <si>
    <t>'902790</t>
  </si>
  <si>
    <t>'640510</t>
  </si>
  <si>
    <t>'870323</t>
  </si>
  <si>
    <t>'300590</t>
  </si>
  <si>
    <t>'847149</t>
  </si>
  <si>
    <t>'511230</t>
  </si>
  <si>
    <t>'121221</t>
  </si>
  <si>
    <t>'160556</t>
  </si>
  <si>
    <t>'841869</t>
  </si>
  <si>
    <t>'511119</t>
  </si>
  <si>
    <t>'581091</t>
  </si>
  <si>
    <t>'210112</t>
  </si>
  <si>
    <t>'030455</t>
  </si>
  <si>
    <t>'853641</t>
  </si>
  <si>
    <t>'620290</t>
  </si>
  <si>
    <t>'100310</t>
  </si>
  <si>
    <t>'731829</t>
  </si>
  <si>
    <t>'830249</t>
  </si>
  <si>
    <t>'630520</t>
  </si>
  <si>
    <t>'511190</t>
  </si>
  <si>
    <t>'731822</t>
  </si>
  <si>
    <t>'251690</t>
  </si>
  <si>
    <t>'090932</t>
  </si>
  <si>
    <t>'321410</t>
  </si>
  <si>
    <t>'450490</t>
  </si>
  <si>
    <t>'611300</t>
  </si>
  <si>
    <t>'960500</t>
  </si>
  <si>
    <t>'820750</t>
  </si>
  <si>
    <t>'610439</t>
  </si>
  <si>
    <t>'482110</t>
  </si>
  <si>
    <t>'842890</t>
  </si>
  <si>
    <t>'520531</t>
  </si>
  <si>
    <t>'650100</t>
  </si>
  <si>
    <t>'902710</t>
  </si>
  <si>
    <t>'630420</t>
  </si>
  <si>
    <t>'610331</t>
  </si>
  <si>
    <t>'610333</t>
  </si>
  <si>
    <t>'847170</t>
  </si>
  <si>
    <t>'411200</t>
  </si>
  <si>
    <t>'210410</t>
  </si>
  <si>
    <t>'660200</t>
  </si>
  <si>
    <t>'691110</t>
  </si>
  <si>
    <t>'560221</t>
  </si>
  <si>
    <t>'630222</t>
  </si>
  <si>
    <t>'940440</t>
  </si>
  <si>
    <t>'621230</t>
  </si>
  <si>
    <t>'610290</t>
  </si>
  <si>
    <t>'220840</t>
  </si>
  <si>
    <t>'030354</t>
  </si>
  <si>
    <t>'110100</t>
  </si>
  <si>
    <t>'843810</t>
  </si>
  <si>
    <t>'392520</t>
  </si>
  <si>
    <t>'611599</t>
  </si>
  <si>
    <t>'940542</t>
  </si>
  <si>
    <t>'841810</t>
  </si>
  <si>
    <t>'070890</t>
  </si>
  <si>
    <t>'620333</t>
  </si>
  <si>
    <t>'848049</t>
  </si>
  <si>
    <t>'490290</t>
  </si>
  <si>
    <t>'294200</t>
  </si>
  <si>
    <t>'841191</t>
  </si>
  <si>
    <t>'848250</t>
  </si>
  <si>
    <t>'910299</t>
  </si>
  <si>
    <t>'611249</t>
  </si>
  <si>
    <t>'511120</t>
  </si>
  <si>
    <t>'010619</t>
  </si>
  <si>
    <t>'320411</t>
  </si>
  <si>
    <t>'491110</t>
  </si>
  <si>
    <t>'240110</t>
  </si>
  <si>
    <t>'510620</t>
  </si>
  <si>
    <t>'870893</t>
  </si>
  <si>
    <t>'620412</t>
  </si>
  <si>
    <t>'481950</t>
  </si>
  <si>
    <t>'854442</t>
  </si>
  <si>
    <t>'940430</t>
  </si>
  <si>
    <t>'580127</t>
  </si>
  <si>
    <t>'611521</t>
  </si>
  <si>
    <t>'200880</t>
  </si>
  <si>
    <t>'420329</t>
  </si>
  <si>
    <t>'090412</t>
  </si>
  <si>
    <t>'441829</t>
  </si>
  <si>
    <t>'410719</t>
  </si>
  <si>
    <t>'151620</t>
  </si>
  <si>
    <t>'630419</t>
  </si>
  <si>
    <t>'620322</t>
  </si>
  <si>
    <t>'750300</t>
  </si>
  <si>
    <t>'846490</t>
  </si>
  <si>
    <t>'902820</t>
  </si>
  <si>
    <t>'320110</t>
  </si>
  <si>
    <t>'630532</t>
  </si>
  <si>
    <t>'854239</t>
  </si>
  <si>
    <t>'853890</t>
  </si>
  <si>
    <t>'420212</t>
  </si>
  <si>
    <t>'621111</t>
  </si>
  <si>
    <t>'560410</t>
  </si>
  <si>
    <t>'491000</t>
  </si>
  <si>
    <t>'620422</t>
  </si>
  <si>
    <t>'070511</t>
  </si>
  <si>
    <t>'970690</t>
  </si>
  <si>
    <t>'844331</t>
  </si>
  <si>
    <t>'321290</t>
  </si>
  <si>
    <t>'060230</t>
  </si>
  <si>
    <t>'030312</t>
  </si>
  <si>
    <t>'901320</t>
  </si>
  <si>
    <t>'071320</t>
  </si>
  <si>
    <t>'520829</t>
  </si>
  <si>
    <t>'691410</t>
  </si>
  <si>
    <t>'854190</t>
  </si>
  <si>
    <t>'611231</t>
  </si>
  <si>
    <t>'482390</t>
  </si>
  <si>
    <t>'030291</t>
  </si>
  <si>
    <t>'392610</t>
  </si>
  <si>
    <t>'961400</t>
  </si>
  <si>
    <t>'441490</t>
  </si>
  <si>
    <t>'391690</t>
  </si>
  <si>
    <t>'940330</t>
  </si>
  <si>
    <t>'391990</t>
  </si>
  <si>
    <t>'200961</t>
  </si>
  <si>
    <t>'090230</t>
  </si>
  <si>
    <t>'030479</t>
  </si>
  <si>
    <t>'482010</t>
  </si>
  <si>
    <t>'520420</t>
  </si>
  <si>
    <t>'940550</t>
  </si>
  <si>
    <t>'570299</t>
  </si>
  <si>
    <t>'848110</t>
  </si>
  <si>
    <t>'852872</t>
  </si>
  <si>
    <t>'152110</t>
  </si>
  <si>
    <t>'511130</t>
  </si>
  <si>
    <t>'090620</t>
  </si>
  <si>
    <t>'540261</t>
  </si>
  <si>
    <t>'848690</t>
  </si>
  <si>
    <t>'852352</t>
  </si>
  <si>
    <t>'732393</t>
  </si>
  <si>
    <t>'640299</t>
  </si>
  <si>
    <t>'901390</t>
  </si>
  <si>
    <t>'853180</t>
  </si>
  <si>
    <t>'490110</t>
  </si>
  <si>
    <t>'180200</t>
  </si>
  <si>
    <t>'621050</t>
  </si>
  <si>
    <t>'580210</t>
  </si>
  <si>
    <t>'853340</t>
  </si>
  <si>
    <t>'610422</t>
  </si>
  <si>
    <t>'732619</t>
  </si>
  <si>
    <t>'820810</t>
  </si>
  <si>
    <t>'821192</t>
  </si>
  <si>
    <t>'040690</t>
  </si>
  <si>
    <t>'350691</t>
  </si>
  <si>
    <t>'160510</t>
  </si>
  <si>
    <t>'392113</t>
  </si>
  <si>
    <t>'847710</t>
  </si>
  <si>
    <t>'843860</t>
  </si>
  <si>
    <t>'640220</t>
  </si>
  <si>
    <t>'630720</t>
  </si>
  <si>
    <t>'071390</t>
  </si>
  <si>
    <t>'440290</t>
  </si>
  <si>
    <t>'611610</t>
  </si>
  <si>
    <t>'560900</t>
  </si>
  <si>
    <t>'850164</t>
  </si>
  <si>
    <t>'843110</t>
  </si>
  <si>
    <t>'293690</t>
  </si>
  <si>
    <t>'510521</t>
  </si>
  <si>
    <t>'630253</t>
  </si>
  <si>
    <t>'620419</t>
  </si>
  <si>
    <t>'620719</t>
  </si>
  <si>
    <t>'090190</t>
  </si>
  <si>
    <t>'910221</t>
  </si>
  <si>
    <t>'844110</t>
  </si>
  <si>
    <t>'848230</t>
  </si>
  <si>
    <t>'621410</t>
  </si>
  <si>
    <t>'701328</t>
  </si>
  <si>
    <t>'090520</t>
  </si>
  <si>
    <t>'330190</t>
  </si>
  <si>
    <t>'853590</t>
  </si>
  <si>
    <t>'902680</t>
  </si>
  <si>
    <t>'650200</t>
  </si>
  <si>
    <t>'090619</t>
  </si>
  <si>
    <t>'030572</t>
  </si>
  <si>
    <t>'330520</t>
  </si>
  <si>
    <t>'580710</t>
  </si>
  <si>
    <t>'851130</t>
  </si>
  <si>
    <t>'850131</t>
  </si>
  <si>
    <t>'100790</t>
  </si>
  <si>
    <t>'080121</t>
  </si>
  <si>
    <t>'611530</t>
  </si>
  <si>
    <t>'730791</t>
  </si>
  <si>
    <t>'810296</t>
  </si>
  <si>
    <t>'732181</t>
  </si>
  <si>
    <t>'853650</t>
  </si>
  <si>
    <t>'650700</t>
  </si>
  <si>
    <t>'121150</t>
  </si>
  <si>
    <t>'960810</t>
  </si>
  <si>
    <t>'902300</t>
  </si>
  <si>
    <t>'620190</t>
  </si>
  <si>
    <t>'520611</t>
  </si>
  <si>
    <t>'270300</t>
  </si>
  <si>
    <t>'854231</t>
  </si>
  <si>
    <t>'902410</t>
  </si>
  <si>
    <t>'830621</t>
  </si>
  <si>
    <t>'902000</t>
  </si>
  <si>
    <t>'330690</t>
  </si>
  <si>
    <t>'091091</t>
  </si>
  <si>
    <t>'620451</t>
  </si>
  <si>
    <t>'090720</t>
  </si>
  <si>
    <t>'630539</t>
  </si>
  <si>
    <t>'847590</t>
  </si>
  <si>
    <t>'681519</t>
  </si>
  <si>
    <t>'843850</t>
  </si>
  <si>
    <t>'330610</t>
  </si>
  <si>
    <t>'220600</t>
  </si>
  <si>
    <t>'320619</t>
  </si>
  <si>
    <t>'920992</t>
  </si>
  <si>
    <t>'560890</t>
  </si>
  <si>
    <t>'851713</t>
  </si>
  <si>
    <t>'620822</t>
  </si>
  <si>
    <t>'731816</t>
  </si>
  <si>
    <t>'848299</t>
  </si>
  <si>
    <t>'851220</t>
  </si>
  <si>
    <t>'621790</t>
  </si>
  <si>
    <t>'620439</t>
  </si>
  <si>
    <t>'550961</t>
  </si>
  <si>
    <t>'080310</t>
  </si>
  <si>
    <t>'340600</t>
  </si>
  <si>
    <t>'440420</t>
  </si>
  <si>
    <t>'392620</t>
  </si>
  <si>
    <t>'010690</t>
  </si>
  <si>
    <t>'848710</t>
  </si>
  <si>
    <t>'850151</t>
  </si>
  <si>
    <t>'850490</t>
  </si>
  <si>
    <t>'854470</t>
  </si>
  <si>
    <t>'640411</t>
  </si>
  <si>
    <t>'940549</t>
  </si>
  <si>
    <t>'970122</t>
  </si>
  <si>
    <t>'530919</t>
  </si>
  <si>
    <t>'090710</t>
  </si>
  <si>
    <t>'420310</t>
  </si>
  <si>
    <t>'902580</t>
  </si>
  <si>
    <t>'610799</t>
  </si>
  <si>
    <t>'580620</t>
  </si>
  <si>
    <t>'721720</t>
  </si>
  <si>
    <t>'846620</t>
  </si>
  <si>
    <t>'330720</t>
  </si>
  <si>
    <t>'210230</t>
  </si>
  <si>
    <t>'293629</t>
  </si>
  <si>
    <t>'540248</t>
  </si>
  <si>
    <t>'920190</t>
  </si>
  <si>
    <t>'820540</t>
  </si>
  <si>
    <t>'850519</t>
  </si>
  <si>
    <t>'520949</t>
  </si>
  <si>
    <t>'460211</t>
  </si>
  <si>
    <t>'902920</t>
  </si>
  <si>
    <t>'382290</t>
  </si>
  <si>
    <t>'060314</t>
  </si>
  <si>
    <t>'250610</t>
  </si>
  <si>
    <t>'520411</t>
  </si>
  <si>
    <t>'581092</t>
  </si>
  <si>
    <t>'610829</t>
  </si>
  <si>
    <t>'841830</t>
  </si>
  <si>
    <t>'850431</t>
  </si>
  <si>
    <t>'851810</t>
  </si>
  <si>
    <t>'853510</t>
  </si>
  <si>
    <t>'840290</t>
  </si>
  <si>
    <t>'842131</t>
  </si>
  <si>
    <t>'591190</t>
  </si>
  <si>
    <t>'580632</t>
  </si>
  <si>
    <t>'500300</t>
  </si>
  <si>
    <t>'391739</t>
  </si>
  <si>
    <t>'940191</t>
  </si>
  <si>
    <t>'854430</t>
  </si>
  <si>
    <t>'940310</t>
  </si>
  <si>
    <t>'220422</t>
  </si>
  <si>
    <t>'440341</t>
  </si>
  <si>
    <t>'630299</t>
  </si>
  <si>
    <t>'620620</t>
  </si>
  <si>
    <t>'711610</t>
  </si>
  <si>
    <t>'853810</t>
  </si>
  <si>
    <t>'854449</t>
  </si>
  <si>
    <t>'640620</t>
  </si>
  <si>
    <t>'600590</t>
  </si>
  <si>
    <t>'611239</t>
  </si>
  <si>
    <t>'600320</t>
  </si>
  <si>
    <t>'630510</t>
  </si>
  <si>
    <t>'841620</t>
  </si>
  <si>
    <t>'840734</t>
  </si>
  <si>
    <t>'853110</t>
  </si>
  <si>
    <t>'761699</t>
  </si>
  <si>
    <t>'580790</t>
  </si>
  <si>
    <t>'400922</t>
  </si>
  <si>
    <t>'130190</t>
  </si>
  <si>
    <t>'560749</t>
  </si>
  <si>
    <t>'600536</t>
  </si>
  <si>
    <t>'600240</t>
  </si>
  <si>
    <t>'903010</t>
  </si>
  <si>
    <t>'901780</t>
  </si>
  <si>
    <t>'520849</t>
  </si>
  <si>
    <t>'401034</t>
  </si>
  <si>
    <t>'960830</t>
  </si>
  <si>
    <t>'960891</t>
  </si>
  <si>
    <t>'170199</t>
  </si>
  <si>
    <t>'420211</t>
  </si>
  <si>
    <t>'630391</t>
  </si>
  <si>
    <t>'621390</t>
  </si>
  <si>
    <t>'630259</t>
  </si>
  <si>
    <t>'610413</t>
  </si>
  <si>
    <t>'520543</t>
  </si>
  <si>
    <t>'841381</t>
  </si>
  <si>
    <t>'110422</t>
  </si>
  <si>
    <t>'610719</t>
  </si>
  <si>
    <t>'820551</t>
  </si>
  <si>
    <t>'600690</t>
  </si>
  <si>
    <t>'630800</t>
  </si>
  <si>
    <t>'600624</t>
  </si>
  <si>
    <t>'580610</t>
  </si>
  <si>
    <t>'620722</t>
  </si>
  <si>
    <t>'391810</t>
  </si>
  <si>
    <t>'630251</t>
  </si>
  <si>
    <t>'521039</t>
  </si>
  <si>
    <t>'620349</t>
  </si>
  <si>
    <t>'600610</t>
  </si>
  <si>
    <t>'400912</t>
  </si>
  <si>
    <t>'940519</t>
  </si>
  <si>
    <t>'610322</t>
  </si>
  <si>
    <t>'600539</t>
  </si>
  <si>
    <t>'620339</t>
  </si>
  <si>
    <t>'620311</t>
  </si>
  <si>
    <t>'940429</t>
  </si>
  <si>
    <t>'961900</t>
  </si>
  <si>
    <t>'620819</t>
  </si>
  <si>
    <t>'630900</t>
  </si>
  <si>
    <t>'392190</t>
  </si>
  <si>
    <t>'400911</t>
  </si>
  <si>
    <t>'650691</t>
  </si>
  <si>
    <t>'660199</t>
  </si>
  <si>
    <t>'510810</t>
  </si>
  <si>
    <t>'600622</t>
  </si>
  <si>
    <t>'600642</t>
  </si>
  <si>
    <t>'400932</t>
  </si>
  <si>
    <t>'940561</t>
  </si>
  <si>
    <t>'560790</t>
  </si>
  <si>
    <t>'511000</t>
  </si>
  <si>
    <t>'630399</t>
  </si>
  <si>
    <t>'621040</t>
  </si>
  <si>
    <t>'390430</t>
  </si>
  <si>
    <t>'390599</t>
  </si>
  <si>
    <t>'390610</t>
  </si>
  <si>
    <t>'390710</t>
  </si>
  <si>
    <t>'390729</t>
  </si>
  <si>
    <t>'390940</t>
  </si>
  <si>
    <t>'391211</t>
  </si>
  <si>
    <t>'391310</t>
  </si>
  <si>
    <t>'391723</t>
  </si>
  <si>
    <t>'392051</t>
  </si>
  <si>
    <t>'392069</t>
  </si>
  <si>
    <t>'392111</t>
  </si>
  <si>
    <t>'392210</t>
  </si>
  <si>
    <t>'400121</t>
  </si>
  <si>
    <t>'400700</t>
  </si>
  <si>
    <t>'400941</t>
  </si>
  <si>
    <t>'401031</t>
  </si>
  <si>
    <t>'401140</t>
  </si>
  <si>
    <t>'401162</t>
  </si>
  <si>
    <t>'340211</t>
  </si>
  <si>
    <t>'340220</t>
  </si>
  <si>
    <t>'340242</t>
  </si>
  <si>
    <t>'350699</t>
  </si>
  <si>
    <t>'360410</t>
  </si>
  <si>
    <t>'360610</t>
  </si>
  <si>
    <t>'370110</t>
  </si>
  <si>
    <t>'370253</t>
  </si>
  <si>
    <t>'370294</t>
  </si>
  <si>
    <t>'370297</t>
  </si>
  <si>
    <t>'380300</t>
  </si>
  <si>
    <t>'380861</t>
  </si>
  <si>
    <t>'381119</t>
  </si>
  <si>
    <t>'381210</t>
  </si>
  <si>
    <t>'381300</t>
  </si>
  <si>
    <t>'382211</t>
  </si>
  <si>
    <t>'382410</t>
  </si>
  <si>
    <t>'382475</t>
  </si>
  <si>
    <t>'382476</t>
  </si>
  <si>
    <t>'382569</t>
  </si>
  <si>
    <t>'382731</t>
  </si>
  <si>
    <t>'382751</t>
  </si>
  <si>
    <t>'382763</t>
  </si>
  <si>
    <t>'390140</t>
  </si>
  <si>
    <t>'440719</t>
  </si>
  <si>
    <t>'441192</t>
  </si>
  <si>
    <t>'441193</t>
  </si>
  <si>
    <t>'441232</t>
  </si>
  <si>
    <t>'441810</t>
  </si>
  <si>
    <t>'441811</t>
  </si>
  <si>
    <t>'420321</t>
  </si>
  <si>
    <t>'430220</t>
  </si>
  <si>
    <t>'410390</t>
  </si>
  <si>
    <t>'410621</t>
  </si>
  <si>
    <t>'410640</t>
  </si>
  <si>
    <t>'420219</t>
  </si>
  <si>
    <t>'210120</t>
  </si>
  <si>
    <t>'391731</t>
  </si>
  <si>
    <t>'391890</t>
  </si>
  <si>
    <t>'482020</t>
  </si>
  <si>
    <t>'482050</t>
  </si>
  <si>
    <t>'482361</t>
  </si>
  <si>
    <t>'481022</t>
  </si>
  <si>
    <t>'440320</t>
  </si>
  <si>
    <t>'441850</t>
  </si>
  <si>
    <t>'441872</t>
  </si>
  <si>
    <t>'441900</t>
  </si>
  <si>
    <t>'441920</t>
  </si>
  <si>
    <t>'460129</t>
  </si>
  <si>
    <t>'470200</t>
  </si>
  <si>
    <t>'470329</t>
  </si>
  <si>
    <t>'480449</t>
  </si>
  <si>
    <t>'480593</t>
  </si>
  <si>
    <t>'480610</t>
  </si>
  <si>
    <t>'220710</t>
  </si>
  <si>
    <t>'321310</t>
  </si>
  <si>
    <t>'321390</t>
  </si>
  <si>
    <t>'330420</t>
  </si>
  <si>
    <t>'300692</t>
  </si>
  <si>
    <t>'310221</t>
  </si>
  <si>
    <t>'310290</t>
  </si>
  <si>
    <t>'310540</t>
  </si>
  <si>
    <t>'310560</t>
  </si>
  <si>
    <t>'320412</t>
  </si>
  <si>
    <t>'320415</t>
  </si>
  <si>
    <t>'320650</t>
  </si>
  <si>
    <t>'230230</t>
  </si>
  <si>
    <t>'230800</t>
  </si>
  <si>
    <t>'230910</t>
  </si>
  <si>
    <t>'240492</t>
  </si>
  <si>
    <t>'250300</t>
  </si>
  <si>
    <t>'250490</t>
  </si>
  <si>
    <t>'250830</t>
  </si>
  <si>
    <t>'250840</t>
  </si>
  <si>
    <t>'251320</t>
  </si>
  <si>
    <t>'251520</t>
  </si>
  <si>
    <t>'251810</t>
  </si>
  <si>
    <t>'251990</t>
  </si>
  <si>
    <t>'252020</t>
  </si>
  <si>
    <t>'252329</t>
  </si>
  <si>
    <t>'252330</t>
  </si>
  <si>
    <t>'260600</t>
  </si>
  <si>
    <t>'260700</t>
  </si>
  <si>
    <t>'262190</t>
  </si>
  <si>
    <t>'270119</t>
  </si>
  <si>
    <t>'270120</t>
  </si>
  <si>
    <t>'270740</t>
  </si>
  <si>
    <t>'270791</t>
  </si>
  <si>
    <t>'270810</t>
  </si>
  <si>
    <t>'121160</t>
  </si>
  <si>
    <t>'121293</t>
  </si>
  <si>
    <t>'121410</t>
  </si>
  <si>
    <t>'140120</t>
  </si>
  <si>
    <t>'140420</t>
  </si>
  <si>
    <t>'150790</t>
  </si>
  <si>
    <t>'150910</t>
  </si>
  <si>
    <t>'151010</t>
  </si>
  <si>
    <t>'151219</t>
  </si>
  <si>
    <t>'100810</t>
  </si>
  <si>
    <t>'120922</t>
  </si>
  <si>
    <t>'120923</t>
  </si>
  <si>
    <t>'160555</t>
  </si>
  <si>
    <t>'160530</t>
  </si>
  <si>
    <t>'110720</t>
  </si>
  <si>
    <t>'120600</t>
  </si>
  <si>
    <t>'200791</t>
  </si>
  <si>
    <t>'200893</t>
  </si>
  <si>
    <t>'190430</t>
  </si>
  <si>
    <t>'040819</t>
  </si>
  <si>
    <t>'041090</t>
  </si>
  <si>
    <t>'051000</t>
  </si>
  <si>
    <t>'051110</t>
  </si>
  <si>
    <t>'070390</t>
  </si>
  <si>
    <t>'070970</t>
  </si>
  <si>
    <t>'030812</t>
  </si>
  <si>
    <t>'040120</t>
  </si>
  <si>
    <t>'040150</t>
  </si>
  <si>
    <t>'040210</t>
  </si>
  <si>
    <t>'040490</t>
  </si>
  <si>
    <t>'040590</t>
  </si>
  <si>
    <t>'040630</t>
  </si>
  <si>
    <t>'071231</t>
  </si>
  <si>
    <t>'071232</t>
  </si>
  <si>
    <t>'090411</t>
  </si>
  <si>
    <t>'090921</t>
  </si>
  <si>
    <t>'090922</t>
  </si>
  <si>
    <t>'091020</t>
  </si>
  <si>
    <t>'071430</t>
  </si>
  <si>
    <t>'071440</t>
  </si>
  <si>
    <t>'071450</t>
  </si>
  <si>
    <t>'080119</t>
  </si>
  <si>
    <t>'080242</t>
  </si>
  <si>
    <t>'080270</t>
  </si>
  <si>
    <t>'080711</t>
  </si>
  <si>
    <t>'081020</t>
  </si>
  <si>
    <t>'081060</t>
  </si>
  <si>
    <t>'030633</t>
  </si>
  <si>
    <t>'030739</t>
  </si>
  <si>
    <t>'030782</t>
  </si>
  <si>
    <t>'030783</t>
  </si>
  <si>
    <t>'030383</t>
  </si>
  <si>
    <t>'030446</t>
  </si>
  <si>
    <t>'030447</t>
  </si>
  <si>
    <t>'030451</t>
  </si>
  <si>
    <t>'030454</t>
  </si>
  <si>
    <t>'030491</t>
  </si>
  <si>
    <t>'030492</t>
  </si>
  <si>
    <t>'030554</t>
  </si>
  <si>
    <t>'030614</t>
  </si>
  <si>
    <t>'020990</t>
  </si>
  <si>
    <t>'021019</t>
  </si>
  <si>
    <t>'021091</t>
  </si>
  <si>
    <t>'030191</t>
  </si>
  <si>
    <t>'030219</t>
  </si>
  <si>
    <t>'030235</t>
  </si>
  <si>
    <t>'030236</t>
  </si>
  <si>
    <t>'030254</t>
  </si>
  <si>
    <t>'030273</t>
  </si>
  <si>
    <t>'030279</t>
  </si>
  <si>
    <t>'030281</t>
  </si>
  <si>
    <t>'030333</t>
  </si>
  <si>
    <t>'010190</t>
  </si>
  <si>
    <t>'010392</t>
  </si>
  <si>
    <t>'010611</t>
  </si>
  <si>
    <t>'010649</t>
  </si>
  <si>
    <t>'020311</t>
  </si>
  <si>
    <t>'020450</t>
  </si>
  <si>
    <t>'020754</t>
  </si>
  <si>
    <t>'020810</t>
  </si>
  <si>
    <t>'271111</t>
  </si>
  <si>
    <t>'271112</t>
  </si>
  <si>
    <t>'280450</t>
  </si>
  <si>
    <t>'280480</t>
  </si>
  <si>
    <t>'280530</t>
  </si>
  <si>
    <t>'280800</t>
  </si>
  <si>
    <t>'280910</t>
  </si>
  <si>
    <t>'281121</t>
  </si>
  <si>
    <t>'281211</t>
  </si>
  <si>
    <t>'281390</t>
  </si>
  <si>
    <t>'281410</t>
  </si>
  <si>
    <t>'281530</t>
  </si>
  <si>
    <t>'282490</t>
  </si>
  <si>
    <t>'282530</t>
  </si>
  <si>
    <t>'282619</t>
  </si>
  <si>
    <t>'282690</t>
  </si>
  <si>
    <t>'282749</t>
  </si>
  <si>
    <t>'282810</t>
  </si>
  <si>
    <t>'283110</t>
  </si>
  <si>
    <t>'283220</t>
  </si>
  <si>
    <t>'283319</t>
  </si>
  <si>
    <t>'283322</t>
  </si>
  <si>
    <t>'283340</t>
  </si>
  <si>
    <t>'283525</t>
  </si>
  <si>
    <t>'283526</t>
  </si>
  <si>
    <t>'283531</t>
  </si>
  <si>
    <t>'283620</t>
  </si>
  <si>
    <t>'283660</t>
  </si>
  <si>
    <t>'283711</t>
  </si>
  <si>
    <t>'283990</t>
  </si>
  <si>
    <t>'284180</t>
  </si>
  <si>
    <t>'290110</t>
  </si>
  <si>
    <t>'290121</t>
  </si>
  <si>
    <t>'290124</t>
  </si>
  <si>
    <t>'290220</t>
  </si>
  <si>
    <t>'290242</t>
  </si>
  <si>
    <t>'290243</t>
  </si>
  <si>
    <t>'290312</t>
  </si>
  <si>
    <t>'290362</t>
  </si>
  <si>
    <t>'290374</t>
  </si>
  <si>
    <t>'290434</t>
  </si>
  <si>
    <t>'290542</t>
  </si>
  <si>
    <t>'290543</t>
  </si>
  <si>
    <t>'290619</t>
  </si>
  <si>
    <t>'290719</t>
  </si>
  <si>
    <t>'290811</t>
  </si>
  <si>
    <t>'290960</t>
  </si>
  <si>
    <t>'291211</t>
  </si>
  <si>
    <t>'291462</t>
  </si>
  <si>
    <t>'291470</t>
  </si>
  <si>
    <t>'291471</t>
  </si>
  <si>
    <t>'291513</t>
  </si>
  <si>
    <t>'291539</t>
  </si>
  <si>
    <t>'291615</t>
  </si>
  <si>
    <t>'291720</t>
  </si>
  <si>
    <t>'291813</t>
  </si>
  <si>
    <t>'291814</t>
  </si>
  <si>
    <t>'292011</t>
  </si>
  <si>
    <t>'292211</t>
  </si>
  <si>
    <t>'292250</t>
  </si>
  <si>
    <t>'292412</t>
  </si>
  <si>
    <t>'292429</t>
  </si>
  <si>
    <t>'292512</t>
  </si>
  <si>
    <t>'292640</t>
  </si>
  <si>
    <t>'292700</t>
  </si>
  <si>
    <t>'293020</t>
  </si>
  <si>
    <t>'293070</t>
  </si>
  <si>
    <t>'293135</t>
  </si>
  <si>
    <t>'293143</t>
  </si>
  <si>
    <t>'293190</t>
  </si>
  <si>
    <t>'293219</t>
  </si>
  <si>
    <t>'293331</t>
  </si>
  <si>
    <t>'293332</t>
  </si>
  <si>
    <t>'293341</t>
  </si>
  <si>
    <t>'293355</t>
  </si>
  <si>
    <t>'293420</t>
  </si>
  <si>
    <t>'293491</t>
  </si>
  <si>
    <t>'293627</t>
  </si>
  <si>
    <t>'293790</t>
  </si>
  <si>
    <t>'293971</t>
  </si>
  <si>
    <t>'293972</t>
  </si>
  <si>
    <t>'294110</t>
  </si>
  <si>
    <t>'294190</t>
  </si>
  <si>
    <t>'300190</t>
  </si>
  <si>
    <t>'300210</t>
  </si>
  <si>
    <t>'300390</t>
  </si>
  <si>
    <t>'300440</t>
  </si>
  <si>
    <t>'621020</t>
  </si>
  <si>
    <t>'620199</t>
  </si>
  <si>
    <t>'620211</t>
  </si>
  <si>
    <t>'630690</t>
  </si>
  <si>
    <t>'630710</t>
  </si>
  <si>
    <t>'631090</t>
  </si>
  <si>
    <t>'640110</t>
  </si>
  <si>
    <t>'660320</t>
  </si>
  <si>
    <t>'670210</t>
  </si>
  <si>
    <t>'670290</t>
  </si>
  <si>
    <t>'680300</t>
  </si>
  <si>
    <t>'720110</t>
  </si>
  <si>
    <t>'720429</t>
  </si>
  <si>
    <t>'720450</t>
  </si>
  <si>
    <t>'720890</t>
  </si>
  <si>
    <t>'720916</t>
  </si>
  <si>
    <t>'721049</t>
  </si>
  <si>
    <t>'721050</t>
  </si>
  <si>
    <t>'721123</t>
  </si>
  <si>
    <t>'721230</t>
  </si>
  <si>
    <t>'721240</t>
  </si>
  <si>
    <t>'721320</t>
  </si>
  <si>
    <t>'721391</t>
  </si>
  <si>
    <t>'721499</t>
  </si>
  <si>
    <t>'721730</t>
  </si>
  <si>
    <t>'721921</t>
  </si>
  <si>
    <t>'721933</t>
  </si>
  <si>
    <t>'721934</t>
  </si>
  <si>
    <t>'722090</t>
  </si>
  <si>
    <t>'722511</t>
  </si>
  <si>
    <t>'722860</t>
  </si>
  <si>
    <t>'722990</t>
  </si>
  <si>
    <t>'730210</t>
  </si>
  <si>
    <t>'730240</t>
  </si>
  <si>
    <t>'730424</t>
  </si>
  <si>
    <t>'730439</t>
  </si>
  <si>
    <t>'730512</t>
  </si>
  <si>
    <t>'730519</t>
  </si>
  <si>
    <t>'730690</t>
  </si>
  <si>
    <t>'680790</t>
  </si>
  <si>
    <t>'681181</t>
  </si>
  <si>
    <t>'681490</t>
  </si>
  <si>
    <t>'700330</t>
  </si>
  <si>
    <t>'700420</t>
  </si>
  <si>
    <t>'700991</t>
  </si>
  <si>
    <t>'701120</t>
  </si>
  <si>
    <t>'701510</t>
  </si>
  <si>
    <t>'701912</t>
  </si>
  <si>
    <t>'701915</t>
  </si>
  <si>
    <t>'701940</t>
  </si>
  <si>
    <t>'701971</t>
  </si>
  <si>
    <t>'701980</t>
  </si>
  <si>
    <t>'701990</t>
  </si>
  <si>
    <t>'710110</t>
  </si>
  <si>
    <t>'710122</t>
  </si>
  <si>
    <t>'710590</t>
  </si>
  <si>
    <t>'710900</t>
  </si>
  <si>
    <t>'711230</t>
  </si>
  <si>
    <t>'520521</t>
  </si>
  <si>
    <t>'520524</t>
  </si>
  <si>
    <t>'520544</t>
  </si>
  <si>
    <t>'520621</t>
  </si>
  <si>
    <t>'520624</t>
  </si>
  <si>
    <t>'520812</t>
  </si>
  <si>
    <t>'520839</t>
  </si>
  <si>
    <t>'520851</t>
  </si>
  <si>
    <t>'520943</t>
  </si>
  <si>
    <t>'521021</t>
  </si>
  <si>
    <t>'521032</t>
  </si>
  <si>
    <t>'521049</t>
  </si>
  <si>
    <t>'521141</t>
  </si>
  <si>
    <t>'521213</t>
  </si>
  <si>
    <t>'530310</t>
  </si>
  <si>
    <t>'530820</t>
  </si>
  <si>
    <t>'530890</t>
  </si>
  <si>
    <t>'540211</t>
  </si>
  <si>
    <t>'540220</t>
  </si>
  <si>
    <t>'540349</t>
  </si>
  <si>
    <t>'540782</t>
  </si>
  <si>
    <t>'550190</t>
  </si>
  <si>
    <t>'550210</t>
  </si>
  <si>
    <t>'550319</t>
  </si>
  <si>
    <t>'550410</t>
  </si>
  <si>
    <t>'550690</t>
  </si>
  <si>
    <t>'550810</t>
  </si>
  <si>
    <t>'550922</t>
  </si>
  <si>
    <t>'550999</t>
  </si>
  <si>
    <t>'551229</t>
  </si>
  <si>
    <t>'551339</t>
  </si>
  <si>
    <t>'551511</t>
  </si>
  <si>
    <t>'551521</t>
  </si>
  <si>
    <t>'551529</t>
  </si>
  <si>
    <t>'551591</t>
  </si>
  <si>
    <t>'551612</t>
  </si>
  <si>
    <t>'551632</t>
  </si>
  <si>
    <t>'551633</t>
  </si>
  <si>
    <t>'551691</t>
  </si>
  <si>
    <t>'551694</t>
  </si>
  <si>
    <t>'560129</t>
  </si>
  <si>
    <t>'580131</t>
  </si>
  <si>
    <t>'580136</t>
  </si>
  <si>
    <t>'581010</t>
  </si>
  <si>
    <t>'590691</t>
  </si>
  <si>
    <t>'590800</t>
  </si>
  <si>
    <t>'590900</t>
  </si>
  <si>
    <t>'600532</t>
  </si>
  <si>
    <t>'600542</t>
  </si>
  <si>
    <t>'600641</t>
  </si>
  <si>
    <t>'510121</t>
  </si>
  <si>
    <t>'510310</t>
  </si>
  <si>
    <t>'510330</t>
  </si>
  <si>
    <t>'481720</t>
  </si>
  <si>
    <t>'560490</t>
  </si>
  <si>
    <t>'560500</t>
  </si>
  <si>
    <t>'560391</t>
  </si>
  <si>
    <t>'570321</t>
  </si>
  <si>
    <t>'580110</t>
  </si>
  <si>
    <t>'570239</t>
  </si>
  <si>
    <t>'860120</t>
  </si>
  <si>
    <t>'860730</t>
  </si>
  <si>
    <t>'870192</t>
  </si>
  <si>
    <t>'870193</t>
  </si>
  <si>
    <t>'853222</t>
  </si>
  <si>
    <t>'853230</t>
  </si>
  <si>
    <t>'853390</t>
  </si>
  <si>
    <t>'853530</t>
  </si>
  <si>
    <t>'853929</t>
  </si>
  <si>
    <t>'854012</t>
  </si>
  <si>
    <t>'854110</t>
  </si>
  <si>
    <t>'854140</t>
  </si>
  <si>
    <t>'854141</t>
  </si>
  <si>
    <t>'854159</t>
  </si>
  <si>
    <t>'854310</t>
  </si>
  <si>
    <t>'852721</t>
  </si>
  <si>
    <t>'852791</t>
  </si>
  <si>
    <t>'852842</t>
  </si>
  <si>
    <t>'852869</t>
  </si>
  <si>
    <t>'852873</t>
  </si>
  <si>
    <t>'843510</t>
  </si>
  <si>
    <t>'843061</t>
  </si>
  <si>
    <t>'851310</t>
  </si>
  <si>
    <t>'851390</t>
  </si>
  <si>
    <t>'851432</t>
  </si>
  <si>
    <t>'851829</t>
  </si>
  <si>
    <t>'851890</t>
  </si>
  <si>
    <t>'851950</t>
  </si>
  <si>
    <t>'852499</t>
  </si>
  <si>
    <t>'847230</t>
  </si>
  <si>
    <t>'847329</t>
  </si>
  <si>
    <t>'847420</t>
  </si>
  <si>
    <t>'847529</t>
  </si>
  <si>
    <t>'847681</t>
  </si>
  <si>
    <t>'847790</t>
  </si>
  <si>
    <t>'847890</t>
  </si>
  <si>
    <t>'848590</t>
  </si>
  <si>
    <t>'848610</t>
  </si>
  <si>
    <t>'850152</t>
  </si>
  <si>
    <t>'850590</t>
  </si>
  <si>
    <t>'850730</t>
  </si>
  <si>
    <t>'850811</t>
  </si>
  <si>
    <t>'851010</t>
  </si>
  <si>
    <t>'843691</t>
  </si>
  <si>
    <t>'844250</t>
  </si>
  <si>
    <t>'844339</t>
  </si>
  <si>
    <t>'844519</t>
  </si>
  <si>
    <t>'844520</t>
  </si>
  <si>
    <t>'844842</t>
  </si>
  <si>
    <t>'844849</t>
  </si>
  <si>
    <t>'845210</t>
  </si>
  <si>
    <t>'845430</t>
  </si>
  <si>
    <t>'845530</t>
  </si>
  <si>
    <t>'845590</t>
  </si>
  <si>
    <t>'845612</t>
  </si>
  <si>
    <t>'845710</t>
  </si>
  <si>
    <t>'845720</t>
  </si>
  <si>
    <t>'845899</t>
  </si>
  <si>
    <t>'845940</t>
  </si>
  <si>
    <t>'846029</t>
  </si>
  <si>
    <t>'846120</t>
  </si>
  <si>
    <t>'846130</t>
  </si>
  <si>
    <t>'846140</t>
  </si>
  <si>
    <t>'846211</t>
  </si>
  <si>
    <t>'846221</t>
  </si>
  <si>
    <t>'846239</t>
  </si>
  <si>
    <t>'846249</t>
  </si>
  <si>
    <t>'846299</t>
  </si>
  <si>
    <t>'846520</t>
  </si>
  <si>
    <t>'846593</t>
  </si>
  <si>
    <t>'846594</t>
  </si>
  <si>
    <t>'732211</t>
  </si>
  <si>
    <t>'732391</t>
  </si>
  <si>
    <t>'732429</t>
  </si>
  <si>
    <t>'731511</t>
  </si>
  <si>
    <t>'731813</t>
  </si>
  <si>
    <t>'731414</t>
  </si>
  <si>
    <t>'731420</t>
  </si>
  <si>
    <t>'741980</t>
  </si>
  <si>
    <t>'750220</t>
  </si>
  <si>
    <t>'760711</t>
  </si>
  <si>
    <t>'760820</t>
  </si>
  <si>
    <t>'761490</t>
  </si>
  <si>
    <t>'761691</t>
  </si>
  <si>
    <t>'780411</t>
  </si>
  <si>
    <t>'780420</t>
  </si>
  <si>
    <t>'790400</t>
  </si>
  <si>
    <t>'800300</t>
  </si>
  <si>
    <t>'810196</t>
  </si>
  <si>
    <t>'810419</t>
  </si>
  <si>
    <t>'810490</t>
  </si>
  <si>
    <t>'810530</t>
  </si>
  <si>
    <t>'810720</t>
  </si>
  <si>
    <t>'810820</t>
  </si>
  <si>
    <t>'810929</t>
  </si>
  <si>
    <t>'811090</t>
  </si>
  <si>
    <t>'811251</t>
  </si>
  <si>
    <t>'820150</t>
  </si>
  <si>
    <t>'820220</t>
  </si>
  <si>
    <t>'820330</t>
  </si>
  <si>
    <t>'820340</t>
  </si>
  <si>
    <t>'820520</t>
  </si>
  <si>
    <t>'820780</t>
  </si>
  <si>
    <t>'821300</t>
  </si>
  <si>
    <t>'821520</t>
  </si>
  <si>
    <t>'830170</t>
  </si>
  <si>
    <t>'830260</t>
  </si>
  <si>
    <t>'830520</t>
  </si>
  <si>
    <t>'830790</t>
  </si>
  <si>
    <t>'820820</t>
  </si>
  <si>
    <t>'820840</t>
  </si>
  <si>
    <t>'821191</t>
  </si>
  <si>
    <t>'840310</t>
  </si>
  <si>
    <t>'840420</t>
  </si>
  <si>
    <t>'840490</t>
  </si>
  <si>
    <t>'840681</t>
  </si>
  <si>
    <t>'840731</t>
  </si>
  <si>
    <t>'842539</t>
  </si>
  <si>
    <t>'842549</t>
  </si>
  <si>
    <t>'842831</t>
  </si>
  <si>
    <t>'842840</t>
  </si>
  <si>
    <t>'842911</t>
  </si>
  <si>
    <t>'843010</t>
  </si>
  <si>
    <t>'841821</t>
  </si>
  <si>
    <t>'841960</t>
  </si>
  <si>
    <t>'841990</t>
  </si>
  <si>
    <t>'842191</t>
  </si>
  <si>
    <t>'842211</t>
  </si>
  <si>
    <t>'842310</t>
  </si>
  <si>
    <t>'841382</t>
  </si>
  <si>
    <t>'841451</t>
  </si>
  <si>
    <t>'841460</t>
  </si>
  <si>
    <t>'841590</t>
  </si>
  <si>
    <t>'841210</t>
  </si>
  <si>
    <t>'841231</t>
  </si>
  <si>
    <t>'841319</t>
  </si>
  <si>
    <t>'940210</t>
  </si>
  <si>
    <t>'950621</t>
  </si>
  <si>
    <t>'960340</t>
  </si>
  <si>
    <t>'960610</t>
  </si>
  <si>
    <t>'960630</t>
  </si>
  <si>
    <t>'940139</t>
  </si>
  <si>
    <t>'940149</t>
  </si>
  <si>
    <t>'848010</t>
  </si>
  <si>
    <t>'848050</t>
  </si>
  <si>
    <t>'901590</t>
  </si>
  <si>
    <t>'901831</t>
  </si>
  <si>
    <t>'902139</t>
  </si>
  <si>
    <t>'902221</t>
  </si>
  <si>
    <t>'902230</t>
  </si>
  <si>
    <t>'960840</t>
  </si>
  <si>
    <t>'961100</t>
  </si>
  <si>
    <t>'961210</t>
  </si>
  <si>
    <t>'961511</t>
  </si>
  <si>
    <t>'962000</t>
  </si>
  <si>
    <t>'970110</t>
  </si>
  <si>
    <t>'970192</t>
  </si>
  <si>
    <t>'870331</t>
  </si>
  <si>
    <t>'870340</t>
  </si>
  <si>
    <t>'870410</t>
  </si>
  <si>
    <t>'870423</t>
  </si>
  <si>
    <t>'870530</t>
  </si>
  <si>
    <t>'870590</t>
  </si>
  <si>
    <t>'870895</t>
  </si>
  <si>
    <t>'870911</t>
  </si>
  <si>
    <t>'871150</t>
  </si>
  <si>
    <t>'871410</t>
  </si>
  <si>
    <t>'871499</t>
  </si>
  <si>
    <t>'871680</t>
  </si>
  <si>
    <t>'880212</t>
  </si>
  <si>
    <t>'880330</t>
  </si>
  <si>
    <t>'880694</t>
  </si>
  <si>
    <t>'903090</t>
  </si>
  <si>
    <t>'903281</t>
  </si>
  <si>
    <t>'910521</t>
  </si>
  <si>
    <t>'910610</t>
  </si>
  <si>
    <t>'910690</t>
  </si>
  <si>
    <t>'910820</t>
  </si>
  <si>
    <t>'911120</t>
  </si>
  <si>
    <t>'911310</t>
  </si>
  <si>
    <t>'930200</t>
  </si>
  <si>
    <t>'930400</t>
  </si>
  <si>
    <t>'930690</t>
  </si>
  <si>
    <t>'890590</t>
  </si>
  <si>
    <t>'890790</t>
  </si>
  <si>
    <t>'900219</t>
  </si>
  <si>
    <t>'900630</t>
  </si>
  <si>
    <t>'900653</t>
  </si>
  <si>
    <t>'900791</t>
  </si>
  <si>
    <t>'901110</t>
  </si>
  <si>
    <t>'901210</t>
  </si>
  <si>
    <t>'940592</t>
  </si>
  <si>
    <t>'940530</t>
  </si>
  <si>
    <t>'960860</t>
  </si>
  <si>
    <t>'961310</t>
  </si>
  <si>
    <t>'970210</t>
  </si>
  <si>
    <t>'970300</t>
  </si>
  <si>
    <t>'950619</t>
  </si>
  <si>
    <t>'950639</t>
  </si>
  <si>
    <t>'950691</t>
  </si>
  <si>
    <t>'950720</t>
  </si>
  <si>
    <t>'950790</t>
  </si>
  <si>
    <t>'950825</t>
  </si>
  <si>
    <t>'950840</t>
  </si>
  <si>
    <t>'401035</t>
  </si>
  <si>
    <t>'400110</t>
  </si>
  <si>
    <t>'400241</t>
  </si>
  <si>
    <t>'400400</t>
  </si>
  <si>
    <t>'400690</t>
  </si>
  <si>
    <t>'400811</t>
  </si>
  <si>
    <t>'392030</t>
  </si>
  <si>
    <t>'392063</t>
  </si>
  <si>
    <t>'392114</t>
  </si>
  <si>
    <t>'390791</t>
  </si>
  <si>
    <t>'390910</t>
  </si>
  <si>
    <t>'390930</t>
  </si>
  <si>
    <t>'390950</t>
  </si>
  <si>
    <t>'391231</t>
  </si>
  <si>
    <t>'321490</t>
  </si>
  <si>
    <t>'282570</t>
  </si>
  <si>
    <t>'300691</t>
  </si>
  <si>
    <t>'310240</t>
  </si>
  <si>
    <t>'310280</t>
  </si>
  <si>
    <t>'310390</t>
  </si>
  <si>
    <t>'310520</t>
  </si>
  <si>
    <t>'320417</t>
  </si>
  <si>
    <t>'340212</t>
  </si>
  <si>
    <t>'340391</t>
  </si>
  <si>
    <t>'340540</t>
  </si>
  <si>
    <t>'350710</t>
  </si>
  <si>
    <t>'360310</t>
  </si>
  <si>
    <t>'390320</t>
  </si>
  <si>
    <t>'390410</t>
  </si>
  <si>
    <t>'390421</t>
  </si>
  <si>
    <t>'281214</t>
  </si>
  <si>
    <t>'281215</t>
  </si>
  <si>
    <t>'281910</t>
  </si>
  <si>
    <t>'282300</t>
  </si>
  <si>
    <t>'230320</t>
  </si>
  <si>
    <t>'230610</t>
  </si>
  <si>
    <t>'230660</t>
  </si>
  <si>
    <t>'240210</t>
  </si>
  <si>
    <t>'240311</t>
  </si>
  <si>
    <t>'293920</t>
  </si>
  <si>
    <t>'293930</t>
  </si>
  <si>
    <t>'293941</t>
  </si>
  <si>
    <t>'293942</t>
  </si>
  <si>
    <t>'293951</t>
  </si>
  <si>
    <t>'294150</t>
  </si>
  <si>
    <t>'300211</t>
  </si>
  <si>
    <t>'300242</t>
  </si>
  <si>
    <t>'300251</t>
  </si>
  <si>
    <t>'300343</t>
  </si>
  <si>
    <t>'300431</t>
  </si>
  <si>
    <t>'300443</t>
  </si>
  <si>
    <t>'300450</t>
  </si>
  <si>
    <t>'360690</t>
  </si>
  <si>
    <t>'370199</t>
  </si>
  <si>
    <t>'370231</t>
  </si>
  <si>
    <t>'370252</t>
  </si>
  <si>
    <t>'370590</t>
  </si>
  <si>
    <t>'380290</t>
  </si>
  <si>
    <t>'380862</t>
  </si>
  <si>
    <t>'380899</t>
  </si>
  <si>
    <t>'380910</t>
  </si>
  <si>
    <t>'380993</t>
  </si>
  <si>
    <t>'381111</t>
  </si>
  <si>
    <t>'381121</t>
  </si>
  <si>
    <t>'382313</t>
  </si>
  <si>
    <t>'382460</t>
  </si>
  <si>
    <t>'382472</t>
  </si>
  <si>
    <t>'382479</t>
  </si>
  <si>
    <t>'382481</t>
  </si>
  <si>
    <t>'382486</t>
  </si>
  <si>
    <t>'382520</t>
  </si>
  <si>
    <t>'382541</t>
  </si>
  <si>
    <t>'382713</t>
  </si>
  <si>
    <t>'511300</t>
  </si>
  <si>
    <t>'520100</t>
  </si>
  <si>
    <t>'520512</t>
  </si>
  <si>
    <t>'520533</t>
  </si>
  <si>
    <t>'520645</t>
  </si>
  <si>
    <t>'520813</t>
  </si>
  <si>
    <t>'520821</t>
  </si>
  <si>
    <t>'520833</t>
  </si>
  <si>
    <t>'520841</t>
  </si>
  <si>
    <t>'520939</t>
  </si>
  <si>
    <t>'520951</t>
  </si>
  <si>
    <t>'521019</t>
  </si>
  <si>
    <t>'521029</t>
  </si>
  <si>
    <t>'521041</t>
  </si>
  <si>
    <t>'521131</t>
  </si>
  <si>
    <t>'521214</t>
  </si>
  <si>
    <t>'521225</t>
  </si>
  <si>
    <t>'530110</t>
  </si>
  <si>
    <t>'530290</t>
  </si>
  <si>
    <t>'530929</t>
  </si>
  <si>
    <t>'540249</t>
  </si>
  <si>
    <t>'540252</t>
  </si>
  <si>
    <t>'540263</t>
  </si>
  <si>
    <t>'540500</t>
  </si>
  <si>
    <t>'442120</t>
  </si>
  <si>
    <t>'481890</t>
  </si>
  <si>
    <t>'441019</t>
  </si>
  <si>
    <t>'441114</t>
  </si>
  <si>
    <t>'441912</t>
  </si>
  <si>
    <t>'540741</t>
  </si>
  <si>
    <t>'540744</t>
  </si>
  <si>
    <t>'540754</t>
  </si>
  <si>
    <t>'540821</t>
  </si>
  <si>
    <t>'540832</t>
  </si>
  <si>
    <t>'550320</t>
  </si>
  <si>
    <t>'550340</t>
  </si>
  <si>
    <t>'550520</t>
  </si>
  <si>
    <t>'550931</t>
  </si>
  <si>
    <t>'550959</t>
  </si>
  <si>
    <t>'551110</t>
  </si>
  <si>
    <t>'440611</t>
  </si>
  <si>
    <t>'440712</t>
  </si>
  <si>
    <t>'440810</t>
  </si>
  <si>
    <t>'440831</t>
  </si>
  <si>
    <t>'430190</t>
  </si>
  <si>
    <t>'430211</t>
  </si>
  <si>
    <t>'440140</t>
  </si>
  <si>
    <t>'440311</t>
  </si>
  <si>
    <t>'440342</t>
  </si>
  <si>
    <t>'440398</t>
  </si>
  <si>
    <t>'401150</t>
  </si>
  <si>
    <t>'401163</t>
  </si>
  <si>
    <t>'401193</t>
  </si>
  <si>
    <t>'401199</t>
  </si>
  <si>
    <t>'401511</t>
  </si>
  <si>
    <t>'401694</t>
  </si>
  <si>
    <t>'410190</t>
  </si>
  <si>
    <t>'410210</t>
  </si>
  <si>
    <t>'410221</t>
  </si>
  <si>
    <t>'410411</t>
  </si>
  <si>
    <t>'410441</t>
  </si>
  <si>
    <t>'411410</t>
  </si>
  <si>
    <t>'411510</t>
  </si>
  <si>
    <t>'460192</t>
  </si>
  <si>
    <t>'470319</t>
  </si>
  <si>
    <t>'470321</t>
  </si>
  <si>
    <t>'470620</t>
  </si>
  <si>
    <t>'470710</t>
  </si>
  <si>
    <t>'480220</t>
  </si>
  <si>
    <t>'480240</t>
  </si>
  <si>
    <t>'480254</t>
  </si>
  <si>
    <t>'480419</t>
  </si>
  <si>
    <t>'480451</t>
  </si>
  <si>
    <t>'480700</t>
  </si>
  <si>
    <t>'480840</t>
  </si>
  <si>
    <t>'480990</t>
  </si>
  <si>
    <t>'481014</t>
  </si>
  <si>
    <t>'481092</t>
  </si>
  <si>
    <t>'481160</t>
  </si>
  <si>
    <t>'070930</t>
  </si>
  <si>
    <t>'070954</t>
  </si>
  <si>
    <t>'071151</t>
  </si>
  <si>
    <t>'080222</t>
  </si>
  <si>
    <t>'080231</t>
  </si>
  <si>
    <t>'080251</t>
  </si>
  <si>
    <t>'080290</t>
  </si>
  <si>
    <t>'080291</t>
  </si>
  <si>
    <t>'090812</t>
  </si>
  <si>
    <t>'090821</t>
  </si>
  <si>
    <t>'090931</t>
  </si>
  <si>
    <t>'080720</t>
  </si>
  <si>
    <t>'080929</t>
  </si>
  <si>
    <t>'081030</t>
  </si>
  <si>
    <t>'081210</t>
  </si>
  <si>
    <t>'081320</t>
  </si>
  <si>
    <t>'100640</t>
  </si>
  <si>
    <t>'130212</t>
  </si>
  <si>
    <t>'150110</t>
  </si>
  <si>
    <t>'150120</t>
  </si>
  <si>
    <t>'150940</t>
  </si>
  <si>
    <t>'151110</t>
  </si>
  <si>
    <t>'151411</t>
  </si>
  <si>
    <t>'151529</t>
  </si>
  <si>
    <t>'151550</t>
  </si>
  <si>
    <t>'160220</t>
  </si>
  <si>
    <t>'030194</t>
  </si>
  <si>
    <t>'030232</t>
  </si>
  <si>
    <t>'030239</t>
  </si>
  <si>
    <t>'030242</t>
  </si>
  <si>
    <t>'030253</t>
  </si>
  <si>
    <t>'030292</t>
  </si>
  <si>
    <t>'030299</t>
  </si>
  <si>
    <t>'030326</t>
  </si>
  <si>
    <t>'030344</t>
  </si>
  <si>
    <t>'030359</t>
  </si>
  <si>
    <t>'030367</t>
  </si>
  <si>
    <t>'030384</t>
  </si>
  <si>
    <t>'030390</t>
  </si>
  <si>
    <t>'010130</t>
  </si>
  <si>
    <t>'010511</t>
  </si>
  <si>
    <t>'010633</t>
  </si>
  <si>
    <t>'020312</t>
  </si>
  <si>
    <t>'020430</t>
  </si>
  <si>
    <t>'020442</t>
  </si>
  <si>
    <t>'020500</t>
  </si>
  <si>
    <t>'020610</t>
  </si>
  <si>
    <t>'020712</t>
  </si>
  <si>
    <t>'020742</t>
  </si>
  <si>
    <t>'020751</t>
  </si>
  <si>
    <t>'021012</t>
  </si>
  <si>
    <t>'021092</t>
  </si>
  <si>
    <t>'040410</t>
  </si>
  <si>
    <t>'040719</t>
  </si>
  <si>
    <t>'050400</t>
  </si>
  <si>
    <t>'050790</t>
  </si>
  <si>
    <t>'060312</t>
  </si>
  <si>
    <t>'070200</t>
  </si>
  <si>
    <t>'070420</t>
  </si>
  <si>
    <t>'030462</t>
  </si>
  <si>
    <t>'030496</t>
  </si>
  <si>
    <t>'030551</t>
  </si>
  <si>
    <t>'030571</t>
  </si>
  <si>
    <t>'030611</t>
  </si>
  <si>
    <t>'030625</t>
  </si>
  <si>
    <t>'030694</t>
  </si>
  <si>
    <t>'030711</t>
  </si>
  <si>
    <t>'030719</t>
  </si>
  <si>
    <t>'030787</t>
  </si>
  <si>
    <t>'030811</t>
  </si>
  <si>
    <t>'110412</t>
  </si>
  <si>
    <t>'110819</t>
  </si>
  <si>
    <t>'120510</t>
  </si>
  <si>
    <t>'121020</t>
  </si>
  <si>
    <t>'121120</t>
  </si>
  <si>
    <t>'160540</t>
  </si>
  <si>
    <t>'190520</t>
  </si>
  <si>
    <t>'170220</t>
  </si>
  <si>
    <t>'200850</t>
  </si>
  <si>
    <t>'210130</t>
  </si>
  <si>
    <t>'260111</t>
  </si>
  <si>
    <t>'260200</t>
  </si>
  <si>
    <t>'261100</t>
  </si>
  <si>
    <t>'261210</t>
  </si>
  <si>
    <t>'262099</t>
  </si>
  <si>
    <t>'270400</t>
  </si>
  <si>
    <t>'271410</t>
  </si>
  <si>
    <t>'271500</t>
  </si>
  <si>
    <t>'271600</t>
  </si>
  <si>
    <t>'280300</t>
  </si>
  <si>
    <t>'280430</t>
  </si>
  <si>
    <t>'280469</t>
  </si>
  <si>
    <t>'280540</t>
  </si>
  <si>
    <t>'250810</t>
  </si>
  <si>
    <t>'251741</t>
  </si>
  <si>
    <t>'252100</t>
  </si>
  <si>
    <t>'252220</t>
  </si>
  <si>
    <t>'252230</t>
  </si>
  <si>
    <t>'252310</t>
  </si>
  <si>
    <t>'252390</t>
  </si>
  <si>
    <t>'252530</t>
  </si>
  <si>
    <t>'282760</t>
  </si>
  <si>
    <t>'283311</t>
  </si>
  <si>
    <t>'283327</t>
  </si>
  <si>
    <t>'283510</t>
  </si>
  <si>
    <t>'283919</t>
  </si>
  <si>
    <t>'284011</t>
  </si>
  <si>
    <t>'284190</t>
  </si>
  <si>
    <t>'284430</t>
  </si>
  <si>
    <t>'284442</t>
  </si>
  <si>
    <t>'284510</t>
  </si>
  <si>
    <t>'284610</t>
  </si>
  <si>
    <t>'284990</t>
  </si>
  <si>
    <t>'285210</t>
  </si>
  <si>
    <t>'285310</t>
  </si>
  <si>
    <t>'290219</t>
  </si>
  <si>
    <t>'290313</t>
  </si>
  <si>
    <t>'290331</t>
  </si>
  <si>
    <t>'290343</t>
  </si>
  <si>
    <t>'290371</t>
  </si>
  <si>
    <t>'290378</t>
  </si>
  <si>
    <t>'290399</t>
  </si>
  <si>
    <t>'290490</t>
  </si>
  <si>
    <t>'290712</t>
  </si>
  <si>
    <t>'290722</t>
  </si>
  <si>
    <t>'290949</t>
  </si>
  <si>
    <t>'291100</t>
  </si>
  <si>
    <t>'291260</t>
  </si>
  <si>
    <t>'291431</t>
  </si>
  <si>
    <t>'291529</t>
  </si>
  <si>
    <t>'291616</t>
  </si>
  <si>
    <t>'291619</t>
  </si>
  <si>
    <t>'291737</t>
  </si>
  <si>
    <t>'291817</t>
  </si>
  <si>
    <t>'291899</t>
  </si>
  <si>
    <t>'291990</t>
  </si>
  <si>
    <t>'292021</t>
  </si>
  <si>
    <t>'292159</t>
  </si>
  <si>
    <t>'292213</t>
  </si>
  <si>
    <t>'292423</t>
  </si>
  <si>
    <t>'292519</t>
  </si>
  <si>
    <t>'293090</t>
  </si>
  <si>
    <t>'293120</t>
  </si>
  <si>
    <t>'293136</t>
  </si>
  <si>
    <t>'293139</t>
  </si>
  <si>
    <t>'293144</t>
  </si>
  <si>
    <t>'293212</t>
  </si>
  <si>
    <t>'293292</t>
  </si>
  <si>
    <t>'293329</t>
  </si>
  <si>
    <t>'293335</t>
  </si>
  <si>
    <t>'293359</t>
  </si>
  <si>
    <t>'293361</t>
  </si>
  <si>
    <t>'293430</t>
  </si>
  <si>
    <t>'293530</t>
  </si>
  <si>
    <t>'293623</t>
  </si>
  <si>
    <t>'293628</t>
  </si>
  <si>
    <t>'293723</t>
  </si>
  <si>
    <t>'620299</t>
  </si>
  <si>
    <t>'620413</t>
  </si>
  <si>
    <t>'620112</t>
  </si>
  <si>
    <t>'620213</t>
  </si>
  <si>
    <t>'680410</t>
  </si>
  <si>
    <t>'680520</t>
  </si>
  <si>
    <t>'680610</t>
  </si>
  <si>
    <t>'680620</t>
  </si>
  <si>
    <t>'680710</t>
  </si>
  <si>
    <t>'680800</t>
  </si>
  <si>
    <t>'680911</t>
  </si>
  <si>
    <t>'681280</t>
  </si>
  <si>
    <t>'681293</t>
  </si>
  <si>
    <t>'681513</t>
  </si>
  <si>
    <t>'681520</t>
  </si>
  <si>
    <t>'690210</t>
  </si>
  <si>
    <t>'690490</t>
  </si>
  <si>
    <t>'690730</t>
  </si>
  <si>
    <t>'600340</t>
  </si>
  <si>
    <t>'600490</t>
  </si>
  <si>
    <t>'600531</t>
  </si>
  <si>
    <t>'600538</t>
  </si>
  <si>
    <t>'610429</t>
  </si>
  <si>
    <t>'580900</t>
  </si>
  <si>
    <t>'581100</t>
  </si>
  <si>
    <t>'590410</t>
  </si>
  <si>
    <t>'591110</t>
  </si>
  <si>
    <t>'580126</t>
  </si>
  <si>
    <t>'580137</t>
  </si>
  <si>
    <t>'580211</t>
  </si>
  <si>
    <t>'580230</t>
  </si>
  <si>
    <t>'580631</t>
  </si>
  <si>
    <t>'510111</t>
  </si>
  <si>
    <t>'510211</t>
  </si>
  <si>
    <t>'560314</t>
  </si>
  <si>
    <t>'560394</t>
  </si>
  <si>
    <t>'482210</t>
  </si>
  <si>
    <t>'482320</t>
  </si>
  <si>
    <t>'482340</t>
  </si>
  <si>
    <t>'490400</t>
  </si>
  <si>
    <t>'490591</t>
  </si>
  <si>
    <t>'551299</t>
  </si>
  <si>
    <t>'551321</t>
  </si>
  <si>
    <t>'551349</t>
  </si>
  <si>
    <t>'551411</t>
  </si>
  <si>
    <t>'551423</t>
  </si>
  <si>
    <t>'551621</t>
  </si>
  <si>
    <t>'551643</t>
  </si>
  <si>
    <t>'560130</t>
  </si>
  <si>
    <t>'560210</t>
  </si>
  <si>
    <t>'620811</t>
  </si>
  <si>
    <t>'620899</t>
  </si>
  <si>
    <t>'621320</t>
  </si>
  <si>
    <t>'701690</t>
  </si>
  <si>
    <t>'701810</t>
  </si>
  <si>
    <t>'701911</t>
  </si>
  <si>
    <t>'701931</t>
  </si>
  <si>
    <t>'701951</t>
  </si>
  <si>
    <t>'701966</t>
  </si>
  <si>
    <t>'701972</t>
  </si>
  <si>
    <t>'710229</t>
  </si>
  <si>
    <t>'710239</t>
  </si>
  <si>
    <t>'710391</t>
  </si>
  <si>
    <t>'710410</t>
  </si>
  <si>
    <t>'710429</t>
  </si>
  <si>
    <t>'810930</t>
  </si>
  <si>
    <t>'810991</t>
  </si>
  <si>
    <t>'811100</t>
  </si>
  <si>
    <t>'811213</t>
  </si>
  <si>
    <t>'811222</t>
  </si>
  <si>
    <t>'811229</t>
  </si>
  <si>
    <t>'820411</t>
  </si>
  <si>
    <t>'820600</t>
  </si>
  <si>
    <t>'740921</t>
  </si>
  <si>
    <t>'741011</t>
  </si>
  <si>
    <t>'741022</t>
  </si>
  <si>
    <t>'741110</t>
  </si>
  <si>
    <t>'741210</t>
  </si>
  <si>
    <t>'741521</t>
  </si>
  <si>
    <t>'750120</t>
  </si>
  <si>
    <t>'750521</t>
  </si>
  <si>
    <t>'750712</t>
  </si>
  <si>
    <t>'750810</t>
  </si>
  <si>
    <t>'760110</t>
  </si>
  <si>
    <t>'760429</t>
  </si>
  <si>
    <t>'760691</t>
  </si>
  <si>
    <t>'761090</t>
  </si>
  <si>
    <t>'710700</t>
  </si>
  <si>
    <t>'711419</t>
  </si>
  <si>
    <t>'711711</t>
  </si>
  <si>
    <t>'720270</t>
  </si>
  <si>
    <t>'720521</t>
  </si>
  <si>
    <t>'720853</t>
  </si>
  <si>
    <t>'720917</t>
  </si>
  <si>
    <t>'720990</t>
  </si>
  <si>
    <t>'721012</t>
  </si>
  <si>
    <t>'721020</t>
  </si>
  <si>
    <t>'721420</t>
  </si>
  <si>
    <t>'721640</t>
  </si>
  <si>
    <t>'721691</t>
  </si>
  <si>
    <t>'721790</t>
  </si>
  <si>
    <t>'721923</t>
  </si>
  <si>
    <t>'721990</t>
  </si>
  <si>
    <t>'722240</t>
  </si>
  <si>
    <t>'722599</t>
  </si>
  <si>
    <t>'722619</t>
  </si>
  <si>
    <t>'722720</t>
  </si>
  <si>
    <t>'730290</t>
  </si>
  <si>
    <t>'730411</t>
  </si>
  <si>
    <t>'730531</t>
  </si>
  <si>
    <t>'730611</t>
  </si>
  <si>
    <t>'730629</t>
  </si>
  <si>
    <t>'730669</t>
  </si>
  <si>
    <t>'731021</t>
  </si>
  <si>
    <t>'731700</t>
  </si>
  <si>
    <t>'731814</t>
  </si>
  <si>
    <t>'731990</t>
  </si>
  <si>
    <t>'732182</t>
  </si>
  <si>
    <t>'732392</t>
  </si>
  <si>
    <t>'732510</t>
  </si>
  <si>
    <t>'740321</t>
  </si>
  <si>
    <t>'853120</t>
  </si>
  <si>
    <t>'853224</t>
  </si>
  <si>
    <t>'901910</t>
  </si>
  <si>
    <t>'940421</t>
  </si>
  <si>
    <t>'903084</t>
  </si>
  <si>
    <t>'903110</t>
  </si>
  <si>
    <t>'903120</t>
  </si>
  <si>
    <t>'910129</t>
  </si>
  <si>
    <t>'910211</t>
  </si>
  <si>
    <t>'911011</t>
  </si>
  <si>
    <t>'920290</t>
  </si>
  <si>
    <t>'930520</t>
  </si>
  <si>
    <t>'940151</t>
  </si>
  <si>
    <t>'851930</t>
  </si>
  <si>
    <t>'852210</t>
  </si>
  <si>
    <t>'852290</t>
  </si>
  <si>
    <t>'852341</t>
  </si>
  <si>
    <t>'852411</t>
  </si>
  <si>
    <t>'852492</t>
  </si>
  <si>
    <t>'852583</t>
  </si>
  <si>
    <t>'853080</t>
  </si>
  <si>
    <t>'900150</t>
  </si>
  <si>
    <t>'900211</t>
  </si>
  <si>
    <t>'900640</t>
  </si>
  <si>
    <t>'900890</t>
  </si>
  <si>
    <t>'901180</t>
  </si>
  <si>
    <t>'901290</t>
  </si>
  <si>
    <t>'901510</t>
  </si>
  <si>
    <t>'901520</t>
  </si>
  <si>
    <t>'901812</t>
  </si>
  <si>
    <t>'853540</t>
  </si>
  <si>
    <t>'853669</t>
  </si>
  <si>
    <t>'853931</t>
  </si>
  <si>
    <t>'853949</t>
  </si>
  <si>
    <t>'854081</t>
  </si>
  <si>
    <t>'854121</t>
  </si>
  <si>
    <t>'854233</t>
  </si>
  <si>
    <t>'854320</t>
  </si>
  <si>
    <t>'854330</t>
  </si>
  <si>
    <t>'860799</t>
  </si>
  <si>
    <t>'870129</t>
  </si>
  <si>
    <t>'870370</t>
  </si>
  <si>
    <t>'870443</t>
  </si>
  <si>
    <t>'870710</t>
  </si>
  <si>
    <t>'870891</t>
  </si>
  <si>
    <t>'871190</t>
  </si>
  <si>
    <t>'871420</t>
  </si>
  <si>
    <t>'871495</t>
  </si>
  <si>
    <t>'871639</t>
  </si>
  <si>
    <t>'880100</t>
  </si>
  <si>
    <t>'880240</t>
  </si>
  <si>
    <t>'880710</t>
  </si>
  <si>
    <t>'890200</t>
  </si>
  <si>
    <t>'890312</t>
  </si>
  <si>
    <t>'890319</t>
  </si>
  <si>
    <t>'890323</t>
  </si>
  <si>
    <t>'890332</t>
  </si>
  <si>
    <t>'850740</t>
  </si>
  <si>
    <t>'851110</t>
  </si>
  <si>
    <t>'851120</t>
  </si>
  <si>
    <t>'851190</t>
  </si>
  <si>
    <t>'851519</t>
  </si>
  <si>
    <t>'851531</t>
  </si>
  <si>
    <t>'851632</t>
  </si>
  <si>
    <t>'851672</t>
  </si>
  <si>
    <t>'851711</t>
  </si>
  <si>
    <t>'850163</t>
  </si>
  <si>
    <t>'850423</t>
  </si>
  <si>
    <t>'848630</t>
  </si>
  <si>
    <t>'848640</t>
  </si>
  <si>
    <t>'847979</t>
  </si>
  <si>
    <t>'840790</t>
  </si>
  <si>
    <t>'840910</t>
  </si>
  <si>
    <t>'841090</t>
  </si>
  <si>
    <t>'841630</t>
  </si>
  <si>
    <t>'841840</t>
  </si>
  <si>
    <t>'841510</t>
  </si>
  <si>
    <t>'841582</t>
  </si>
  <si>
    <t>'847350</t>
  </si>
  <si>
    <t>'842099</t>
  </si>
  <si>
    <t>'842112</t>
  </si>
  <si>
    <t>'842121</t>
  </si>
  <si>
    <t>'844511</t>
  </si>
  <si>
    <t>'844540</t>
  </si>
  <si>
    <t>'844629</t>
  </si>
  <si>
    <t>'844720</t>
  </si>
  <si>
    <t>'844831</t>
  </si>
  <si>
    <t>'845129</t>
  </si>
  <si>
    <t>'845140</t>
  </si>
  <si>
    <t>'845150</t>
  </si>
  <si>
    <t>'845390</t>
  </si>
  <si>
    <t>'845611</t>
  </si>
  <si>
    <t>'845630</t>
  </si>
  <si>
    <t>'845640</t>
  </si>
  <si>
    <t>'845811</t>
  </si>
  <si>
    <t>'845939</t>
  </si>
  <si>
    <t>'845959</t>
  </si>
  <si>
    <t>'846012</t>
  </si>
  <si>
    <t>'846190</t>
  </si>
  <si>
    <t>'846224</t>
  </si>
  <si>
    <t>'846251</t>
  </si>
  <si>
    <t>'846291</t>
  </si>
  <si>
    <t>'846693</t>
  </si>
  <si>
    <t>'846694</t>
  </si>
  <si>
    <t>'846880</t>
  </si>
  <si>
    <t>'847021</t>
  </si>
  <si>
    <t>'842220</t>
  </si>
  <si>
    <t>'842240</t>
  </si>
  <si>
    <t>'842389</t>
  </si>
  <si>
    <t>'842519</t>
  </si>
  <si>
    <t>'842612</t>
  </si>
  <si>
    <t>'842619</t>
  </si>
  <si>
    <t>'842691</t>
  </si>
  <si>
    <t>'842790</t>
  </si>
  <si>
    <t>'842839</t>
  </si>
  <si>
    <t>'843039</t>
  </si>
  <si>
    <t>'843221</t>
  </si>
  <si>
    <t>'843290</t>
  </si>
  <si>
    <t>'843410</t>
  </si>
  <si>
    <t>'843420</t>
  </si>
  <si>
    <t>'843621</t>
  </si>
  <si>
    <t>'844090</t>
  </si>
  <si>
    <t>'844180</t>
  </si>
  <si>
    <t>'844230</t>
  </si>
  <si>
    <t>'844315</t>
  </si>
  <si>
    <t>'844319</t>
  </si>
  <si>
    <t>'840590</t>
  </si>
  <si>
    <t>'840721</t>
  </si>
  <si>
    <t>'630612</t>
  </si>
  <si>
    <t>'640291</t>
  </si>
  <si>
    <t>'830510</t>
  </si>
  <si>
    <t>'830590</t>
  </si>
  <si>
    <t>'830890</t>
  </si>
  <si>
    <t>'840212</t>
  </si>
  <si>
    <t>'821000</t>
  </si>
  <si>
    <t>'821210</t>
  </si>
  <si>
    <t>'821410</t>
  </si>
  <si>
    <t>'830140</t>
  </si>
  <si>
    <t>'700100</t>
  </si>
  <si>
    <t>'700231</t>
  </si>
  <si>
    <t>'700521</t>
  </si>
  <si>
    <t>'670300</t>
  </si>
  <si>
    <t>'670411</t>
  </si>
  <si>
    <t>'630629</t>
  </si>
  <si>
    <t>'630630</t>
  </si>
  <si>
    <t>'640340</t>
  </si>
  <si>
    <t>'681011</t>
  </si>
  <si>
    <t>'681091</t>
  </si>
  <si>
    <t>'681189</t>
  </si>
  <si>
    <t>'681511</t>
  </si>
  <si>
    <t>'690100</t>
  </si>
  <si>
    <t>'690220</t>
  </si>
  <si>
    <t>'690990</t>
  </si>
  <si>
    <t>'691010</t>
  </si>
  <si>
    <t>'691090</t>
  </si>
  <si>
    <t>'700800</t>
  </si>
  <si>
    <t>'701020</t>
  </si>
  <si>
    <t>'680293</t>
  </si>
  <si>
    <t>'680430</t>
  </si>
  <si>
    <t>'701341</t>
  </si>
  <si>
    <t>'701590</t>
  </si>
  <si>
    <t>'701962</t>
  </si>
  <si>
    <t>'710490</t>
  </si>
  <si>
    <t>'710811</t>
  </si>
  <si>
    <t>'711019</t>
  </si>
  <si>
    <t>'720219</t>
  </si>
  <si>
    <t>'720221</t>
  </si>
  <si>
    <t>'720230</t>
  </si>
  <si>
    <t>'720250</t>
  </si>
  <si>
    <t>'720292</t>
  </si>
  <si>
    <t>'720310</t>
  </si>
  <si>
    <t>'630392</t>
  </si>
  <si>
    <t>'630229</t>
  </si>
  <si>
    <t>'621030</t>
  </si>
  <si>
    <t>'620892</t>
  </si>
  <si>
    <t>'610811</t>
  </si>
  <si>
    <t>'620219</t>
  </si>
  <si>
    <t>'620292</t>
  </si>
  <si>
    <t>'620312</t>
  </si>
  <si>
    <t>'620423</t>
  </si>
  <si>
    <t>'590500</t>
  </si>
  <si>
    <t>'591000</t>
  </si>
  <si>
    <t>'600129</t>
  </si>
  <si>
    <t>'600534</t>
  </si>
  <si>
    <t>'600544</t>
  </si>
  <si>
    <t>'520515</t>
  </si>
  <si>
    <t>'610323</t>
  </si>
  <si>
    <t>'570231</t>
  </si>
  <si>
    <t>'570292</t>
  </si>
  <si>
    <t>'570330</t>
  </si>
  <si>
    <t>'580121</t>
  </si>
  <si>
    <t>'580123</t>
  </si>
  <si>
    <t>'580410</t>
  </si>
  <si>
    <t>'580430</t>
  </si>
  <si>
    <t>'490520</t>
  </si>
  <si>
    <t>'490600</t>
  </si>
  <si>
    <t>'490900</t>
  </si>
  <si>
    <t>'500200</t>
  </si>
  <si>
    <t>'500400</t>
  </si>
  <si>
    <t>'510129</t>
  </si>
  <si>
    <t>'510400</t>
  </si>
  <si>
    <t>'520291</t>
  </si>
  <si>
    <t>'510540</t>
  </si>
  <si>
    <t>'551313</t>
  </si>
  <si>
    <t>'551323</t>
  </si>
  <si>
    <t>'551519</t>
  </si>
  <si>
    <t>'551599</t>
  </si>
  <si>
    <t>'551624</t>
  </si>
  <si>
    <t>'560229</t>
  </si>
  <si>
    <t>'520613</t>
  </si>
  <si>
    <t>'520634</t>
  </si>
  <si>
    <t>'520642</t>
  </si>
  <si>
    <t>'520831</t>
  </si>
  <si>
    <t>'521059</t>
  </si>
  <si>
    <t>'521149</t>
  </si>
  <si>
    <t>'521151</t>
  </si>
  <si>
    <t>'521223</t>
  </si>
  <si>
    <t>'530129</t>
  </si>
  <si>
    <t>'530500</t>
  </si>
  <si>
    <t>'540110</t>
  </si>
  <si>
    <t>'540120</t>
  </si>
  <si>
    <t>'540219</t>
  </si>
  <si>
    <t>'540245</t>
  </si>
  <si>
    <t>'540247</t>
  </si>
  <si>
    <t>'540259</t>
  </si>
  <si>
    <t>'540262</t>
  </si>
  <si>
    <t>'540342</t>
  </si>
  <si>
    <t>'540419</t>
  </si>
  <si>
    <t>'540600</t>
  </si>
  <si>
    <t>'540769</t>
  </si>
  <si>
    <t>'540794</t>
  </si>
  <si>
    <t>'550311</t>
  </si>
  <si>
    <t>'550610</t>
  </si>
  <si>
    <t>'550912</t>
  </si>
  <si>
    <t>'550941</t>
  </si>
  <si>
    <t>'550992</t>
  </si>
  <si>
    <t>'551011</t>
  </si>
  <si>
    <t>'551221</t>
  </si>
  <si>
    <t>'470419</t>
  </si>
  <si>
    <t>'470421</t>
  </si>
  <si>
    <t>'470693</t>
  </si>
  <si>
    <t>'480261</t>
  </si>
  <si>
    <t>'480441</t>
  </si>
  <si>
    <t>'480519</t>
  </si>
  <si>
    <t>'480525</t>
  </si>
  <si>
    <t>'480620</t>
  </si>
  <si>
    <t>'480890</t>
  </si>
  <si>
    <t>'481099</t>
  </si>
  <si>
    <t>'481110</t>
  </si>
  <si>
    <t>'481149</t>
  </si>
  <si>
    <t>'481310</t>
  </si>
  <si>
    <t>'481420</t>
  </si>
  <si>
    <t>'481620</t>
  </si>
  <si>
    <t>'780200</t>
  </si>
  <si>
    <t>'740312</t>
  </si>
  <si>
    <t>'810294</t>
  </si>
  <si>
    <t>'820130</t>
  </si>
  <si>
    <t>'820510</t>
  </si>
  <si>
    <t>'820790</t>
  </si>
  <si>
    <t>'821599</t>
  </si>
  <si>
    <t>'830120</t>
  </si>
  <si>
    <t>'830150</t>
  </si>
  <si>
    <t>'830241</t>
  </si>
  <si>
    <t>'810430</t>
  </si>
  <si>
    <t>'810590</t>
  </si>
  <si>
    <t>'810730</t>
  </si>
  <si>
    <t>'811020</t>
  </si>
  <si>
    <t>'811219</t>
  </si>
  <si>
    <t>'811259</t>
  </si>
  <si>
    <t>'830630</t>
  </si>
  <si>
    <t>'831000</t>
  </si>
  <si>
    <t>'840110</t>
  </si>
  <si>
    <t>'840390</t>
  </si>
  <si>
    <t>'841829</t>
  </si>
  <si>
    <t>'841012</t>
  </si>
  <si>
    <t>'841122</t>
  </si>
  <si>
    <t>'841181</t>
  </si>
  <si>
    <t>'731100</t>
  </si>
  <si>
    <t>'731419</t>
  </si>
  <si>
    <t>'731590</t>
  </si>
  <si>
    <t>'731824</t>
  </si>
  <si>
    <t>'732020</t>
  </si>
  <si>
    <t>'732090</t>
  </si>
  <si>
    <t>'750110</t>
  </si>
  <si>
    <t>'750210</t>
  </si>
  <si>
    <t>'750610</t>
  </si>
  <si>
    <t>'760310</t>
  </si>
  <si>
    <t>'760320</t>
  </si>
  <si>
    <t>'760719</t>
  </si>
  <si>
    <t>'732310</t>
  </si>
  <si>
    <t>'732410</t>
  </si>
  <si>
    <t>'740100</t>
  </si>
  <si>
    <t>'740200</t>
  </si>
  <si>
    <t>'720441</t>
  </si>
  <si>
    <t>'720690</t>
  </si>
  <si>
    <t>'720712</t>
  </si>
  <si>
    <t>'720839</t>
  </si>
  <si>
    <t>'720926</t>
  </si>
  <si>
    <t>'721030</t>
  </si>
  <si>
    <t>'721041</t>
  </si>
  <si>
    <t>'721114</t>
  </si>
  <si>
    <t>'721190</t>
  </si>
  <si>
    <t>'721310</t>
  </si>
  <si>
    <t>'721550</t>
  </si>
  <si>
    <t>'721610</t>
  </si>
  <si>
    <t>'721632</t>
  </si>
  <si>
    <t>'721810</t>
  </si>
  <si>
    <t>'722550</t>
  </si>
  <si>
    <t>'722790</t>
  </si>
  <si>
    <t>'722820</t>
  </si>
  <si>
    <t>'722880</t>
  </si>
  <si>
    <t>'722920</t>
  </si>
  <si>
    <t>'730230</t>
  </si>
  <si>
    <t>'730429</t>
  </si>
  <si>
    <t>'730431</t>
  </si>
  <si>
    <t>'730590</t>
  </si>
  <si>
    <t>'850450</t>
  </si>
  <si>
    <t>'850630</t>
  </si>
  <si>
    <t>'842951</t>
  </si>
  <si>
    <t>'843049</t>
  </si>
  <si>
    <t>'848530</t>
  </si>
  <si>
    <t>'850180</t>
  </si>
  <si>
    <t>'847321</t>
  </si>
  <si>
    <t>'847521</t>
  </si>
  <si>
    <t>'847689</t>
  </si>
  <si>
    <t>'847920</t>
  </si>
  <si>
    <t>'847940</t>
  </si>
  <si>
    <t>'847981</t>
  </si>
  <si>
    <t>'847983</t>
  </si>
  <si>
    <t>'851770</t>
  </si>
  <si>
    <t>'851822</t>
  </si>
  <si>
    <t>'852190</t>
  </si>
  <si>
    <t>'852560</t>
  </si>
  <si>
    <t>'852581</t>
  </si>
  <si>
    <t>'852692</t>
  </si>
  <si>
    <t>'852713</t>
  </si>
  <si>
    <t>'852729</t>
  </si>
  <si>
    <t>'852799</t>
  </si>
  <si>
    <t>'852852</t>
  </si>
  <si>
    <t>'852861</t>
  </si>
  <si>
    <t>'853090</t>
  </si>
  <si>
    <t>'853190</t>
  </si>
  <si>
    <t>'853321</t>
  </si>
  <si>
    <t>'850870</t>
  </si>
  <si>
    <t>'851180</t>
  </si>
  <si>
    <t>'851230</t>
  </si>
  <si>
    <t>'851411</t>
  </si>
  <si>
    <t>'851420</t>
  </si>
  <si>
    <t>'851511</t>
  </si>
  <si>
    <t>'851680</t>
  </si>
  <si>
    <t>'841850</t>
  </si>
  <si>
    <t>'841911</t>
  </si>
  <si>
    <t>'841933</t>
  </si>
  <si>
    <t>'841935</t>
  </si>
  <si>
    <t>'842122</t>
  </si>
  <si>
    <t>'842481</t>
  </si>
  <si>
    <t>'842810</t>
  </si>
  <si>
    <t>'842860</t>
  </si>
  <si>
    <t>'843230</t>
  </si>
  <si>
    <t>'843240</t>
  </si>
  <si>
    <t>'843353</t>
  </si>
  <si>
    <t>'843359</t>
  </si>
  <si>
    <t>'843360</t>
  </si>
  <si>
    <t>'843699</t>
  </si>
  <si>
    <t>'843710</t>
  </si>
  <si>
    <t>'843780</t>
  </si>
  <si>
    <t>'844120</t>
  </si>
  <si>
    <t>'844240</t>
  </si>
  <si>
    <t>'844712</t>
  </si>
  <si>
    <t>'844790</t>
  </si>
  <si>
    <t>'844833</t>
  </si>
  <si>
    <t>'844859</t>
  </si>
  <si>
    <t>'845011</t>
  </si>
  <si>
    <t>'845190</t>
  </si>
  <si>
    <t>'845320</t>
  </si>
  <si>
    <t>'845490</t>
  </si>
  <si>
    <t>'845521</t>
  </si>
  <si>
    <t>'845891</t>
  </si>
  <si>
    <t>'845910</t>
  </si>
  <si>
    <t>'845929</t>
  </si>
  <si>
    <t>'845931</t>
  </si>
  <si>
    <t>'846021</t>
  </si>
  <si>
    <t>'846039</t>
  </si>
  <si>
    <t>'846269</t>
  </si>
  <si>
    <t>'846510</t>
  </si>
  <si>
    <t>'846719</t>
  </si>
  <si>
    <t>'846799</t>
  </si>
  <si>
    <t>'847029</t>
  </si>
  <si>
    <t>'401011</t>
  </si>
  <si>
    <t>'401039</t>
  </si>
  <si>
    <t>'401212</t>
  </si>
  <si>
    <t>'401610</t>
  </si>
  <si>
    <t>'401692</t>
  </si>
  <si>
    <t>'410120</t>
  </si>
  <si>
    <t>'410330</t>
  </si>
  <si>
    <t>'410691</t>
  </si>
  <si>
    <t>'392530</t>
  </si>
  <si>
    <t>'400129</t>
  </si>
  <si>
    <t>'400130</t>
  </si>
  <si>
    <t>'381230</t>
  </si>
  <si>
    <t>'381900</t>
  </si>
  <si>
    <t>'392091</t>
  </si>
  <si>
    <t>'392093</t>
  </si>
  <si>
    <t>'430180</t>
  </si>
  <si>
    <t>'440111</t>
  </si>
  <si>
    <t>'440326</t>
  </si>
  <si>
    <t>'440392</t>
  </si>
  <si>
    <t>'440394</t>
  </si>
  <si>
    <t>'440500</t>
  </si>
  <si>
    <t>'440690</t>
  </si>
  <si>
    <t>'440710</t>
  </si>
  <si>
    <t>'440794</t>
  </si>
  <si>
    <t>'440796</t>
  </si>
  <si>
    <t>'441112</t>
  </si>
  <si>
    <t>'441234</t>
  </si>
  <si>
    <t>'441249</t>
  </si>
  <si>
    <t>'441400</t>
  </si>
  <si>
    <t>'441819</t>
  </si>
  <si>
    <t>'441860</t>
  </si>
  <si>
    <t>'460122</t>
  </si>
  <si>
    <t>'382488</t>
  </si>
  <si>
    <t>'382491</t>
  </si>
  <si>
    <t>'382590</t>
  </si>
  <si>
    <t>'382600</t>
  </si>
  <si>
    <t>'382711</t>
  </si>
  <si>
    <t>'382739</t>
  </si>
  <si>
    <t>'382769</t>
  </si>
  <si>
    <t>'382790</t>
  </si>
  <si>
    <t>'390130</t>
  </si>
  <si>
    <t>'390330</t>
  </si>
  <si>
    <t>'390390</t>
  </si>
  <si>
    <t>'390721</t>
  </si>
  <si>
    <t>'390920</t>
  </si>
  <si>
    <t>'391190</t>
  </si>
  <si>
    <t>'391733</t>
  </si>
  <si>
    <t>'391740</t>
  </si>
  <si>
    <t>'392043</t>
  </si>
  <si>
    <t>'270799</t>
  </si>
  <si>
    <t>'340219</t>
  </si>
  <si>
    <t>'340239</t>
  </si>
  <si>
    <t>'340590</t>
  </si>
  <si>
    <t>'350211</t>
  </si>
  <si>
    <t>'350290</t>
  </si>
  <si>
    <t>'350510</t>
  </si>
  <si>
    <t>'360500</t>
  </si>
  <si>
    <t>'370210</t>
  </si>
  <si>
    <t>'370242</t>
  </si>
  <si>
    <t>'370244</t>
  </si>
  <si>
    <t>'370390</t>
  </si>
  <si>
    <t>'370400</t>
  </si>
  <si>
    <t>'370510</t>
  </si>
  <si>
    <t>'370690</t>
  </si>
  <si>
    <t>'380590</t>
  </si>
  <si>
    <t>'380892</t>
  </si>
  <si>
    <t>'380894</t>
  </si>
  <si>
    <t>'281810</t>
  </si>
  <si>
    <t>'281820</t>
  </si>
  <si>
    <t>'281830</t>
  </si>
  <si>
    <t>'282010</t>
  </si>
  <si>
    <t>'282090</t>
  </si>
  <si>
    <t>'282510</t>
  </si>
  <si>
    <t>'282540</t>
  </si>
  <si>
    <t>'282751</t>
  </si>
  <si>
    <t>'282759</t>
  </si>
  <si>
    <t>'283210</t>
  </si>
  <si>
    <t>'283539</t>
  </si>
  <si>
    <t>'283719</t>
  </si>
  <si>
    <t>'284150</t>
  </si>
  <si>
    <t>'284390</t>
  </si>
  <si>
    <t>'284441</t>
  </si>
  <si>
    <t>'284800</t>
  </si>
  <si>
    <t>'290129</t>
  </si>
  <si>
    <t>'290319</t>
  </si>
  <si>
    <t>'290323</t>
  </si>
  <si>
    <t>'290339</t>
  </si>
  <si>
    <t>'290346</t>
  </si>
  <si>
    <t>'290348</t>
  </si>
  <si>
    <t>'290351</t>
  </si>
  <si>
    <t>'290376</t>
  </si>
  <si>
    <t>'290383</t>
  </si>
  <si>
    <t>'290389</t>
  </si>
  <si>
    <t>'290394</t>
  </si>
  <si>
    <t>'290499</t>
  </si>
  <si>
    <t>'290514</t>
  </si>
  <si>
    <t>'290516</t>
  </si>
  <si>
    <t>'290531</t>
  </si>
  <si>
    <t>'290943</t>
  </si>
  <si>
    <t>'291412</t>
  </si>
  <si>
    <t>'291479</t>
  </si>
  <si>
    <t>'291521</t>
  </si>
  <si>
    <t>'291531</t>
  </si>
  <si>
    <t>'291533</t>
  </si>
  <si>
    <t>'291613</t>
  </si>
  <si>
    <t>'291639</t>
  </si>
  <si>
    <t>'291711</t>
  </si>
  <si>
    <t>'291713</t>
  </si>
  <si>
    <t>'291733</t>
  </si>
  <si>
    <t>'291735</t>
  </si>
  <si>
    <t>'291910</t>
  </si>
  <si>
    <t>'292019</t>
  </si>
  <si>
    <t>'292023</t>
  </si>
  <si>
    <t>'292090</t>
  </si>
  <si>
    <t>'292111</t>
  </si>
  <si>
    <t>'292119</t>
  </si>
  <si>
    <t>'292121</t>
  </si>
  <si>
    <t>'292142</t>
  </si>
  <si>
    <t>'292144</t>
  </si>
  <si>
    <t>'292217</t>
  </si>
  <si>
    <t>'292219</t>
  </si>
  <si>
    <t>'292221</t>
  </si>
  <si>
    <t>'292244</t>
  </si>
  <si>
    <t>'292419</t>
  </si>
  <si>
    <t>'292421</t>
  </si>
  <si>
    <t>'292511</t>
  </si>
  <si>
    <t>'292620</t>
  </si>
  <si>
    <t>'292690</t>
  </si>
  <si>
    <t>'293030</t>
  </si>
  <si>
    <t>'293060</t>
  </si>
  <si>
    <t>'293133</t>
  </si>
  <si>
    <t>'293148</t>
  </si>
  <si>
    <t>'293152</t>
  </si>
  <si>
    <t>'293154</t>
  </si>
  <si>
    <t>'293294</t>
  </si>
  <si>
    <t>'293296</t>
  </si>
  <si>
    <t>'293339</t>
  </si>
  <si>
    <t>'293621</t>
  </si>
  <si>
    <t>'293712</t>
  </si>
  <si>
    <t>'293961</t>
  </si>
  <si>
    <t>'293979</t>
  </si>
  <si>
    <t>'293980</t>
  </si>
  <si>
    <t>'300120</t>
  </si>
  <si>
    <t>'300219</t>
  </si>
  <si>
    <t>'300341</t>
  </si>
  <si>
    <t>'300360</t>
  </si>
  <si>
    <t>'300410</t>
  </si>
  <si>
    <t>'300449</t>
  </si>
  <si>
    <t>'300510</t>
  </si>
  <si>
    <t>'300660</t>
  </si>
  <si>
    <t>'300670</t>
  </si>
  <si>
    <t>'320490</t>
  </si>
  <si>
    <t>'320611</t>
  </si>
  <si>
    <t>'321210</t>
  </si>
  <si>
    <t>'330125</t>
  </si>
  <si>
    <t>'250900</t>
  </si>
  <si>
    <t>'251512</t>
  </si>
  <si>
    <t>'252321</t>
  </si>
  <si>
    <t>'252510</t>
  </si>
  <si>
    <t>'260112</t>
  </si>
  <si>
    <t>'240120</t>
  </si>
  <si>
    <t>'240130</t>
  </si>
  <si>
    <t>'240290</t>
  </si>
  <si>
    <t>'240319</t>
  </si>
  <si>
    <t>'240412</t>
  </si>
  <si>
    <t>'220860</t>
  </si>
  <si>
    <t>'230400</t>
  </si>
  <si>
    <t>'230630</t>
  </si>
  <si>
    <t>'261400</t>
  </si>
  <si>
    <t>'261510</t>
  </si>
  <si>
    <t>'262021</t>
  </si>
  <si>
    <t>'281112</t>
  </si>
  <si>
    <t>'281129</t>
  </si>
  <si>
    <t>'281520</t>
  </si>
  <si>
    <t>'271119</t>
  </si>
  <si>
    <t>'271121</t>
  </si>
  <si>
    <t>'271320</t>
  </si>
  <si>
    <t>'271390</t>
  </si>
  <si>
    <t>'280120</t>
  </si>
  <si>
    <t>'280421</t>
  </si>
  <si>
    <t>'280490</t>
  </si>
  <si>
    <t>'200921</t>
  </si>
  <si>
    <t>'210330</t>
  </si>
  <si>
    <t>'210420</t>
  </si>
  <si>
    <t>'220291</t>
  </si>
  <si>
    <t>'220429</t>
  </si>
  <si>
    <t>'220590</t>
  </si>
  <si>
    <t>'200811</t>
  </si>
  <si>
    <t>'200860</t>
  </si>
  <si>
    <t>'121010</t>
  </si>
  <si>
    <t>'130232</t>
  </si>
  <si>
    <t>'140190</t>
  </si>
  <si>
    <t>'150930</t>
  </si>
  <si>
    <t>'151090</t>
  </si>
  <si>
    <t>'151319</t>
  </si>
  <si>
    <t>'152200</t>
  </si>
  <si>
    <t>'160413</t>
  </si>
  <si>
    <t>'120929</t>
  </si>
  <si>
    <t>'160562</t>
  </si>
  <si>
    <t>'170113</t>
  </si>
  <si>
    <t>'170250</t>
  </si>
  <si>
    <t>'070110</t>
  </si>
  <si>
    <t>'070690</t>
  </si>
  <si>
    <t>'030290</t>
  </si>
  <si>
    <t>'060120</t>
  </si>
  <si>
    <t>'070952</t>
  </si>
  <si>
    <t>'070991</t>
  </si>
  <si>
    <t>'080719</t>
  </si>
  <si>
    <t>'080830</t>
  </si>
  <si>
    <t>'081070</t>
  </si>
  <si>
    <t>'100710</t>
  </si>
  <si>
    <t>'110811</t>
  </si>
  <si>
    <t>'120590</t>
  </si>
  <si>
    <t>'120721</t>
  </si>
  <si>
    <t>'100610</t>
  </si>
  <si>
    <t>'080232</t>
  </si>
  <si>
    <t>'080261</t>
  </si>
  <si>
    <t>'090210</t>
  </si>
  <si>
    <t>'030539</t>
  </si>
  <si>
    <t>'030544</t>
  </si>
  <si>
    <t>'030561</t>
  </si>
  <si>
    <t>'030563</t>
  </si>
  <si>
    <t>'030629</t>
  </si>
  <si>
    <t>'030890</t>
  </si>
  <si>
    <t>'040110</t>
  </si>
  <si>
    <t>'040221</t>
  </si>
  <si>
    <t>'050590</t>
  </si>
  <si>
    <t>'030345</t>
  </si>
  <si>
    <t>'030349</t>
  </si>
  <si>
    <t>'030364</t>
  </si>
  <si>
    <t>'030399</t>
  </si>
  <si>
    <t>'030432</t>
  </si>
  <si>
    <t>'030459</t>
  </si>
  <si>
    <t>'010231</t>
  </si>
  <si>
    <t>'010514</t>
  </si>
  <si>
    <t>'010594</t>
  </si>
  <si>
    <t>'010614</t>
  </si>
  <si>
    <t>'010641</t>
  </si>
  <si>
    <t>'020230</t>
  </si>
  <si>
    <t>'020319</t>
  </si>
  <si>
    <t>'020321</t>
  </si>
  <si>
    <t>'020421</t>
  </si>
  <si>
    <t>'020423</t>
  </si>
  <si>
    <t>'020621</t>
  </si>
  <si>
    <t>'020629</t>
  </si>
  <si>
    <t>'020680</t>
  </si>
  <si>
    <t>'020725</t>
  </si>
  <si>
    <t>'020727</t>
  </si>
  <si>
    <t>'020744</t>
  </si>
  <si>
    <t>'021011</t>
  </si>
  <si>
    <t>'030214</t>
  </si>
  <si>
    <t>'030223</t>
  </si>
  <si>
    <t>'030244</t>
  </si>
  <si>
    <t>'030246</t>
  </si>
  <si>
    <t>'030271</t>
  </si>
  <si>
    <t>'902990</t>
  </si>
  <si>
    <t>'903020</t>
  </si>
  <si>
    <t>'910119</t>
  </si>
  <si>
    <t>'910400</t>
  </si>
  <si>
    <t>'910529</t>
  </si>
  <si>
    <t>'910811</t>
  </si>
  <si>
    <t>'911019</t>
  </si>
  <si>
    <t>'911090</t>
  </si>
  <si>
    <t>'911110</t>
  </si>
  <si>
    <t>'911190</t>
  </si>
  <si>
    <t>'920790</t>
  </si>
  <si>
    <t>'930120</t>
  </si>
  <si>
    <t>'930330</t>
  </si>
  <si>
    <t>'930599</t>
  </si>
  <si>
    <t>'930621</t>
  </si>
  <si>
    <t>'940130</t>
  </si>
  <si>
    <t>'940159</t>
  </si>
  <si>
    <t>'940290</t>
  </si>
  <si>
    <t>'902810</t>
  </si>
  <si>
    <t>'940382</t>
  </si>
  <si>
    <t>'853922</t>
  </si>
  <si>
    <t>'853951</t>
  </si>
  <si>
    <t>'854011</t>
  </si>
  <si>
    <t>'854130</t>
  </si>
  <si>
    <t>'854149</t>
  </si>
  <si>
    <t>'854160</t>
  </si>
  <si>
    <t>'950611</t>
  </si>
  <si>
    <t>'950670</t>
  </si>
  <si>
    <t>'950710</t>
  </si>
  <si>
    <t>'950822</t>
  </si>
  <si>
    <t>'950829</t>
  </si>
  <si>
    <t>'960330</t>
  </si>
  <si>
    <t>'960350</t>
  </si>
  <si>
    <t>'960621</t>
  </si>
  <si>
    <t>'960990</t>
  </si>
  <si>
    <t>'961390</t>
  </si>
  <si>
    <t>'854340</t>
  </si>
  <si>
    <t>'854610</t>
  </si>
  <si>
    <t>'854710</t>
  </si>
  <si>
    <t>'854810</t>
  </si>
  <si>
    <t>'854912</t>
  </si>
  <si>
    <t>'860110</t>
  </si>
  <si>
    <t>'860400</t>
  </si>
  <si>
    <t>'860610</t>
  </si>
  <si>
    <t>'860691</t>
  </si>
  <si>
    <t>'860719</t>
  </si>
  <si>
    <t>'870124</t>
  </si>
  <si>
    <t>'870190</t>
  </si>
  <si>
    <t>'870350</t>
  </si>
  <si>
    <t>'870441</t>
  </si>
  <si>
    <t>'901480</t>
  </si>
  <si>
    <t>'901530</t>
  </si>
  <si>
    <t>'901710</t>
  </si>
  <si>
    <t>'901839</t>
  </si>
  <si>
    <t>'902212</t>
  </si>
  <si>
    <t>'902214</t>
  </si>
  <si>
    <t>'902229</t>
  </si>
  <si>
    <t>'870990</t>
  </si>
  <si>
    <t>'871160</t>
  </si>
  <si>
    <t>'871200</t>
  </si>
  <si>
    <t>'871390</t>
  </si>
  <si>
    <t>'871492</t>
  </si>
  <si>
    <t>'871494</t>
  </si>
  <si>
    <t>'871620</t>
  </si>
  <si>
    <t>'871631</t>
  </si>
  <si>
    <t>'880610</t>
  </si>
  <si>
    <t>'880622</t>
  </si>
  <si>
    <t>'880624</t>
  </si>
  <si>
    <t>'890321</t>
  </si>
  <si>
    <t>'890690</t>
  </si>
  <si>
    <t>'900110</t>
  </si>
  <si>
    <t>'900120</t>
  </si>
  <si>
    <t>'900190</t>
  </si>
  <si>
    <t>'900710</t>
  </si>
  <si>
    <t>'940610</t>
  </si>
  <si>
    <t>'940620</t>
  </si>
  <si>
    <t>'970600</t>
  </si>
  <si>
    <t>'410229</t>
  </si>
  <si>
    <t>'410419</t>
  </si>
  <si>
    <t>'410632</t>
  </si>
  <si>
    <t>'410712</t>
  </si>
  <si>
    <t>'410791</t>
  </si>
  <si>
    <t>'400249</t>
  </si>
  <si>
    <t>'400259</t>
  </si>
  <si>
    <t>'400270</t>
  </si>
  <si>
    <t>'400829</t>
  </si>
  <si>
    <t>'392071</t>
  </si>
  <si>
    <t>'340249</t>
  </si>
  <si>
    <t>'420340</t>
  </si>
  <si>
    <t>'430230</t>
  </si>
  <si>
    <t>'440310</t>
  </si>
  <si>
    <t>'440312</t>
  </si>
  <si>
    <t>'440322</t>
  </si>
  <si>
    <t>'440324</t>
  </si>
  <si>
    <t>'440396</t>
  </si>
  <si>
    <t>'440692</t>
  </si>
  <si>
    <t>'440713</t>
  </si>
  <si>
    <t>'440721</t>
  </si>
  <si>
    <t>'440726</t>
  </si>
  <si>
    <t>'440728</t>
  </si>
  <si>
    <t>'440792</t>
  </si>
  <si>
    <t>'440839</t>
  </si>
  <si>
    <t>'440921</t>
  </si>
  <si>
    <t>'441011</t>
  </si>
  <si>
    <t>'441090</t>
  </si>
  <si>
    <t>'441239</t>
  </si>
  <si>
    <t>'441242</t>
  </si>
  <si>
    <t>'441252</t>
  </si>
  <si>
    <t>'441259</t>
  </si>
  <si>
    <t>'441291</t>
  </si>
  <si>
    <t>'392290</t>
  </si>
  <si>
    <t>'411330</t>
  </si>
  <si>
    <t>'411390</t>
  </si>
  <si>
    <t>'460193</t>
  </si>
  <si>
    <t>'450110</t>
  </si>
  <si>
    <t>'450410</t>
  </si>
  <si>
    <t>'441881</t>
  </si>
  <si>
    <t>'441883</t>
  </si>
  <si>
    <t>'441891</t>
  </si>
  <si>
    <t>'441911</t>
  </si>
  <si>
    <t>'442010</t>
  </si>
  <si>
    <t>'470311</t>
  </si>
  <si>
    <t>'480256</t>
  </si>
  <si>
    <t>'480258</t>
  </si>
  <si>
    <t>'480431</t>
  </si>
  <si>
    <t>'480511</t>
  </si>
  <si>
    <t>'480591</t>
  </si>
  <si>
    <t>'480630</t>
  </si>
  <si>
    <t>'480920</t>
  </si>
  <si>
    <t>'481032</t>
  </si>
  <si>
    <t>'490300</t>
  </si>
  <si>
    <t>'490590</t>
  </si>
  <si>
    <t>'490890</t>
  </si>
  <si>
    <t>'481200</t>
  </si>
  <si>
    <t>'481390</t>
  </si>
  <si>
    <t>'481710</t>
  </si>
  <si>
    <t>'310260</t>
  </si>
  <si>
    <t>'310311</t>
  </si>
  <si>
    <t>'310559</t>
  </si>
  <si>
    <t>'320120</t>
  </si>
  <si>
    <t>'320416</t>
  </si>
  <si>
    <t>'320418</t>
  </si>
  <si>
    <t>'320620</t>
  </si>
  <si>
    <t>'320642</t>
  </si>
  <si>
    <t>'320810</t>
  </si>
  <si>
    <t>'320820</t>
  </si>
  <si>
    <t>'320910</t>
  </si>
  <si>
    <t>'320990</t>
  </si>
  <si>
    <t>'330710</t>
  </si>
  <si>
    <t>'251020</t>
  </si>
  <si>
    <t>'251611</t>
  </si>
  <si>
    <t>'252620</t>
  </si>
  <si>
    <t>'252921</t>
  </si>
  <si>
    <t>'252930</t>
  </si>
  <si>
    <t>'253010</t>
  </si>
  <si>
    <t>'253020</t>
  </si>
  <si>
    <t>'260300</t>
  </si>
  <si>
    <t>'340399</t>
  </si>
  <si>
    <t>'350190</t>
  </si>
  <si>
    <t>'350400</t>
  </si>
  <si>
    <t>'360200</t>
  </si>
  <si>
    <t>'370191</t>
  </si>
  <si>
    <t>'370232</t>
  </si>
  <si>
    <t>'370256</t>
  </si>
  <si>
    <t>'370310</t>
  </si>
  <si>
    <t>'380120</t>
  </si>
  <si>
    <t>'380620</t>
  </si>
  <si>
    <t>'380630</t>
  </si>
  <si>
    <t>'380690</t>
  </si>
  <si>
    <t>'381129</t>
  </si>
  <si>
    <t>'381519</t>
  </si>
  <si>
    <t>'381590</t>
  </si>
  <si>
    <t>'382370</t>
  </si>
  <si>
    <t>'382430</t>
  </si>
  <si>
    <t>'382549</t>
  </si>
  <si>
    <t>'382712</t>
  </si>
  <si>
    <t>'382714</t>
  </si>
  <si>
    <t>'382740</t>
  </si>
  <si>
    <t>'390120</t>
  </si>
  <si>
    <t>'390311</t>
  </si>
  <si>
    <t>'390422</t>
  </si>
  <si>
    <t>'390521</t>
  </si>
  <si>
    <t>'390530</t>
  </si>
  <si>
    <t>'390730</t>
  </si>
  <si>
    <t>'390799</t>
  </si>
  <si>
    <t>'292249</t>
  </si>
  <si>
    <t>'292390</t>
  </si>
  <si>
    <t>'292610</t>
  </si>
  <si>
    <t>'292910</t>
  </si>
  <si>
    <t>'293050</t>
  </si>
  <si>
    <t>'293131</t>
  </si>
  <si>
    <t>'293137</t>
  </si>
  <si>
    <t>'293138</t>
  </si>
  <si>
    <t>'293211</t>
  </si>
  <si>
    <t>'293213</t>
  </si>
  <si>
    <t>'293311</t>
  </si>
  <si>
    <t>'293353</t>
  </si>
  <si>
    <t>'293372</t>
  </si>
  <si>
    <t>'293391</t>
  </si>
  <si>
    <t>'293410</t>
  </si>
  <si>
    <t>'293499</t>
  </si>
  <si>
    <t>'293520</t>
  </si>
  <si>
    <t>'293729</t>
  </si>
  <si>
    <t>'293911</t>
  </si>
  <si>
    <t>'293943</t>
  </si>
  <si>
    <t>'300214</t>
  </si>
  <si>
    <t>'300241</t>
  </si>
  <si>
    <t>'300349</t>
  </si>
  <si>
    <t>'300432</t>
  </si>
  <si>
    <t>'290551</t>
  </si>
  <si>
    <t>'290612</t>
  </si>
  <si>
    <t>'290899</t>
  </si>
  <si>
    <t>'290941</t>
  </si>
  <si>
    <t>'291090</t>
  </si>
  <si>
    <t>'291249</t>
  </si>
  <si>
    <t>'291511</t>
  </si>
  <si>
    <t>'291611</t>
  </si>
  <si>
    <t>'291816</t>
  </si>
  <si>
    <t>'291818</t>
  </si>
  <si>
    <t>'292029</t>
  </si>
  <si>
    <t>'292030</t>
  </si>
  <si>
    <t>'292113</t>
  </si>
  <si>
    <t>'292130</t>
  </si>
  <si>
    <t>'292149</t>
  </si>
  <si>
    <t>'292151</t>
  </si>
  <si>
    <t>'292229</t>
  </si>
  <si>
    <t>'130211</t>
  </si>
  <si>
    <t>'130213</t>
  </si>
  <si>
    <t>'150710</t>
  </si>
  <si>
    <t>'151521</t>
  </si>
  <si>
    <t>'151530</t>
  </si>
  <si>
    <t>'152190</t>
  </si>
  <si>
    <t>'160100</t>
  </si>
  <si>
    <t>'160241</t>
  </si>
  <si>
    <t>'100111</t>
  </si>
  <si>
    <t>'100620</t>
  </si>
  <si>
    <t>'170390</t>
  </si>
  <si>
    <t>'170410</t>
  </si>
  <si>
    <t>'190110</t>
  </si>
  <si>
    <t>'190510</t>
  </si>
  <si>
    <t>'200390</t>
  </si>
  <si>
    <t>'250700</t>
  </si>
  <si>
    <t>'210220</t>
  </si>
  <si>
    <t>'200710</t>
  </si>
  <si>
    <t>'230330</t>
  </si>
  <si>
    <t>'230641</t>
  </si>
  <si>
    <t>'240399</t>
  </si>
  <si>
    <t>'240419</t>
  </si>
  <si>
    <t>'284161</t>
  </si>
  <si>
    <t>'284170</t>
  </si>
  <si>
    <t>'284290</t>
  </si>
  <si>
    <t>'284321</t>
  </si>
  <si>
    <t>'284443</t>
  </si>
  <si>
    <t>'284690</t>
  </si>
  <si>
    <t>'290211</t>
  </si>
  <si>
    <t>'290230</t>
  </si>
  <si>
    <t>'290250</t>
  </si>
  <si>
    <t>'290314</t>
  </si>
  <si>
    <t>'290321</t>
  </si>
  <si>
    <t>'290329</t>
  </si>
  <si>
    <t>'290342</t>
  </si>
  <si>
    <t>'290344</t>
  </si>
  <si>
    <t>'290349</t>
  </si>
  <si>
    <t>'290391</t>
  </si>
  <si>
    <t>'290410</t>
  </si>
  <si>
    <t>'290420</t>
  </si>
  <si>
    <t>'290512</t>
  </si>
  <si>
    <t>'262011</t>
  </si>
  <si>
    <t>'262030</t>
  </si>
  <si>
    <t>'262040</t>
  </si>
  <si>
    <t>'262060</t>
  </si>
  <si>
    <t>'270112</t>
  </si>
  <si>
    <t>'270820</t>
  </si>
  <si>
    <t>'271311</t>
  </si>
  <si>
    <t>'280110</t>
  </si>
  <si>
    <t>'280200</t>
  </si>
  <si>
    <t>'280410</t>
  </si>
  <si>
    <t>'280429</t>
  </si>
  <si>
    <t>'280440</t>
  </si>
  <si>
    <t>'280461</t>
  </si>
  <si>
    <t>'280700</t>
  </si>
  <si>
    <t>'280920</t>
  </si>
  <si>
    <t>'281213</t>
  </si>
  <si>
    <t>'281610</t>
  </si>
  <si>
    <t>'281640</t>
  </si>
  <si>
    <t>'282410</t>
  </si>
  <si>
    <t>'282630</t>
  </si>
  <si>
    <t>'282710</t>
  </si>
  <si>
    <t>'282720</t>
  </si>
  <si>
    <t>'283421</t>
  </si>
  <si>
    <t>'283692</t>
  </si>
  <si>
    <t>'071140</t>
  </si>
  <si>
    <t>'071239</t>
  </si>
  <si>
    <t>'030368</t>
  </si>
  <si>
    <t>'030431</t>
  </si>
  <si>
    <t>'030441</t>
  </si>
  <si>
    <t>'030443</t>
  </si>
  <si>
    <t>'070190</t>
  </si>
  <si>
    <t>'070529</t>
  </si>
  <si>
    <t>'070610</t>
  </si>
  <si>
    <t>'090811</t>
  </si>
  <si>
    <t>'090822</t>
  </si>
  <si>
    <t>'090831</t>
  </si>
  <si>
    <t>'090961</t>
  </si>
  <si>
    <t>'110820</t>
  </si>
  <si>
    <t>'120230</t>
  </si>
  <si>
    <t>'120730</t>
  </si>
  <si>
    <t>'120760</t>
  </si>
  <si>
    <t>'121300</t>
  </si>
  <si>
    <t>'071340</t>
  </si>
  <si>
    <t>'080131</t>
  </si>
  <si>
    <t>'080212</t>
  </si>
  <si>
    <t>'080292</t>
  </si>
  <si>
    <t>'080410</t>
  </si>
  <si>
    <t>'081290</t>
  </si>
  <si>
    <t>'081350</t>
  </si>
  <si>
    <t>'080620</t>
  </si>
  <si>
    <t>'080921</t>
  </si>
  <si>
    <t>'030457</t>
  </si>
  <si>
    <t>'030485</t>
  </si>
  <si>
    <t>'030487</t>
  </si>
  <si>
    <t>'030542</t>
  </si>
  <si>
    <t>'030549</t>
  </si>
  <si>
    <t>'030579</t>
  </si>
  <si>
    <t>'030619</t>
  </si>
  <si>
    <t>'030627</t>
  </si>
  <si>
    <t>'030732</t>
  </si>
  <si>
    <t>'030751</t>
  </si>
  <si>
    <t>'030789</t>
  </si>
  <si>
    <t>'030990</t>
  </si>
  <si>
    <t>'040310</t>
  </si>
  <si>
    <t>'040721</t>
  </si>
  <si>
    <t>'040891</t>
  </si>
  <si>
    <t>'010632</t>
  </si>
  <si>
    <t>'010639</t>
  </si>
  <si>
    <t>'020110</t>
  </si>
  <si>
    <t>'020220</t>
  </si>
  <si>
    <t>'020410</t>
  </si>
  <si>
    <t>'020641</t>
  </si>
  <si>
    <t>'020690</t>
  </si>
  <si>
    <t>'020752</t>
  </si>
  <si>
    <t>'020910</t>
  </si>
  <si>
    <t>'021093</t>
  </si>
  <si>
    <t>'030199</t>
  </si>
  <si>
    <t>'030221</t>
  </si>
  <si>
    <t>'030252</t>
  </si>
  <si>
    <t>'030256</t>
  </si>
  <si>
    <t>'030285</t>
  </si>
  <si>
    <t>'030314</t>
  </si>
  <si>
    <t>'030331</t>
  </si>
  <si>
    <t>'030341</t>
  </si>
  <si>
    <t>'030343</t>
  </si>
  <si>
    <t>'631010</t>
  </si>
  <si>
    <t>'630590</t>
  </si>
  <si>
    <t>'660191</t>
  </si>
  <si>
    <t>'670419</t>
  </si>
  <si>
    <t>'680210</t>
  </si>
  <si>
    <t>'680223</t>
  </si>
  <si>
    <t>'680229</t>
  </si>
  <si>
    <t>'681292</t>
  </si>
  <si>
    <t>'681299</t>
  </si>
  <si>
    <t>'620799</t>
  </si>
  <si>
    <t>'611699</t>
  </si>
  <si>
    <t>'620192</t>
  </si>
  <si>
    <t>'620329</t>
  </si>
  <si>
    <t>'620429</t>
  </si>
  <si>
    <t>'690912</t>
  </si>
  <si>
    <t>'681410</t>
  </si>
  <si>
    <t>'690290</t>
  </si>
  <si>
    <t>'690410</t>
  </si>
  <si>
    <t>'690600</t>
  </si>
  <si>
    <t>'701010</t>
  </si>
  <si>
    <t>'700210</t>
  </si>
  <si>
    <t>'700239</t>
  </si>
  <si>
    <t>'700490</t>
  </si>
  <si>
    <t>'700600</t>
  </si>
  <si>
    <t>'711411</t>
  </si>
  <si>
    <t>'711510</t>
  </si>
  <si>
    <t>'711590</t>
  </si>
  <si>
    <t>'720260</t>
  </si>
  <si>
    <t>'720280</t>
  </si>
  <si>
    <t>'720826</t>
  </si>
  <si>
    <t>'720837</t>
  </si>
  <si>
    <t>'720918</t>
  </si>
  <si>
    <t>'720928</t>
  </si>
  <si>
    <t>'721070</t>
  </si>
  <si>
    <t>'721220</t>
  </si>
  <si>
    <t>'721912</t>
  </si>
  <si>
    <t>'722220</t>
  </si>
  <si>
    <t>'722410</t>
  </si>
  <si>
    <t>'722591</t>
  </si>
  <si>
    <t>'722691</t>
  </si>
  <si>
    <t>'722840</t>
  </si>
  <si>
    <t>'722850</t>
  </si>
  <si>
    <t>'730422</t>
  </si>
  <si>
    <t>'730459</t>
  </si>
  <si>
    <t>'730490</t>
  </si>
  <si>
    <t>'730511</t>
  </si>
  <si>
    <t>'730621</t>
  </si>
  <si>
    <t>'730723</t>
  </si>
  <si>
    <t>'730729</t>
  </si>
  <si>
    <t>'730793</t>
  </si>
  <si>
    <t>'730830</t>
  </si>
  <si>
    <t>'600290</t>
  </si>
  <si>
    <t>'600522</t>
  </si>
  <si>
    <t>'600524</t>
  </si>
  <si>
    <t>'600634</t>
  </si>
  <si>
    <t>'600643</t>
  </si>
  <si>
    <t>'520911</t>
  </si>
  <si>
    <t>'570390</t>
  </si>
  <si>
    <t>'570420</t>
  </si>
  <si>
    <t>'580219</t>
  </si>
  <si>
    <t>'580300</t>
  </si>
  <si>
    <t>'590290</t>
  </si>
  <si>
    <t>'590610</t>
  </si>
  <si>
    <t>'591132</t>
  </si>
  <si>
    <t>'591140</t>
  </si>
  <si>
    <t>'600110</t>
  </si>
  <si>
    <t>'600122</t>
  </si>
  <si>
    <t>'481960</t>
  </si>
  <si>
    <t>'500790</t>
  </si>
  <si>
    <t>'510119</t>
  </si>
  <si>
    <t>'510320</t>
  </si>
  <si>
    <t>'510510</t>
  </si>
  <si>
    <t>'520511</t>
  </si>
  <si>
    <t>'520513</t>
  </si>
  <si>
    <t>'520526</t>
  </si>
  <si>
    <t>'520528</t>
  </si>
  <si>
    <t>'520615</t>
  </si>
  <si>
    <t>'520632</t>
  </si>
  <si>
    <t>'520644</t>
  </si>
  <si>
    <t>'521120</t>
  </si>
  <si>
    <t>'521139</t>
  </si>
  <si>
    <t>'521215</t>
  </si>
  <si>
    <t>'530390</t>
  </si>
  <si>
    <t>'530710</t>
  </si>
  <si>
    <t>'530921</t>
  </si>
  <si>
    <t>'531010</t>
  </si>
  <si>
    <t>'540231</t>
  </si>
  <si>
    <t>'540251</t>
  </si>
  <si>
    <t>'540331</t>
  </si>
  <si>
    <t>'540412</t>
  </si>
  <si>
    <t>'540742</t>
  </si>
  <si>
    <t>'540752</t>
  </si>
  <si>
    <t>'540773</t>
  </si>
  <si>
    <t>'540791</t>
  </si>
  <si>
    <t>'540792</t>
  </si>
  <si>
    <t>'540810</t>
  </si>
  <si>
    <t>'540823</t>
  </si>
  <si>
    <t>'540834</t>
  </si>
  <si>
    <t>'550490</t>
  </si>
  <si>
    <t>'550640</t>
  </si>
  <si>
    <t>'550951</t>
  </si>
  <si>
    <t>'550953</t>
  </si>
  <si>
    <t>'550962</t>
  </si>
  <si>
    <t>'551311</t>
  </si>
  <si>
    <t>'551412</t>
  </si>
  <si>
    <t>'551419</t>
  </si>
  <si>
    <t>'551422</t>
  </si>
  <si>
    <t>'551449</t>
  </si>
  <si>
    <t>'551622</t>
  </si>
  <si>
    <t>'560122</t>
  </si>
  <si>
    <t>'560393</t>
  </si>
  <si>
    <t>'850640</t>
  </si>
  <si>
    <t>'850680</t>
  </si>
  <si>
    <t>'850690</t>
  </si>
  <si>
    <t>'850780</t>
  </si>
  <si>
    <t>'850790</t>
  </si>
  <si>
    <t>'851020</t>
  </si>
  <si>
    <t>'851030</t>
  </si>
  <si>
    <t>'843920</t>
  </si>
  <si>
    <t>'844130</t>
  </si>
  <si>
    <t>'844312</t>
  </si>
  <si>
    <t>'844314</t>
  </si>
  <si>
    <t>'844316</t>
  </si>
  <si>
    <t>'848291</t>
  </si>
  <si>
    <t>'847751</t>
  </si>
  <si>
    <t>'847971</t>
  </si>
  <si>
    <t>'844513</t>
  </si>
  <si>
    <t>'844610</t>
  </si>
  <si>
    <t>'844811</t>
  </si>
  <si>
    <t>'844839</t>
  </si>
  <si>
    <t>'845019</t>
  </si>
  <si>
    <t>'845121</t>
  </si>
  <si>
    <t>'845310</t>
  </si>
  <si>
    <t>'845610</t>
  </si>
  <si>
    <t>'845970</t>
  </si>
  <si>
    <t>'846023</t>
  </si>
  <si>
    <t>'846225</t>
  </si>
  <si>
    <t>'846232</t>
  </si>
  <si>
    <t>'846259</t>
  </si>
  <si>
    <t>'846261</t>
  </si>
  <si>
    <t>'846263</t>
  </si>
  <si>
    <t>'846330</t>
  </si>
  <si>
    <t>'846410</t>
  </si>
  <si>
    <t>'846591</t>
  </si>
  <si>
    <t>'846692</t>
  </si>
  <si>
    <t>'846890</t>
  </si>
  <si>
    <t>'847030</t>
  </si>
  <si>
    <t>'847340</t>
  </si>
  <si>
    <t>'847410</t>
  </si>
  <si>
    <t>'847432</t>
  </si>
  <si>
    <t>'847510</t>
  </si>
  <si>
    <t>'850172</t>
  </si>
  <si>
    <t>'850422</t>
  </si>
  <si>
    <t>'848510</t>
  </si>
  <si>
    <t>'848520</t>
  </si>
  <si>
    <t>'852412</t>
  </si>
  <si>
    <t>'852419</t>
  </si>
  <si>
    <t>'852871</t>
  </si>
  <si>
    <t>'851430</t>
  </si>
  <si>
    <t>'851490</t>
  </si>
  <si>
    <t>'851590</t>
  </si>
  <si>
    <t>'851629</t>
  </si>
  <si>
    <t>'851671</t>
  </si>
  <si>
    <t>'851712</t>
  </si>
  <si>
    <t>'854921</t>
  </si>
  <si>
    <t>'854999</t>
  </si>
  <si>
    <t>'860290</t>
  </si>
  <si>
    <t>'860500</t>
  </si>
  <si>
    <t>'860791</t>
  </si>
  <si>
    <t>'860800</t>
  </si>
  <si>
    <t>'870121</t>
  </si>
  <si>
    <t>'870210</t>
  </si>
  <si>
    <t>'870220</t>
  </si>
  <si>
    <t>'870421</t>
  </si>
  <si>
    <t>'870451</t>
  </si>
  <si>
    <t>'870540</t>
  </si>
  <si>
    <t>'870919</t>
  </si>
  <si>
    <t>'871496</t>
  </si>
  <si>
    <t>'880230</t>
  </si>
  <si>
    <t>'880320</t>
  </si>
  <si>
    <t>'880390</t>
  </si>
  <si>
    <t>'880529</t>
  </si>
  <si>
    <t>'880692</t>
  </si>
  <si>
    <t>'890331</t>
  </si>
  <si>
    <t>'890333</t>
  </si>
  <si>
    <t>'890391</t>
  </si>
  <si>
    <t>'890393</t>
  </si>
  <si>
    <t>'890400</t>
  </si>
  <si>
    <t>'890520</t>
  </si>
  <si>
    <t>'820590</t>
  </si>
  <si>
    <t>'820720</t>
  </si>
  <si>
    <t>'821290</t>
  </si>
  <si>
    <t>'830110</t>
  </si>
  <si>
    <t>'830210</t>
  </si>
  <si>
    <t>'841410</t>
  </si>
  <si>
    <t>'841440</t>
  </si>
  <si>
    <t>'841320</t>
  </si>
  <si>
    <t>'830810</t>
  </si>
  <si>
    <t>'831130</t>
  </si>
  <si>
    <t>'840211</t>
  </si>
  <si>
    <t>'840410</t>
  </si>
  <si>
    <t>'840610</t>
  </si>
  <si>
    <t>'840733</t>
  </si>
  <si>
    <t>'842330</t>
  </si>
  <si>
    <t>'842390</t>
  </si>
  <si>
    <t>'843830</t>
  </si>
  <si>
    <t>'843311</t>
  </si>
  <si>
    <t>'843390</t>
  </si>
  <si>
    <t>'843629</t>
  </si>
  <si>
    <t>'842542</t>
  </si>
  <si>
    <t>'842611</t>
  </si>
  <si>
    <t>'842720</t>
  </si>
  <si>
    <t>'842920</t>
  </si>
  <si>
    <t>'843020</t>
  </si>
  <si>
    <t>'843050</t>
  </si>
  <si>
    <t>'841899</t>
  </si>
  <si>
    <t>'841920</t>
  </si>
  <si>
    <t>'842010</t>
  </si>
  <si>
    <t>'842119</t>
  </si>
  <si>
    <t>'732394</t>
  </si>
  <si>
    <t>'740329</t>
  </si>
  <si>
    <t>'740500</t>
  </si>
  <si>
    <t>'740929</t>
  </si>
  <si>
    <t>'731439</t>
  </si>
  <si>
    <t>'731589</t>
  </si>
  <si>
    <t>'731940</t>
  </si>
  <si>
    <t>'732010</t>
  </si>
  <si>
    <t>'701400</t>
  </si>
  <si>
    <t>'701919</t>
  </si>
  <si>
    <t>'701932</t>
  </si>
  <si>
    <t>'701939</t>
  </si>
  <si>
    <t>'701964</t>
  </si>
  <si>
    <t>'701973</t>
  </si>
  <si>
    <t>'710421</t>
  </si>
  <si>
    <t>'710510</t>
  </si>
  <si>
    <t>'800200</t>
  </si>
  <si>
    <t>'810210</t>
  </si>
  <si>
    <t>'810600</t>
  </si>
  <si>
    <t>'810890</t>
  </si>
  <si>
    <t>'810920</t>
  </si>
  <si>
    <t>'810931</t>
  </si>
  <si>
    <t>'810990</t>
  </si>
  <si>
    <t>'811231</t>
  </si>
  <si>
    <t>'811249</t>
  </si>
  <si>
    <t>'820160</t>
  </si>
  <si>
    <t>'820291</t>
  </si>
  <si>
    <t>'820310</t>
  </si>
  <si>
    <t>'820530</t>
  </si>
  <si>
    <t>'741122</t>
  </si>
  <si>
    <t>'741920</t>
  </si>
  <si>
    <t>'750400</t>
  </si>
  <si>
    <t>'750511</t>
  </si>
  <si>
    <t>'750522</t>
  </si>
  <si>
    <t>'760519</t>
  </si>
  <si>
    <t>'760521</t>
  </si>
  <si>
    <t>'760612</t>
  </si>
  <si>
    <t>'760692</t>
  </si>
  <si>
    <t>'761510</t>
  </si>
  <si>
    <t>'761610</t>
  </si>
  <si>
    <t>'970129</t>
  </si>
  <si>
    <t>'970400</t>
  </si>
  <si>
    <t>'970500</t>
  </si>
  <si>
    <t>'970522</t>
  </si>
  <si>
    <t>'940591</t>
  </si>
  <si>
    <t>'940600</t>
  </si>
  <si>
    <t>'950420</t>
  </si>
  <si>
    <t>'950631</t>
  </si>
  <si>
    <t>'950824</t>
  </si>
  <si>
    <t>'950826</t>
  </si>
  <si>
    <t>'960910</t>
  </si>
  <si>
    <t>'961220</t>
  </si>
  <si>
    <t>'961610</t>
  </si>
  <si>
    <t>'961620</t>
  </si>
  <si>
    <t>'940391</t>
  </si>
  <si>
    <t>'940410</t>
  </si>
  <si>
    <t>'940540</t>
  </si>
  <si>
    <t>'920991</t>
  </si>
  <si>
    <t>'930320</t>
  </si>
  <si>
    <t>'930591</t>
  </si>
  <si>
    <t>'940140</t>
  </si>
  <si>
    <t>'901790</t>
  </si>
  <si>
    <t>'901811</t>
  </si>
  <si>
    <t>'901813</t>
  </si>
  <si>
    <t>'901850</t>
  </si>
  <si>
    <t>'853610</t>
  </si>
  <si>
    <t>'853910</t>
  </si>
  <si>
    <t>'853939</t>
  </si>
  <si>
    <t>'854071</t>
  </si>
  <si>
    <t>'854143</t>
  </si>
  <si>
    <t>'854150</t>
  </si>
  <si>
    <t>'890800</t>
  </si>
  <si>
    <t>'900140</t>
  </si>
  <si>
    <t>'900390</t>
  </si>
  <si>
    <t>'900590</t>
  </si>
  <si>
    <t>'900610</t>
  </si>
  <si>
    <t>'900661</t>
  </si>
  <si>
    <t>'903141</t>
  </si>
  <si>
    <t>'901720</t>
  </si>
  <si>
    <t>'902150</t>
  </si>
  <si>
    <t>'902290</t>
  </si>
  <si>
    <t>'902690</t>
  </si>
  <si>
    <t>'902780</t>
  </si>
  <si>
    <t>'910121</t>
  </si>
  <si>
    <t>'910212</t>
  </si>
  <si>
    <t>'910229</t>
  </si>
  <si>
    <t>'910511</t>
  </si>
  <si>
    <t>'910812</t>
  </si>
  <si>
    <t>'910819</t>
  </si>
  <si>
    <t>'910890</t>
  </si>
  <si>
    <t>'911410</t>
  </si>
  <si>
    <t>'940510</t>
  </si>
  <si>
    <t>'960110</t>
  </si>
  <si>
    <t>'960390</t>
  </si>
  <si>
    <t>'960711</t>
  </si>
  <si>
    <t>'960899</t>
  </si>
  <si>
    <t>'961000</t>
  </si>
  <si>
    <t>'950632</t>
  </si>
  <si>
    <t>'950659</t>
  </si>
  <si>
    <t>'950662</t>
  </si>
  <si>
    <t>'950669</t>
  </si>
  <si>
    <t>'621440</t>
  </si>
  <si>
    <t>'621520</t>
  </si>
  <si>
    <t>'670100</t>
  </si>
  <si>
    <t>'670420</t>
  </si>
  <si>
    <t>'630619</t>
  </si>
  <si>
    <t>'640320</t>
  </si>
  <si>
    <t>'620411</t>
  </si>
  <si>
    <t>'620291</t>
  </si>
  <si>
    <t>'620293</t>
  </si>
  <si>
    <t>'611219</t>
  </si>
  <si>
    <t>'600541</t>
  </si>
  <si>
    <t>'580639</t>
  </si>
  <si>
    <t>'590210</t>
  </si>
  <si>
    <t>'570232</t>
  </si>
  <si>
    <t>'570242</t>
  </si>
  <si>
    <t>'540333</t>
  </si>
  <si>
    <t>'540341</t>
  </si>
  <si>
    <t>'540490</t>
  </si>
  <si>
    <t>'540753</t>
  </si>
  <si>
    <t>'540822</t>
  </si>
  <si>
    <t>'540831</t>
  </si>
  <si>
    <t>'550140</t>
  </si>
  <si>
    <t>'550620</t>
  </si>
  <si>
    <t>'550932</t>
  </si>
  <si>
    <t>'550942</t>
  </si>
  <si>
    <t>'550969</t>
  </si>
  <si>
    <t>'551012</t>
  </si>
  <si>
    <t>'551329</t>
  </si>
  <si>
    <t>'551429</t>
  </si>
  <si>
    <t>'551442</t>
  </si>
  <si>
    <t>'551443</t>
  </si>
  <si>
    <t>'551613</t>
  </si>
  <si>
    <t>'551642</t>
  </si>
  <si>
    <t>'551644</t>
  </si>
  <si>
    <t>'560313</t>
  </si>
  <si>
    <t>'721899</t>
  </si>
  <si>
    <t>'721914</t>
  </si>
  <si>
    <t>'721924</t>
  </si>
  <si>
    <t>'722300</t>
  </si>
  <si>
    <t>'722519</t>
  </si>
  <si>
    <t>'722530</t>
  </si>
  <si>
    <t>'722540</t>
  </si>
  <si>
    <t>'722611</t>
  </si>
  <si>
    <t>'730300</t>
  </si>
  <si>
    <t>'730419</t>
  </si>
  <si>
    <t>'730449</t>
  </si>
  <si>
    <t>'730539</t>
  </si>
  <si>
    <t>'730619</t>
  </si>
  <si>
    <t>'730640</t>
  </si>
  <si>
    <t>'730661</t>
  </si>
  <si>
    <t>'720150</t>
  </si>
  <si>
    <t>'720291</t>
  </si>
  <si>
    <t>'720293</t>
  </si>
  <si>
    <t>'710813</t>
  </si>
  <si>
    <t>'711021</t>
  </si>
  <si>
    <t>'711041</t>
  </si>
  <si>
    <t>'731029</t>
  </si>
  <si>
    <t>'731290</t>
  </si>
  <si>
    <t>'731520</t>
  </si>
  <si>
    <t>'731600</t>
  </si>
  <si>
    <t>'732290</t>
  </si>
  <si>
    <t>'740313</t>
  </si>
  <si>
    <t>'680422</t>
  </si>
  <si>
    <t>'680919</t>
  </si>
  <si>
    <t>'681512</t>
  </si>
  <si>
    <t>'690310</t>
  </si>
  <si>
    <t>'690510</t>
  </si>
  <si>
    <t>'690810</t>
  </si>
  <si>
    <t>'700320</t>
  </si>
  <si>
    <t>'700719</t>
  </si>
  <si>
    <t>'701190</t>
  </si>
  <si>
    <t>'701310</t>
  </si>
  <si>
    <t>'701342</t>
  </si>
  <si>
    <t>'701952</t>
  </si>
  <si>
    <t>'701959</t>
  </si>
  <si>
    <t>'701965</t>
  </si>
  <si>
    <t>'710210</t>
  </si>
  <si>
    <t>'710221</t>
  </si>
  <si>
    <t>'710231</t>
  </si>
  <si>
    <t>'710491</t>
  </si>
  <si>
    <t>'720529</t>
  </si>
  <si>
    <t>'720840</t>
  </si>
  <si>
    <t>'720851</t>
  </si>
  <si>
    <t>'720852</t>
  </si>
  <si>
    <t>'720854</t>
  </si>
  <si>
    <t>'721011</t>
  </si>
  <si>
    <t>'721090</t>
  </si>
  <si>
    <t>'721250</t>
  </si>
  <si>
    <t>'721260</t>
  </si>
  <si>
    <t>'721590</t>
  </si>
  <si>
    <t>'721622</t>
  </si>
  <si>
    <t>'721631</t>
  </si>
  <si>
    <t>'721650</t>
  </si>
  <si>
    <t>'721699</t>
  </si>
  <si>
    <t>'721710</t>
  </si>
  <si>
    <t>'940531</t>
  </si>
  <si>
    <t>'940560</t>
  </si>
  <si>
    <t>'940569</t>
  </si>
  <si>
    <t>'910191</t>
  </si>
  <si>
    <t>'910219</t>
  </si>
  <si>
    <t>'911012</t>
  </si>
  <si>
    <t>'911490</t>
  </si>
  <si>
    <t>'920930</t>
  </si>
  <si>
    <t>'930630</t>
  </si>
  <si>
    <t>'902890</t>
  </si>
  <si>
    <t>'903033</t>
  </si>
  <si>
    <t>'901410</t>
  </si>
  <si>
    <t>'902110</t>
  </si>
  <si>
    <t>'902129</t>
  </si>
  <si>
    <t>'902511</t>
  </si>
  <si>
    <t>'902620</t>
  </si>
  <si>
    <t>'854290</t>
  </si>
  <si>
    <t>'854519</t>
  </si>
  <si>
    <t>'854520</t>
  </si>
  <si>
    <t>'854690</t>
  </si>
  <si>
    <t>'860310</t>
  </si>
  <si>
    <t>'860630</t>
  </si>
  <si>
    <t>'860692</t>
  </si>
  <si>
    <t>'870290</t>
  </si>
  <si>
    <t>'870324</t>
  </si>
  <si>
    <t>'870332</t>
  </si>
  <si>
    <t>'870431</t>
  </si>
  <si>
    <t>'870442</t>
  </si>
  <si>
    <t>'870892</t>
  </si>
  <si>
    <t>'870894</t>
  </si>
  <si>
    <t>'871000</t>
  </si>
  <si>
    <t>'871500</t>
  </si>
  <si>
    <t>'871690</t>
  </si>
  <si>
    <t>'880621</t>
  </si>
  <si>
    <t>'880699</t>
  </si>
  <si>
    <t>'900130</t>
  </si>
  <si>
    <t>'900510</t>
  </si>
  <si>
    <t>'901010</t>
  </si>
  <si>
    <t>'851690</t>
  </si>
  <si>
    <t>'851761</t>
  </si>
  <si>
    <t>'851771</t>
  </si>
  <si>
    <t>'851821</t>
  </si>
  <si>
    <t>'851850</t>
  </si>
  <si>
    <t>'852329</t>
  </si>
  <si>
    <t>'852359</t>
  </si>
  <si>
    <t>'852550</t>
  </si>
  <si>
    <t>'852582</t>
  </si>
  <si>
    <t>'850610</t>
  </si>
  <si>
    <t>'850660</t>
  </si>
  <si>
    <t>'850940</t>
  </si>
  <si>
    <t>'851210</t>
  </si>
  <si>
    <t>'851290</t>
  </si>
  <si>
    <t>'851631</t>
  </si>
  <si>
    <t>'850220</t>
  </si>
  <si>
    <t>'850410</t>
  </si>
  <si>
    <t>'852712</t>
  </si>
  <si>
    <t>'852719</t>
  </si>
  <si>
    <t>'852792</t>
  </si>
  <si>
    <t>'852862</t>
  </si>
  <si>
    <t>'853210</t>
  </si>
  <si>
    <t>'853223</t>
  </si>
  <si>
    <t>'853225</t>
  </si>
  <si>
    <t>'853339</t>
  </si>
  <si>
    <t>'853400</t>
  </si>
  <si>
    <t>'853620</t>
  </si>
  <si>
    <t>'853661</t>
  </si>
  <si>
    <t>'853670</t>
  </si>
  <si>
    <t>'853932</t>
  </si>
  <si>
    <t>'853941</t>
  </si>
  <si>
    <t>'853990</t>
  </si>
  <si>
    <t>'854089</t>
  </si>
  <si>
    <t>'854129</t>
  </si>
  <si>
    <t>'854232</t>
  </si>
  <si>
    <t>'846810</t>
  </si>
  <si>
    <t>'846820</t>
  </si>
  <si>
    <t>'846900</t>
  </si>
  <si>
    <t>'847210</t>
  </si>
  <si>
    <t>'847480</t>
  </si>
  <si>
    <t>'842381</t>
  </si>
  <si>
    <t>'842649</t>
  </si>
  <si>
    <t>'842699</t>
  </si>
  <si>
    <t>'842952</t>
  </si>
  <si>
    <t>'847810</t>
  </si>
  <si>
    <t>'847960</t>
  </si>
  <si>
    <t>'842129</t>
  </si>
  <si>
    <t>'848030</t>
  </si>
  <si>
    <t>'848041</t>
  </si>
  <si>
    <t>'848079</t>
  </si>
  <si>
    <t>'848620</t>
  </si>
  <si>
    <t>'850133</t>
  </si>
  <si>
    <t>'850140</t>
  </si>
  <si>
    <t>'843210</t>
  </si>
  <si>
    <t>'843229</t>
  </si>
  <si>
    <t>'843231</t>
  </si>
  <si>
    <t>'843241</t>
  </si>
  <si>
    <t>'843330</t>
  </si>
  <si>
    <t>'843590</t>
  </si>
  <si>
    <t>'843890</t>
  </si>
  <si>
    <t>'843930</t>
  </si>
  <si>
    <t>'844332</t>
  </si>
  <si>
    <t>'844621</t>
  </si>
  <si>
    <t>'844900</t>
  </si>
  <si>
    <t>'845012</t>
  </si>
  <si>
    <t>'845230</t>
  </si>
  <si>
    <t>'845650</t>
  </si>
  <si>
    <t>'845819</t>
  </si>
  <si>
    <t>'845951</t>
  </si>
  <si>
    <t>'845969</t>
  </si>
  <si>
    <t>'846241</t>
  </si>
  <si>
    <t>'846290</t>
  </si>
  <si>
    <t>'846310</t>
  </si>
  <si>
    <t>'846320</t>
  </si>
  <si>
    <t>'750620</t>
  </si>
  <si>
    <t>'750711</t>
  </si>
  <si>
    <t>'760421</t>
  </si>
  <si>
    <t>'760900</t>
  </si>
  <si>
    <t>'761300</t>
  </si>
  <si>
    <t>'761410</t>
  </si>
  <si>
    <t>'810199</t>
  </si>
  <si>
    <t>'810299</t>
  </si>
  <si>
    <t>'810390</t>
  </si>
  <si>
    <t>'810399</t>
  </si>
  <si>
    <t>'810520</t>
  </si>
  <si>
    <t>'811212</t>
  </si>
  <si>
    <t>'811221</t>
  </si>
  <si>
    <t>'811292</t>
  </si>
  <si>
    <t>'820231</t>
  </si>
  <si>
    <t>'820560</t>
  </si>
  <si>
    <t>'741021</t>
  </si>
  <si>
    <t>'741529</t>
  </si>
  <si>
    <t>'741533</t>
  </si>
  <si>
    <t>'741539</t>
  </si>
  <si>
    <t>'820890</t>
  </si>
  <si>
    <t>'821110</t>
  </si>
  <si>
    <t>'821195</t>
  </si>
  <si>
    <t>'821220</t>
  </si>
  <si>
    <t>'821510</t>
  </si>
  <si>
    <t>'830990</t>
  </si>
  <si>
    <t>'840729</t>
  </si>
  <si>
    <t>'841011</t>
  </si>
  <si>
    <t>'841111</t>
  </si>
  <si>
    <t>'841311</t>
  </si>
  <si>
    <t>'841420</t>
  </si>
  <si>
    <t>'841581</t>
  </si>
  <si>
    <t>'841583</t>
  </si>
  <si>
    <t>'841610</t>
  </si>
  <si>
    <t>'841710</t>
  </si>
  <si>
    <t>'841912</t>
  </si>
  <si>
    <t>'841919</t>
  </si>
  <si>
    <t>'841932</t>
  </si>
  <si>
    <t>'841939</t>
  </si>
  <si>
    <t>'841940</t>
  </si>
  <si>
    <t>'401036</t>
  </si>
  <si>
    <t>'410449</t>
  </si>
  <si>
    <t>'411310</t>
  </si>
  <si>
    <t>'440723</t>
  </si>
  <si>
    <t>'440797</t>
  </si>
  <si>
    <t>'441113</t>
  </si>
  <si>
    <t>'441251</t>
  </si>
  <si>
    <t>'441299</t>
  </si>
  <si>
    <t>'440132</t>
  </si>
  <si>
    <t>'440139</t>
  </si>
  <si>
    <t>'440220</t>
  </si>
  <si>
    <t>'440325</t>
  </si>
  <si>
    <t>'440397</t>
  </si>
  <si>
    <t>'330620</t>
  </si>
  <si>
    <t>'392340</t>
  </si>
  <si>
    <t>'390770</t>
  </si>
  <si>
    <t>'390890</t>
  </si>
  <si>
    <t>'390931</t>
  </si>
  <si>
    <t>'391120</t>
  </si>
  <si>
    <t>'391610</t>
  </si>
  <si>
    <t>'401192</t>
  </si>
  <si>
    <t>'401512</t>
  </si>
  <si>
    <t>'401519</t>
  </si>
  <si>
    <t>'400299</t>
  </si>
  <si>
    <t>'400599</t>
  </si>
  <si>
    <t>'400819</t>
  </si>
  <si>
    <t>'400931</t>
  </si>
  <si>
    <t>'520852</t>
  </si>
  <si>
    <t>'520931</t>
  </si>
  <si>
    <t>'441600</t>
  </si>
  <si>
    <t>'441873</t>
  </si>
  <si>
    <t>'482090</t>
  </si>
  <si>
    <t>'482290</t>
  </si>
  <si>
    <t>'521011</t>
  </si>
  <si>
    <t>'521112</t>
  </si>
  <si>
    <t>'521224</t>
  </si>
  <si>
    <t>'530130</t>
  </si>
  <si>
    <t>'530210</t>
  </si>
  <si>
    <t>'530720</t>
  </si>
  <si>
    <t>'530810</t>
  </si>
  <si>
    <t>'442190</t>
  </si>
  <si>
    <t>'450200</t>
  </si>
  <si>
    <t>'470692</t>
  </si>
  <si>
    <t>'480411</t>
  </si>
  <si>
    <t>'480442</t>
  </si>
  <si>
    <t>'480459</t>
  </si>
  <si>
    <t>'480540</t>
  </si>
  <si>
    <t>'480640</t>
  </si>
  <si>
    <t>'481730</t>
  </si>
  <si>
    <t>'490210</t>
  </si>
  <si>
    <t>'490510</t>
  </si>
  <si>
    <t>'490599</t>
  </si>
  <si>
    <t>'490700</t>
  </si>
  <si>
    <t>'490810</t>
  </si>
  <si>
    <t>'511111</t>
  </si>
  <si>
    <t>'520210</t>
  </si>
  <si>
    <t>'520419</t>
  </si>
  <si>
    <t>'520532</t>
  </si>
  <si>
    <t>'520541</t>
  </si>
  <si>
    <t>'520548</t>
  </si>
  <si>
    <t>'520614</t>
  </si>
  <si>
    <t>'520625</t>
  </si>
  <si>
    <t>'520842</t>
  </si>
  <si>
    <t>'293750</t>
  </si>
  <si>
    <t>'293810</t>
  </si>
  <si>
    <t>'293949</t>
  </si>
  <si>
    <t>'293959</t>
  </si>
  <si>
    <t>'293962</t>
  </si>
  <si>
    <t>'293999</t>
  </si>
  <si>
    <t>'294120</t>
  </si>
  <si>
    <t>'294140</t>
  </si>
  <si>
    <t>'300220</t>
  </si>
  <si>
    <t>'300310</t>
  </si>
  <si>
    <t>'300340</t>
  </si>
  <si>
    <t>'300342</t>
  </si>
  <si>
    <t>'300420</t>
  </si>
  <si>
    <t>'300460</t>
  </si>
  <si>
    <t>'271210</t>
  </si>
  <si>
    <t>'271490</t>
  </si>
  <si>
    <t>'280470</t>
  </si>
  <si>
    <t>'282735</t>
  </si>
  <si>
    <t>'282911</t>
  </si>
  <si>
    <t>'282990</t>
  </si>
  <si>
    <t>'283522</t>
  </si>
  <si>
    <t>'283529</t>
  </si>
  <si>
    <t>'283911</t>
  </si>
  <si>
    <t>'200950</t>
  </si>
  <si>
    <t>'210210</t>
  </si>
  <si>
    <t>'220290</t>
  </si>
  <si>
    <t>'250870</t>
  </si>
  <si>
    <t>'251200</t>
  </si>
  <si>
    <t>'251400</t>
  </si>
  <si>
    <t>'251830</t>
  </si>
  <si>
    <t>'252210</t>
  </si>
  <si>
    <t>'252490</t>
  </si>
  <si>
    <t>'252610</t>
  </si>
  <si>
    <t>'260900</t>
  </si>
  <si>
    <t>'261000</t>
  </si>
  <si>
    <t>'261710</t>
  </si>
  <si>
    <t>'261900</t>
  </si>
  <si>
    <t>'262091</t>
  </si>
  <si>
    <t>'262110</t>
  </si>
  <si>
    <t>'270710</t>
  </si>
  <si>
    <t>'330430</t>
  </si>
  <si>
    <t>'330730</t>
  </si>
  <si>
    <t>'340490</t>
  </si>
  <si>
    <t>'350110</t>
  </si>
  <si>
    <t>'350220</t>
  </si>
  <si>
    <t>'320649</t>
  </si>
  <si>
    <t>'321100</t>
  </si>
  <si>
    <t>'330124</t>
  </si>
  <si>
    <t>'310210</t>
  </si>
  <si>
    <t>'310250</t>
  </si>
  <si>
    <t>'310430</t>
  </si>
  <si>
    <t>'310530</t>
  </si>
  <si>
    <t>'370120</t>
  </si>
  <si>
    <t>'370241</t>
  </si>
  <si>
    <t>'370293</t>
  </si>
  <si>
    <t>'370298</t>
  </si>
  <si>
    <t>'370320</t>
  </si>
  <si>
    <t>'370710</t>
  </si>
  <si>
    <t>'380110</t>
  </si>
  <si>
    <t>'380510</t>
  </si>
  <si>
    <t>'380610</t>
  </si>
  <si>
    <t>'380992</t>
  </si>
  <si>
    <t>'381700</t>
  </si>
  <si>
    <t>'382213</t>
  </si>
  <si>
    <t>'382311</t>
  </si>
  <si>
    <t>'382473</t>
  </si>
  <si>
    <t>'382478</t>
  </si>
  <si>
    <t>'382482</t>
  </si>
  <si>
    <t>'382485</t>
  </si>
  <si>
    <t>'382510</t>
  </si>
  <si>
    <t>'382764</t>
  </si>
  <si>
    <t>'390461</t>
  </si>
  <si>
    <t>'100191</t>
  </si>
  <si>
    <t>'100290</t>
  </si>
  <si>
    <t>'100490</t>
  </si>
  <si>
    <t>'090300</t>
  </si>
  <si>
    <t>'060311</t>
  </si>
  <si>
    <t>'060313</t>
  </si>
  <si>
    <t>'080810</t>
  </si>
  <si>
    <t>'081120</t>
  </si>
  <si>
    <t>'080111</t>
  </si>
  <si>
    <t>'080252</t>
  </si>
  <si>
    <t>'080262</t>
  </si>
  <si>
    <t>'030822</t>
  </si>
  <si>
    <t>'030829</t>
  </si>
  <si>
    <t>'040140</t>
  </si>
  <si>
    <t>'070953</t>
  </si>
  <si>
    <t>'070955</t>
  </si>
  <si>
    <t>'070993</t>
  </si>
  <si>
    <t>'071159</t>
  </si>
  <si>
    <t>'071234</t>
  </si>
  <si>
    <t>'040610</t>
  </si>
  <si>
    <t>'040620</t>
  </si>
  <si>
    <t>'040711</t>
  </si>
  <si>
    <t>'040790</t>
  </si>
  <si>
    <t>'041010</t>
  </si>
  <si>
    <t>'050210</t>
  </si>
  <si>
    <t>'050290</t>
  </si>
  <si>
    <t>'030622</t>
  </si>
  <si>
    <t>'030624</t>
  </si>
  <si>
    <t>'030634</t>
  </si>
  <si>
    <t>'030693</t>
  </si>
  <si>
    <t>'030695</t>
  </si>
  <si>
    <t>'030712</t>
  </si>
  <si>
    <t>'030771</t>
  </si>
  <si>
    <t>'030788</t>
  </si>
  <si>
    <t>'030495</t>
  </si>
  <si>
    <t>'030497</t>
  </si>
  <si>
    <t>'030510</t>
  </si>
  <si>
    <t>'030559</t>
  </si>
  <si>
    <t>'030564</t>
  </si>
  <si>
    <t>'030463</t>
  </si>
  <si>
    <t>'030325</t>
  </si>
  <si>
    <t>'030334</t>
  </si>
  <si>
    <t>'030351</t>
  </si>
  <si>
    <t>'030193</t>
  </si>
  <si>
    <t>'030195</t>
  </si>
  <si>
    <t>'030231</t>
  </si>
  <si>
    <t>'030243</t>
  </si>
  <si>
    <t>'030245</t>
  </si>
  <si>
    <t>'030251</t>
  </si>
  <si>
    <t>'010221</t>
  </si>
  <si>
    <t>'010391</t>
  </si>
  <si>
    <t>'010410</t>
  </si>
  <si>
    <t>'010420</t>
  </si>
  <si>
    <t>'010613</t>
  </si>
  <si>
    <t>'020120</t>
  </si>
  <si>
    <t>'020441</t>
  </si>
  <si>
    <t>'020622</t>
  </si>
  <si>
    <t>'020713</t>
  </si>
  <si>
    <t>'020726</t>
  </si>
  <si>
    <t>'020741</t>
  </si>
  <si>
    <t>'020743</t>
  </si>
  <si>
    <t>'152000</t>
  </si>
  <si>
    <t>'160231</t>
  </si>
  <si>
    <t>'160232</t>
  </si>
  <si>
    <t>'160411</t>
  </si>
  <si>
    <t>'160529</t>
  </si>
  <si>
    <t>'160551</t>
  </si>
  <si>
    <t>'160558</t>
  </si>
  <si>
    <t>'170211</t>
  </si>
  <si>
    <t>'190220</t>
  </si>
  <si>
    <t>'160418</t>
  </si>
  <si>
    <t>'190540</t>
  </si>
  <si>
    <t>'200897</t>
  </si>
  <si>
    <t>'110319</t>
  </si>
  <si>
    <t>'110320</t>
  </si>
  <si>
    <t>'110814</t>
  </si>
  <si>
    <t>'120750</t>
  </si>
  <si>
    <t>'120810</t>
  </si>
  <si>
    <t>'150190</t>
  </si>
  <si>
    <t>'150430</t>
  </si>
  <si>
    <t>'150810</t>
  </si>
  <si>
    <t>'151229</t>
  </si>
  <si>
    <t>'151321</t>
  </si>
  <si>
    <t>'151419</t>
  </si>
  <si>
    <t>'151491</t>
  </si>
  <si>
    <t>'151511</t>
  </si>
  <si>
    <t>'284210</t>
  </si>
  <si>
    <t>'284330</t>
  </si>
  <si>
    <t>'284410</t>
  </si>
  <si>
    <t>'284420</t>
  </si>
  <si>
    <t>'284590</t>
  </si>
  <si>
    <t>'284920</t>
  </si>
  <si>
    <t>'290373</t>
  </si>
  <si>
    <t>'290377</t>
  </si>
  <si>
    <t>'290379</t>
  </si>
  <si>
    <t>'290549</t>
  </si>
  <si>
    <t>'290629</t>
  </si>
  <si>
    <t>'290713</t>
  </si>
  <si>
    <t>'290715</t>
  </si>
  <si>
    <t>'290723</t>
  </si>
  <si>
    <t>'290892</t>
  </si>
  <si>
    <t>'290911</t>
  </si>
  <si>
    <t>'291411</t>
  </si>
  <si>
    <t>'291413</t>
  </si>
  <si>
    <t>'291423</t>
  </si>
  <si>
    <t>'291439</t>
  </si>
  <si>
    <t>'291440</t>
  </si>
  <si>
    <t>'291532</t>
  </si>
  <si>
    <t>'291590</t>
  </si>
  <si>
    <t>'291632</t>
  </si>
  <si>
    <t>'291714</t>
  </si>
  <si>
    <t>'291736</t>
  </si>
  <si>
    <t>'291823</t>
  </si>
  <si>
    <t>'291891</t>
  </si>
  <si>
    <t>'292022</t>
  </si>
  <si>
    <t>'292143</t>
  </si>
  <si>
    <t>'292216</t>
  </si>
  <si>
    <t>'292218</t>
  </si>
  <si>
    <t>'292241</t>
  </si>
  <si>
    <t>'292424</t>
  </si>
  <si>
    <t>'292800</t>
  </si>
  <si>
    <t>'292990</t>
  </si>
  <si>
    <t>'293145</t>
  </si>
  <si>
    <t>'293159</t>
  </si>
  <si>
    <t>'293291</t>
  </si>
  <si>
    <t>'293295</t>
  </si>
  <si>
    <t>'293321</t>
  </si>
  <si>
    <t>'293336</t>
  </si>
  <si>
    <t>'293369</t>
  </si>
  <si>
    <t>'293510</t>
  </si>
  <si>
    <t>'293540</t>
  </si>
  <si>
    <t>'293622</t>
  </si>
  <si>
    <t>'293624</t>
  </si>
  <si>
    <t>'392094</t>
  </si>
  <si>
    <t>'392220</t>
  </si>
  <si>
    <t>'401169</t>
  </si>
  <si>
    <t>'401194</t>
  </si>
  <si>
    <t>'401211</t>
  </si>
  <si>
    <t>'401213</t>
  </si>
  <si>
    <t>'401410</t>
  </si>
  <si>
    <t>'401490</t>
  </si>
  <si>
    <t>'401691</t>
  </si>
  <si>
    <t>'401700</t>
  </si>
  <si>
    <t>'410150</t>
  </si>
  <si>
    <t>'410510</t>
  </si>
  <si>
    <t>'410692</t>
  </si>
  <si>
    <t>'410711</t>
  </si>
  <si>
    <t>'410792</t>
  </si>
  <si>
    <t>'411320</t>
  </si>
  <si>
    <t>'430110</t>
  </si>
  <si>
    <t>'440112</t>
  </si>
  <si>
    <t>'440149</t>
  </si>
  <si>
    <t>'440321</t>
  </si>
  <si>
    <t>'440391</t>
  </si>
  <si>
    <t>'440393</t>
  </si>
  <si>
    <t>'440395</t>
  </si>
  <si>
    <t>'440691</t>
  </si>
  <si>
    <t>'440711</t>
  </si>
  <si>
    <t>'440725</t>
  </si>
  <si>
    <t>'440727</t>
  </si>
  <si>
    <t>'440793</t>
  </si>
  <si>
    <t>'440795</t>
  </si>
  <si>
    <t>'441233</t>
  </si>
  <si>
    <t>'441294</t>
  </si>
  <si>
    <t>'441300</t>
  </si>
  <si>
    <t>'330410</t>
  </si>
  <si>
    <t>'320641</t>
  </si>
  <si>
    <t>'200840</t>
  </si>
  <si>
    <t>'400220</t>
  </si>
  <si>
    <t>'400239</t>
  </si>
  <si>
    <t>'400260</t>
  </si>
  <si>
    <t>'400280</t>
  </si>
  <si>
    <t>'400300</t>
  </si>
  <si>
    <t>'400520</t>
  </si>
  <si>
    <t>'281111</t>
  </si>
  <si>
    <t>'281210</t>
  </si>
  <si>
    <t>'281219</t>
  </si>
  <si>
    <t>'281420</t>
  </si>
  <si>
    <t>'281990</t>
  </si>
  <si>
    <t>'282590</t>
  </si>
  <si>
    <t>'282612</t>
  </si>
  <si>
    <t>'282739</t>
  </si>
  <si>
    <t>'283010</t>
  </si>
  <si>
    <t>'283090</t>
  </si>
  <si>
    <t>'283230</t>
  </si>
  <si>
    <t>'251730</t>
  </si>
  <si>
    <t>'251910</t>
  </si>
  <si>
    <t>'252410</t>
  </si>
  <si>
    <t>'260400</t>
  </si>
  <si>
    <t>'261610</t>
  </si>
  <si>
    <t>'261790</t>
  </si>
  <si>
    <t>'261800</t>
  </si>
  <si>
    <t>'270600</t>
  </si>
  <si>
    <t>'270720</t>
  </si>
  <si>
    <t>'270750</t>
  </si>
  <si>
    <t>'280519</t>
  </si>
  <si>
    <t>'160431</t>
  </si>
  <si>
    <t>'160561</t>
  </si>
  <si>
    <t>'160563</t>
  </si>
  <si>
    <t>'170112</t>
  </si>
  <si>
    <t>'150990</t>
  </si>
  <si>
    <t>'151211</t>
  </si>
  <si>
    <t>'151610</t>
  </si>
  <si>
    <t>'151630</t>
  </si>
  <si>
    <t>'160210</t>
  </si>
  <si>
    <t>'160249</t>
  </si>
  <si>
    <t>'160300</t>
  </si>
  <si>
    <t>'160412</t>
  </si>
  <si>
    <t>'220190</t>
  </si>
  <si>
    <t>'220410</t>
  </si>
  <si>
    <t>'220850</t>
  </si>
  <si>
    <t>'200310</t>
  </si>
  <si>
    <t>'200510</t>
  </si>
  <si>
    <t>'230240</t>
  </si>
  <si>
    <t>'230310</t>
  </si>
  <si>
    <t>'230650</t>
  </si>
  <si>
    <t>'230700</t>
  </si>
  <si>
    <t>'240491</t>
  </si>
  <si>
    <t>'250410</t>
  </si>
  <si>
    <t>'250860</t>
  </si>
  <si>
    <t>'251110</t>
  </si>
  <si>
    <t>'251120</t>
  </si>
  <si>
    <t>'251511</t>
  </si>
  <si>
    <t>'251612</t>
  </si>
  <si>
    <t>'340319</t>
  </si>
  <si>
    <t>'340420</t>
  </si>
  <si>
    <t>'340520</t>
  </si>
  <si>
    <t>'340700</t>
  </si>
  <si>
    <t>'350790</t>
  </si>
  <si>
    <t>'360340</t>
  </si>
  <si>
    <t>'370130</t>
  </si>
  <si>
    <t>'370243</t>
  </si>
  <si>
    <t>'370610</t>
  </si>
  <si>
    <t>'370790</t>
  </si>
  <si>
    <t>'380850</t>
  </si>
  <si>
    <t>'380859</t>
  </si>
  <si>
    <t>'380869</t>
  </si>
  <si>
    <t>'380893</t>
  </si>
  <si>
    <t>'381190</t>
  </si>
  <si>
    <t>'381231</t>
  </si>
  <si>
    <t>'381800</t>
  </si>
  <si>
    <t>'382200</t>
  </si>
  <si>
    <t>'382219</t>
  </si>
  <si>
    <t>'382319</t>
  </si>
  <si>
    <t>'382450</t>
  </si>
  <si>
    <t>'382471</t>
  </si>
  <si>
    <t>'382489</t>
  </si>
  <si>
    <t>'382490</t>
  </si>
  <si>
    <t>'382492</t>
  </si>
  <si>
    <t>'382530</t>
  </si>
  <si>
    <t>'382561</t>
  </si>
  <si>
    <t>'382759</t>
  </si>
  <si>
    <t>'382768</t>
  </si>
  <si>
    <t>'390220</t>
  </si>
  <si>
    <t>'390440</t>
  </si>
  <si>
    <t>'390519</t>
  </si>
  <si>
    <t>'390529</t>
  </si>
  <si>
    <t>'390720</t>
  </si>
  <si>
    <t>'390939</t>
  </si>
  <si>
    <t>'391400</t>
  </si>
  <si>
    <t>'391620</t>
  </si>
  <si>
    <t>'391710</t>
  </si>
  <si>
    <t>'081050</t>
  </si>
  <si>
    <t>'080840</t>
  </si>
  <si>
    <t>'030486</t>
  </si>
  <si>
    <t>'070940</t>
  </si>
  <si>
    <t>'070951</t>
  </si>
  <si>
    <t>'120740</t>
  </si>
  <si>
    <t>'121140</t>
  </si>
  <si>
    <t>'121229</t>
  </si>
  <si>
    <t>'130214</t>
  </si>
  <si>
    <t>'130231</t>
  </si>
  <si>
    <t>'140110</t>
  </si>
  <si>
    <t>'150600</t>
  </si>
  <si>
    <t>'150890</t>
  </si>
  <si>
    <t>'100821</t>
  </si>
  <si>
    <t>'100860</t>
  </si>
  <si>
    <t>'110430</t>
  </si>
  <si>
    <t>'120300</t>
  </si>
  <si>
    <t>'020130</t>
  </si>
  <si>
    <t>'020322</t>
  </si>
  <si>
    <t>'020422</t>
  </si>
  <si>
    <t>'020443</t>
  </si>
  <si>
    <t>'020649</t>
  </si>
  <si>
    <t>'020711</t>
  </si>
  <si>
    <t>'020724</t>
  </si>
  <si>
    <t>'020745</t>
  </si>
  <si>
    <t>'020755</t>
  </si>
  <si>
    <t>'020760</t>
  </si>
  <si>
    <t>'020840</t>
  </si>
  <si>
    <t>'020850</t>
  </si>
  <si>
    <t>'021099</t>
  </si>
  <si>
    <t>'030213</t>
  </si>
  <si>
    <t>'030222</t>
  </si>
  <si>
    <t>'030224</t>
  </si>
  <si>
    <t>'030247</t>
  </si>
  <si>
    <t>'030249</t>
  </si>
  <si>
    <t>'030272</t>
  </si>
  <si>
    <t>'030284</t>
  </si>
  <si>
    <t>'010229</t>
  </si>
  <si>
    <t>'010513</t>
  </si>
  <si>
    <t>'010515</t>
  </si>
  <si>
    <t>'030313</t>
  </si>
  <si>
    <t>'030319</t>
  </si>
  <si>
    <t>'030329</t>
  </si>
  <si>
    <t>'030346</t>
  </si>
  <si>
    <t>'030363</t>
  </si>
  <si>
    <t>'030433</t>
  </si>
  <si>
    <t>'030543</t>
  </si>
  <si>
    <t>'030562</t>
  </si>
  <si>
    <t>'030626</t>
  </si>
  <si>
    <t>'030631</t>
  </si>
  <si>
    <t>'030699</t>
  </si>
  <si>
    <t>'030731</t>
  </si>
  <si>
    <t>'030791</t>
  </si>
  <si>
    <t>'030910</t>
  </si>
  <si>
    <t>'040510</t>
  </si>
  <si>
    <t>'040811</t>
  </si>
  <si>
    <t>'050710</t>
  </si>
  <si>
    <t>'060315</t>
  </si>
  <si>
    <t>'060390</t>
  </si>
  <si>
    <t>'283410</t>
  </si>
  <si>
    <t>'283691</t>
  </si>
  <si>
    <t>'283720</t>
  </si>
  <si>
    <t>'284440</t>
  </si>
  <si>
    <t>'284700</t>
  </si>
  <si>
    <t>'290270</t>
  </si>
  <si>
    <t>'290290</t>
  </si>
  <si>
    <t>'290322</t>
  </si>
  <si>
    <t>'290345</t>
  </si>
  <si>
    <t>'290347</t>
  </si>
  <si>
    <t>'290369</t>
  </si>
  <si>
    <t>'290382</t>
  </si>
  <si>
    <t>'290393</t>
  </si>
  <si>
    <t>'290511</t>
  </si>
  <si>
    <t>'290517</t>
  </si>
  <si>
    <t>'290529</t>
  </si>
  <si>
    <t>'290532</t>
  </si>
  <si>
    <t>'290611</t>
  </si>
  <si>
    <t>'290621</t>
  </si>
  <si>
    <t>'290711</t>
  </si>
  <si>
    <t>'290721</t>
  </si>
  <si>
    <t>'290729</t>
  </si>
  <si>
    <t>'290819</t>
  </si>
  <si>
    <t>'290920</t>
  </si>
  <si>
    <t>'291020</t>
  </si>
  <si>
    <t>'291040</t>
  </si>
  <si>
    <t>'291229</t>
  </si>
  <si>
    <t>'291250</t>
  </si>
  <si>
    <t>'291450</t>
  </si>
  <si>
    <t>'291469</t>
  </si>
  <si>
    <t>'291612</t>
  </si>
  <si>
    <t>'291712</t>
  </si>
  <si>
    <t>'291732</t>
  </si>
  <si>
    <t>'291734</t>
  </si>
  <si>
    <t>'291819</t>
  </si>
  <si>
    <t>'291829</t>
  </si>
  <si>
    <t>'291830</t>
  </si>
  <si>
    <t>'292024</t>
  </si>
  <si>
    <t>'292112</t>
  </si>
  <si>
    <t>'292122</t>
  </si>
  <si>
    <t>'292145</t>
  </si>
  <si>
    <t>'292239</t>
  </si>
  <si>
    <t>'292243</t>
  </si>
  <si>
    <t>'292521</t>
  </si>
  <si>
    <t>'293010</t>
  </si>
  <si>
    <t>'293132</t>
  </si>
  <si>
    <t>'293149</t>
  </si>
  <si>
    <t>'293220</t>
  </si>
  <si>
    <t>'293293</t>
  </si>
  <si>
    <t>'293349</t>
  </si>
  <si>
    <t>'293352</t>
  </si>
  <si>
    <t>'293500</t>
  </si>
  <si>
    <t>'293590</t>
  </si>
  <si>
    <t>'293711</t>
  </si>
  <si>
    <t>'300215</t>
  </si>
  <si>
    <t>'300290</t>
  </si>
  <si>
    <t>'300320</t>
  </si>
  <si>
    <t>'300331</t>
  </si>
  <si>
    <t>'300620</t>
  </si>
  <si>
    <t>'300630</t>
  </si>
  <si>
    <t>'300640</t>
  </si>
  <si>
    <t>'310229</t>
  </si>
  <si>
    <t>'310230</t>
  </si>
  <si>
    <t>'310310</t>
  </si>
  <si>
    <t>'310420</t>
  </si>
  <si>
    <t>'310510</t>
  </si>
  <si>
    <t>'310551</t>
  </si>
  <si>
    <t>'310590</t>
  </si>
  <si>
    <t>'600631</t>
  </si>
  <si>
    <t>'600633</t>
  </si>
  <si>
    <t>'551211</t>
  </si>
  <si>
    <t>'551319</t>
  </si>
  <si>
    <t>'551331</t>
  </si>
  <si>
    <t>'551430</t>
  </si>
  <si>
    <t>'551623</t>
  </si>
  <si>
    <t>'560121</t>
  </si>
  <si>
    <t>'570220</t>
  </si>
  <si>
    <t>'570249</t>
  </si>
  <si>
    <t>'610423</t>
  </si>
  <si>
    <t>'620119</t>
  </si>
  <si>
    <t>'620191</t>
  </si>
  <si>
    <t>'611522</t>
  </si>
  <si>
    <t>'711031</t>
  </si>
  <si>
    <t>'711100</t>
  </si>
  <si>
    <t>'720120</t>
  </si>
  <si>
    <t>'720249</t>
  </si>
  <si>
    <t>'720390</t>
  </si>
  <si>
    <t>'720711</t>
  </si>
  <si>
    <t>'720810</t>
  </si>
  <si>
    <t>'720827</t>
  </si>
  <si>
    <t>'720838</t>
  </si>
  <si>
    <t>'720925</t>
  </si>
  <si>
    <t>'721061</t>
  </si>
  <si>
    <t>'721113</t>
  </si>
  <si>
    <t>'721210</t>
  </si>
  <si>
    <t>'721399</t>
  </si>
  <si>
    <t>'721491</t>
  </si>
  <si>
    <t>'721510</t>
  </si>
  <si>
    <t>'721633</t>
  </si>
  <si>
    <t>'721669</t>
  </si>
  <si>
    <t>'721891</t>
  </si>
  <si>
    <t>'721911</t>
  </si>
  <si>
    <t>'722020</t>
  </si>
  <si>
    <t>'722100</t>
  </si>
  <si>
    <t>'722219</t>
  </si>
  <si>
    <t>'722230</t>
  </si>
  <si>
    <t>'722490</t>
  </si>
  <si>
    <t>'722620</t>
  </si>
  <si>
    <t>'722692</t>
  </si>
  <si>
    <t>'722710</t>
  </si>
  <si>
    <t>'722830</t>
  </si>
  <si>
    <t>'730441</t>
  </si>
  <si>
    <t>'730451</t>
  </si>
  <si>
    <t>'521111</t>
  </si>
  <si>
    <t>'521152</t>
  </si>
  <si>
    <t>'521211</t>
  </si>
  <si>
    <t>'521221</t>
  </si>
  <si>
    <t>'521222</t>
  </si>
  <si>
    <t>'551020</t>
  </si>
  <si>
    <t>'550911</t>
  </si>
  <si>
    <t>'540244</t>
  </si>
  <si>
    <t>'540246</t>
  </si>
  <si>
    <t>'540310</t>
  </si>
  <si>
    <t>'540332</t>
  </si>
  <si>
    <t>'540720</t>
  </si>
  <si>
    <t>'540751</t>
  </si>
  <si>
    <t>'540774</t>
  </si>
  <si>
    <t>'540833</t>
  </si>
  <si>
    <t>'550119</t>
  </si>
  <si>
    <t>'550120</t>
  </si>
  <si>
    <t>'590110</t>
  </si>
  <si>
    <t>'590699</t>
  </si>
  <si>
    <t>'600199</t>
  </si>
  <si>
    <t>'600390</t>
  </si>
  <si>
    <t>'600521</t>
  </si>
  <si>
    <t>'600523</t>
  </si>
  <si>
    <t>'600535</t>
  </si>
  <si>
    <t>'570329</t>
  </si>
  <si>
    <t>'570331</t>
  </si>
  <si>
    <t>'580122</t>
  </si>
  <si>
    <t>'580190</t>
  </si>
  <si>
    <t>'580220</t>
  </si>
  <si>
    <t>'580429</t>
  </si>
  <si>
    <t>'580810</t>
  </si>
  <si>
    <t>'520643</t>
  </si>
  <si>
    <t>'520929</t>
  </si>
  <si>
    <t>'520819</t>
  </si>
  <si>
    <t>'520832</t>
  </si>
  <si>
    <t>'482030</t>
  </si>
  <si>
    <t>'482040</t>
  </si>
  <si>
    <t>'482370</t>
  </si>
  <si>
    <t>'510220</t>
  </si>
  <si>
    <t>'520612</t>
  </si>
  <si>
    <t>'520633</t>
  </si>
  <si>
    <t>'520635</t>
  </si>
  <si>
    <t>'441830</t>
  </si>
  <si>
    <t>'441882</t>
  </si>
  <si>
    <t>'441892</t>
  </si>
  <si>
    <t>'450390</t>
  </si>
  <si>
    <t>'460121</t>
  </si>
  <si>
    <t>'460199</t>
  </si>
  <si>
    <t>'470100</t>
  </si>
  <si>
    <t>'470500</t>
  </si>
  <si>
    <t>'480210</t>
  </si>
  <si>
    <t>'480262</t>
  </si>
  <si>
    <t>'480429</t>
  </si>
  <si>
    <t>'480452</t>
  </si>
  <si>
    <t>'480524</t>
  </si>
  <si>
    <t>'480530</t>
  </si>
  <si>
    <t>'481019</t>
  </si>
  <si>
    <t>'481029</t>
  </si>
  <si>
    <t>'481031</t>
  </si>
  <si>
    <t>'630319</t>
  </si>
  <si>
    <t>'660110</t>
  </si>
  <si>
    <t>'680530</t>
  </si>
  <si>
    <t>'680690</t>
  </si>
  <si>
    <t>'681510</t>
  </si>
  <si>
    <t>'690790</t>
  </si>
  <si>
    <t>'690890</t>
  </si>
  <si>
    <t>'690911</t>
  </si>
  <si>
    <t>'700220</t>
  </si>
  <si>
    <t>'700319</t>
  </si>
  <si>
    <t>'700529</t>
  </si>
  <si>
    <t>'701110</t>
  </si>
  <si>
    <t>'701322</t>
  </si>
  <si>
    <t>'701610</t>
  </si>
  <si>
    <t>'701720</t>
  </si>
  <si>
    <t>'701820</t>
  </si>
  <si>
    <t>'701961</t>
  </si>
  <si>
    <t>'701963</t>
  </si>
  <si>
    <t>'731441</t>
  </si>
  <si>
    <t>'731450</t>
  </si>
  <si>
    <t>'731519</t>
  </si>
  <si>
    <t>'731582</t>
  </si>
  <si>
    <t>'731819</t>
  </si>
  <si>
    <t>'730722</t>
  </si>
  <si>
    <t>'730820</t>
  </si>
  <si>
    <t>'730900</t>
  </si>
  <si>
    <t>'731300</t>
  </si>
  <si>
    <t>'640312</t>
  </si>
  <si>
    <t>'740931</t>
  </si>
  <si>
    <t>'741129</t>
  </si>
  <si>
    <t>'741910</t>
  </si>
  <si>
    <t>'741991</t>
  </si>
  <si>
    <t>'750512</t>
  </si>
  <si>
    <t>'731823</t>
  </si>
  <si>
    <t>'732189</t>
  </si>
  <si>
    <t>'732219</t>
  </si>
  <si>
    <t>'732399</t>
  </si>
  <si>
    <t>'732421</t>
  </si>
  <si>
    <t>'732599</t>
  </si>
  <si>
    <t>'732611</t>
  </si>
  <si>
    <t>'810110</t>
  </si>
  <si>
    <t>'810295</t>
  </si>
  <si>
    <t>'810297</t>
  </si>
  <si>
    <t>'810411</t>
  </si>
  <si>
    <t>'810921</t>
  </si>
  <si>
    <t>'811241</t>
  </si>
  <si>
    <t>'820140</t>
  </si>
  <si>
    <t>'820320</t>
  </si>
  <si>
    <t>'820730</t>
  </si>
  <si>
    <t>'830160</t>
  </si>
  <si>
    <t>'830220</t>
  </si>
  <si>
    <t>'830300</t>
  </si>
  <si>
    <t>'830610</t>
  </si>
  <si>
    <t>'830710</t>
  </si>
  <si>
    <t>'831110</t>
  </si>
  <si>
    <t>'840140</t>
  </si>
  <si>
    <t>'840690</t>
  </si>
  <si>
    <t>'847690</t>
  </si>
  <si>
    <t>'847730</t>
  </si>
  <si>
    <t>'847759</t>
  </si>
  <si>
    <t>'847982</t>
  </si>
  <si>
    <t>'848020</t>
  </si>
  <si>
    <t>'848060</t>
  </si>
  <si>
    <t>'848140</t>
  </si>
  <si>
    <t>'847431</t>
  </si>
  <si>
    <t>'841861</t>
  </si>
  <si>
    <t>'841891</t>
  </si>
  <si>
    <t>'841934</t>
  </si>
  <si>
    <t>'842091</t>
  </si>
  <si>
    <t>'842199</t>
  </si>
  <si>
    <t>'842219</t>
  </si>
  <si>
    <t>'843910</t>
  </si>
  <si>
    <t>'843999</t>
  </si>
  <si>
    <t>'844010</t>
  </si>
  <si>
    <t>'844140</t>
  </si>
  <si>
    <t>'844311</t>
  </si>
  <si>
    <t>'844400</t>
  </si>
  <si>
    <t>'844530</t>
  </si>
  <si>
    <t>'844590</t>
  </si>
  <si>
    <t>'844711</t>
  </si>
  <si>
    <t>'844820</t>
  </si>
  <si>
    <t>'844832</t>
  </si>
  <si>
    <t>'845290</t>
  </si>
  <si>
    <t>'845420</t>
  </si>
  <si>
    <t>'845510</t>
  </si>
  <si>
    <t>'845522</t>
  </si>
  <si>
    <t>'845949</t>
  </si>
  <si>
    <t>'846019</t>
  </si>
  <si>
    <t>'846022</t>
  </si>
  <si>
    <t>'846090</t>
  </si>
  <si>
    <t>'846210</t>
  </si>
  <si>
    <t>'846219</t>
  </si>
  <si>
    <t>'846233</t>
  </si>
  <si>
    <t>'846420</t>
  </si>
  <si>
    <t>'846721</t>
  </si>
  <si>
    <t>'846789</t>
  </si>
  <si>
    <t>'847010</t>
  </si>
  <si>
    <t>'847090</t>
  </si>
  <si>
    <t>'841470</t>
  </si>
  <si>
    <t>'841280</t>
  </si>
  <si>
    <t>'841013</t>
  </si>
  <si>
    <t>'841121</t>
  </si>
  <si>
    <t>'841182</t>
  </si>
  <si>
    <t>'761010</t>
  </si>
  <si>
    <t>'761100</t>
  </si>
  <si>
    <t>'780419</t>
  </si>
  <si>
    <t>'842482</t>
  </si>
  <si>
    <t>'842531</t>
  </si>
  <si>
    <t>'842541</t>
  </si>
  <si>
    <t>'842620</t>
  </si>
  <si>
    <t>'842710</t>
  </si>
  <si>
    <t>'842870</t>
  </si>
  <si>
    <t>'842919</t>
  </si>
  <si>
    <t>'843031</t>
  </si>
  <si>
    <t>'843069</t>
  </si>
  <si>
    <t>'843120</t>
  </si>
  <si>
    <t>'843320</t>
  </si>
  <si>
    <t>'843340</t>
  </si>
  <si>
    <t>'843352</t>
  </si>
  <si>
    <t>'843680</t>
  </si>
  <si>
    <t>'843790</t>
  </si>
  <si>
    <t>'843840</t>
  </si>
  <si>
    <t>'961380</t>
  </si>
  <si>
    <t>'961519</t>
  </si>
  <si>
    <t>'960622</t>
  </si>
  <si>
    <t>'950612</t>
  </si>
  <si>
    <t>'950661</t>
  </si>
  <si>
    <t>'950730</t>
  </si>
  <si>
    <t>'950821</t>
  </si>
  <si>
    <t>'950823</t>
  </si>
  <si>
    <t>'950890</t>
  </si>
  <si>
    <t>'960321</t>
  </si>
  <si>
    <t>'960400</t>
  </si>
  <si>
    <t>'940381</t>
  </si>
  <si>
    <t>'940383</t>
  </si>
  <si>
    <t>'940541</t>
  </si>
  <si>
    <t>'930110</t>
  </si>
  <si>
    <t>'940131</t>
  </si>
  <si>
    <t>'940199</t>
  </si>
  <si>
    <t>'903300</t>
  </si>
  <si>
    <t>'910599</t>
  </si>
  <si>
    <t>'910910</t>
  </si>
  <si>
    <t>'911290</t>
  </si>
  <si>
    <t>'911320</t>
  </si>
  <si>
    <t>'911430</t>
  </si>
  <si>
    <t>'920110</t>
  </si>
  <si>
    <t>'920120</t>
  </si>
  <si>
    <t>'920510</t>
  </si>
  <si>
    <t>'920994</t>
  </si>
  <si>
    <t>'902781</t>
  </si>
  <si>
    <t>'902830</t>
  </si>
  <si>
    <t>'903039</t>
  </si>
  <si>
    <t>'871130</t>
  </si>
  <si>
    <t>'871310</t>
  </si>
  <si>
    <t>'871491</t>
  </si>
  <si>
    <t>'871493</t>
  </si>
  <si>
    <t>'871610</t>
  </si>
  <si>
    <t>'880220</t>
  </si>
  <si>
    <t>'880260</t>
  </si>
  <si>
    <t>'880310</t>
  </si>
  <si>
    <t>'880510</t>
  </si>
  <si>
    <t>'880623</t>
  </si>
  <si>
    <t>'880790</t>
  </si>
  <si>
    <t>'890190</t>
  </si>
  <si>
    <t>'890322</t>
  </si>
  <si>
    <t>'890510</t>
  </si>
  <si>
    <t>'900220</t>
  </si>
  <si>
    <t>'900311</t>
  </si>
  <si>
    <t>'900659</t>
  </si>
  <si>
    <t>'901050</t>
  </si>
  <si>
    <t>'901090</t>
  </si>
  <si>
    <t>'901190</t>
  </si>
  <si>
    <t>'901310</t>
  </si>
  <si>
    <t>'901600</t>
  </si>
  <si>
    <t>'901841</t>
  </si>
  <si>
    <t>'902131</t>
  </si>
  <si>
    <t>'902213</t>
  </si>
  <si>
    <t>'853921</t>
  </si>
  <si>
    <t>'853950</t>
  </si>
  <si>
    <t>'853952</t>
  </si>
  <si>
    <t>'854151</t>
  </si>
  <si>
    <t>'854419</t>
  </si>
  <si>
    <t>'854460</t>
  </si>
  <si>
    <t>'854911</t>
  </si>
  <si>
    <t>'854913</t>
  </si>
  <si>
    <t>'854939</t>
  </si>
  <si>
    <t>'860721</t>
  </si>
  <si>
    <t>'870120</t>
  </si>
  <si>
    <t>'870123</t>
  </si>
  <si>
    <t>'870230</t>
  </si>
  <si>
    <t>'870390</t>
  </si>
  <si>
    <t>'870520</t>
  </si>
  <si>
    <t>'870821</t>
  </si>
  <si>
    <t>'848360</t>
  </si>
  <si>
    <t>'848790</t>
  </si>
  <si>
    <t>'850120</t>
  </si>
  <si>
    <t>'850432</t>
  </si>
  <si>
    <t>'850750</t>
  </si>
  <si>
    <t>'850819</t>
  </si>
  <si>
    <t>'851090</t>
  </si>
  <si>
    <t>'851410</t>
  </si>
  <si>
    <t>'851439</t>
  </si>
  <si>
    <t>'851440</t>
  </si>
  <si>
    <t>'851521</t>
  </si>
  <si>
    <t>'851539</t>
  </si>
  <si>
    <t>'851650</t>
  </si>
  <si>
    <t>'851679</t>
  </si>
  <si>
    <t>'851840</t>
  </si>
  <si>
    <t>'851989</t>
  </si>
  <si>
    <t>'852491</t>
  </si>
  <si>
    <t>'852580</t>
  </si>
  <si>
    <t>'852849</t>
  </si>
  <si>
    <t>'852851</t>
  </si>
  <si>
    <t>'853229</t>
  </si>
  <si>
    <t>'853310</t>
  </si>
  <si>
    <t>'392073</t>
  </si>
  <si>
    <t>'340213</t>
  </si>
  <si>
    <t>'340231</t>
  </si>
  <si>
    <t>'391722</t>
  </si>
  <si>
    <t>'382761</t>
  </si>
  <si>
    <t>'390210</t>
  </si>
  <si>
    <t>'390290</t>
  </si>
  <si>
    <t>'390450</t>
  </si>
  <si>
    <t>'390750</t>
  </si>
  <si>
    <t>'390760</t>
  </si>
  <si>
    <t>'391212</t>
  </si>
  <si>
    <t>'391220</t>
  </si>
  <si>
    <t>'391239</t>
  </si>
  <si>
    <t>'391290</t>
  </si>
  <si>
    <t>'391530</t>
  </si>
  <si>
    <t>'401161</t>
  </si>
  <si>
    <t>'401219</t>
  </si>
  <si>
    <t>'401310</t>
  </si>
  <si>
    <t>'400211</t>
  </si>
  <si>
    <t>'400942</t>
  </si>
  <si>
    <t>'401019</t>
  </si>
  <si>
    <t>'401032</t>
  </si>
  <si>
    <t>'440110</t>
  </si>
  <si>
    <t>'440141</t>
  </si>
  <si>
    <t>'440210</t>
  </si>
  <si>
    <t>'410320</t>
  </si>
  <si>
    <t>'410530</t>
  </si>
  <si>
    <t>'410622</t>
  </si>
  <si>
    <t>'440610</t>
  </si>
  <si>
    <t>'440612</t>
  </si>
  <si>
    <t>'441194</t>
  </si>
  <si>
    <t>'441210</t>
  </si>
  <si>
    <t>'441241</t>
  </si>
  <si>
    <t>'430130</t>
  </si>
  <si>
    <t>'441700</t>
  </si>
  <si>
    <t>'441820</t>
  </si>
  <si>
    <t>'441840</t>
  </si>
  <si>
    <t>'441875</t>
  </si>
  <si>
    <t>'441889</t>
  </si>
  <si>
    <t>'442110</t>
  </si>
  <si>
    <t>'450190</t>
  </si>
  <si>
    <t>'470411</t>
  </si>
  <si>
    <t>'470429</t>
  </si>
  <si>
    <t>'470630</t>
  </si>
  <si>
    <t>'470691</t>
  </si>
  <si>
    <t>'480100</t>
  </si>
  <si>
    <t>'480255</t>
  </si>
  <si>
    <t>'480269</t>
  </si>
  <si>
    <t>'510531</t>
  </si>
  <si>
    <t>'520299</t>
  </si>
  <si>
    <t>'520522</t>
  </si>
  <si>
    <t>'520523</t>
  </si>
  <si>
    <t>'520534</t>
  </si>
  <si>
    <t>'520535</t>
  </si>
  <si>
    <t>'481320</t>
  </si>
  <si>
    <t>'481850</t>
  </si>
  <si>
    <t>'480421</t>
  </si>
  <si>
    <t>'480512</t>
  </si>
  <si>
    <t>'480550</t>
  </si>
  <si>
    <t>'480592</t>
  </si>
  <si>
    <t>'481013</t>
  </si>
  <si>
    <t>'481039</t>
  </si>
  <si>
    <t>'320710</t>
  </si>
  <si>
    <t>'320740</t>
  </si>
  <si>
    <t>'321000</t>
  </si>
  <si>
    <t>'320414</t>
  </si>
  <si>
    <t>'330130</t>
  </si>
  <si>
    <t>'330290</t>
  </si>
  <si>
    <t>'330530</t>
  </si>
  <si>
    <t>'340510</t>
  </si>
  <si>
    <t>'350219</t>
  </si>
  <si>
    <t>'350610</t>
  </si>
  <si>
    <t>'360300</t>
  </si>
  <si>
    <t>'370239</t>
  </si>
  <si>
    <t>'370254</t>
  </si>
  <si>
    <t>'370295</t>
  </si>
  <si>
    <t>'370296</t>
  </si>
  <si>
    <t>'380130</t>
  </si>
  <si>
    <t>'380190</t>
  </si>
  <si>
    <t>'380210</t>
  </si>
  <si>
    <t>'380700</t>
  </si>
  <si>
    <t>'380852</t>
  </si>
  <si>
    <t>'381090</t>
  </si>
  <si>
    <t>'381239</t>
  </si>
  <si>
    <t>'381400</t>
  </si>
  <si>
    <t>'381511</t>
  </si>
  <si>
    <t>'382000</t>
  </si>
  <si>
    <t>'382100</t>
  </si>
  <si>
    <t>'382212</t>
  </si>
  <si>
    <t>'382440</t>
  </si>
  <si>
    <t>'382474</t>
  </si>
  <si>
    <t>'382477</t>
  </si>
  <si>
    <t>'382487</t>
  </si>
  <si>
    <t>'220870</t>
  </si>
  <si>
    <t>'200911</t>
  </si>
  <si>
    <t>'200929</t>
  </si>
  <si>
    <t>'271312</t>
  </si>
  <si>
    <t>'280130</t>
  </si>
  <si>
    <t>'280511</t>
  </si>
  <si>
    <t>'281119</t>
  </si>
  <si>
    <t>'281122</t>
  </si>
  <si>
    <t>'281216</t>
  </si>
  <si>
    <t>'281217</t>
  </si>
  <si>
    <t>'281310</t>
  </si>
  <si>
    <t>'281511</t>
  </si>
  <si>
    <t>'281512</t>
  </si>
  <si>
    <t>'300212</t>
  </si>
  <si>
    <t>'300259</t>
  </si>
  <si>
    <t>'300339</t>
  </si>
  <si>
    <t>'300439</t>
  </si>
  <si>
    <t>'300441</t>
  </si>
  <si>
    <t>'300442</t>
  </si>
  <si>
    <t>'300650</t>
  </si>
  <si>
    <t>'320290</t>
  </si>
  <si>
    <t>'282560</t>
  </si>
  <si>
    <t>'282890</t>
  </si>
  <si>
    <t>'282919</t>
  </si>
  <si>
    <t>'283190</t>
  </si>
  <si>
    <t>'283321</t>
  </si>
  <si>
    <t>'283324</t>
  </si>
  <si>
    <t>'283524</t>
  </si>
  <si>
    <t>'283640</t>
  </si>
  <si>
    <t>'020329</t>
  </si>
  <si>
    <t>'020630</t>
  </si>
  <si>
    <t>'020714</t>
  </si>
  <si>
    <t>'020753</t>
  </si>
  <si>
    <t>'020830</t>
  </si>
  <si>
    <t>'020860</t>
  </si>
  <si>
    <t>'021020</t>
  </si>
  <si>
    <t>'030192</t>
  </si>
  <si>
    <t>'030229</t>
  </si>
  <si>
    <t>'030233</t>
  </si>
  <si>
    <t>'030234</t>
  </si>
  <si>
    <t>'030241</t>
  </si>
  <si>
    <t>'030255</t>
  </si>
  <si>
    <t>'030323</t>
  </si>
  <si>
    <t>'030332</t>
  </si>
  <si>
    <t>'030353</t>
  </si>
  <si>
    <t>'030356</t>
  </si>
  <si>
    <t>'030369</t>
  </si>
  <si>
    <t>'030381</t>
  </si>
  <si>
    <t>'030382</t>
  </si>
  <si>
    <t>'030445</t>
  </si>
  <si>
    <t>'030448</t>
  </si>
  <si>
    <t>'030449</t>
  </si>
  <si>
    <t>'030452</t>
  </si>
  <si>
    <t>'030453</t>
  </si>
  <si>
    <t>'030612</t>
  </si>
  <si>
    <t>'030615</t>
  </si>
  <si>
    <t>'030621</t>
  </si>
  <si>
    <t>'030632</t>
  </si>
  <si>
    <t>'030639</t>
  </si>
  <si>
    <t>'030691</t>
  </si>
  <si>
    <t>'030741</t>
  </si>
  <si>
    <t>'030742</t>
  </si>
  <si>
    <t>'030784</t>
  </si>
  <si>
    <t>'030469</t>
  </si>
  <si>
    <t>'030473</t>
  </si>
  <si>
    <t>'030488</t>
  </si>
  <si>
    <t>'030493</t>
  </si>
  <si>
    <t>'030531</t>
  </si>
  <si>
    <t>'030552</t>
  </si>
  <si>
    <t>'030553</t>
  </si>
  <si>
    <t>'070959</t>
  </si>
  <si>
    <t>'070490</t>
  </si>
  <si>
    <t>'070700</t>
  </si>
  <si>
    <t>'010239</t>
  </si>
  <si>
    <t>'010310</t>
  </si>
  <si>
    <t>'010512</t>
  </si>
  <si>
    <t>'010599</t>
  </si>
  <si>
    <t>'010612</t>
  </si>
  <si>
    <t>'040229</t>
  </si>
  <si>
    <t>'040320</t>
  </si>
  <si>
    <t>'040640</t>
  </si>
  <si>
    <t>'040899</t>
  </si>
  <si>
    <t>'050100</t>
  </si>
  <si>
    <t>'050690</t>
  </si>
  <si>
    <t>'060220</t>
  </si>
  <si>
    <t>'060240</t>
  </si>
  <si>
    <t>'100410</t>
  </si>
  <si>
    <t>'100829</t>
  </si>
  <si>
    <t>'100830</t>
  </si>
  <si>
    <t>'100840</t>
  </si>
  <si>
    <t>'120110</t>
  </si>
  <si>
    <t>'120241</t>
  </si>
  <si>
    <t>'120729</t>
  </si>
  <si>
    <t>'120791</t>
  </si>
  <si>
    <t>'120910</t>
  </si>
  <si>
    <t>'120924</t>
  </si>
  <si>
    <t>'071410</t>
  </si>
  <si>
    <t>'080241</t>
  </si>
  <si>
    <t>'080910</t>
  </si>
  <si>
    <t>'080940</t>
  </si>
  <si>
    <t>'121294</t>
  </si>
  <si>
    <t>'130120</t>
  </si>
  <si>
    <t>'150210</t>
  </si>
  <si>
    <t>'151190</t>
  </si>
  <si>
    <t>'151329</t>
  </si>
  <si>
    <t>'151710</t>
  </si>
  <si>
    <t>'160290</t>
  </si>
  <si>
    <t>'160553</t>
  </si>
  <si>
    <t>'170310</t>
  </si>
  <si>
    <t>'190240</t>
  </si>
  <si>
    <t>'190420</t>
  </si>
  <si>
    <t>'200110</t>
  </si>
  <si>
    <t>'240499</t>
  </si>
  <si>
    <t>'250510</t>
  </si>
  <si>
    <t>'250590</t>
  </si>
  <si>
    <t>'250620</t>
  </si>
  <si>
    <t>'251310</t>
  </si>
  <si>
    <t>'251820</t>
  </si>
  <si>
    <t>'252010</t>
  </si>
  <si>
    <t>'252910</t>
  </si>
  <si>
    <t>'260120</t>
  </si>
  <si>
    <t>'260500</t>
  </si>
  <si>
    <t>'261220</t>
  </si>
  <si>
    <t>'261690</t>
  </si>
  <si>
    <t>'262029</t>
  </si>
  <si>
    <t>'270210</t>
  </si>
  <si>
    <t>'271020</t>
  </si>
  <si>
    <t>'271113</t>
  </si>
  <si>
    <t>'271114</t>
  </si>
  <si>
    <t>'271129</t>
  </si>
  <si>
    <t>'284450</t>
  </si>
  <si>
    <t>'284540</t>
  </si>
  <si>
    <t>'284910</t>
  </si>
  <si>
    <t>'290123</t>
  </si>
  <si>
    <t>'290241</t>
  </si>
  <si>
    <t>'290244</t>
  </si>
  <si>
    <t>'290260</t>
  </si>
  <si>
    <t>'290315</t>
  </si>
  <si>
    <t>'290359</t>
  </si>
  <si>
    <t>'290361</t>
  </si>
  <si>
    <t>'290375</t>
  </si>
  <si>
    <t>'290381</t>
  </si>
  <si>
    <t>'290432</t>
  </si>
  <si>
    <t>'290435</t>
  </si>
  <si>
    <t>'290491</t>
  </si>
  <si>
    <t>'290519</t>
  </si>
  <si>
    <t>'290522</t>
  </si>
  <si>
    <t>'290541</t>
  </si>
  <si>
    <t>'290544</t>
  </si>
  <si>
    <t>'290559</t>
  </si>
  <si>
    <t>'290930</t>
  </si>
  <si>
    <t>'291219</t>
  </si>
  <si>
    <t>'291221</t>
  </si>
  <si>
    <t>'291242</t>
  </si>
  <si>
    <t>'291419</t>
  </si>
  <si>
    <t>'291461</t>
  </si>
  <si>
    <t>'291512</t>
  </si>
  <si>
    <t>'291524</t>
  </si>
  <si>
    <t>'291536</t>
  </si>
  <si>
    <t>'291540</t>
  </si>
  <si>
    <t>'291550</t>
  </si>
  <si>
    <t>'291620</t>
  </si>
  <si>
    <t>'291634</t>
  </si>
  <si>
    <t>'291811</t>
  </si>
  <si>
    <t>'291812</t>
  </si>
  <si>
    <t>'291821</t>
  </si>
  <si>
    <t>'292129</t>
  </si>
  <si>
    <t>'292212</t>
  </si>
  <si>
    <t>'292214</t>
  </si>
  <si>
    <t>'292310</t>
  </si>
  <si>
    <t>'292320</t>
  </si>
  <si>
    <t>'292340</t>
  </si>
  <si>
    <t>'292411</t>
  </si>
  <si>
    <t>'292529</t>
  </si>
  <si>
    <t>'293040</t>
  </si>
  <si>
    <t>'293080</t>
  </si>
  <si>
    <t>'293134</t>
  </si>
  <si>
    <t>'293141</t>
  </si>
  <si>
    <t>'293142</t>
  </si>
  <si>
    <t>'293333</t>
  </si>
  <si>
    <t>'293334</t>
  </si>
  <si>
    <t>'293354</t>
  </si>
  <si>
    <t>'293379</t>
  </si>
  <si>
    <t>'293492</t>
  </si>
  <si>
    <t>'293550</t>
  </si>
  <si>
    <t>'293626</t>
  </si>
  <si>
    <t>'293719</t>
  </si>
  <si>
    <t>'293722</t>
  </si>
  <si>
    <t>'293944</t>
  </si>
  <si>
    <t>'293969</t>
  </si>
  <si>
    <t>'294000</t>
  </si>
  <si>
    <t>'294130</t>
  </si>
  <si>
    <t>'620421</t>
  </si>
  <si>
    <t>'620212</t>
  </si>
  <si>
    <t>'620323</t>
  </si>
  <si>
    <t>'620111</t>
  </si>
  <si>
    <t>'620113</t>
  </si>
  <si>
    <t>'590190</t>
  </si>
  <si>
    <t>'590220</t>
  </si>
  <si>
    <t>'590320</t>
  </si>
  <si>
    <t>'600121</t>
  </si>
  <si>
    <t>'600191</t>
  </si>
  <si>
    <t>'600410</t>
  </si>
  <si>
    <t>'600543</t>
  </si>
  <si>
    <t>'600644</t>
  </si>
  <si>
    <t>'610329</t>
  </si>
  <si>
    <t>'520546</t>
  </si>
  <si>
    <t>'520622</t>
  </si>
  <si>
    <t>'520623</t>
  </si>
  <si>
    <t>'520811</t>
  </si>
  <si>
    <t>'520921</t>
  </si>
  <si>
    <t>'520942</t>
  </si>
  <si>
    <t>'521119</t>
  </si>
  <si>
    <t>'521132</t>
  </si>
  <si>
    <t>'521142</t>
  </si>
  <si>
    <t>'521143</t>
  </si>
  <si>
    <t>'551522</t>
  </si>
  <si>
    <t>'551634</t>
  </si>
  <si>
    <t>'551692</t>
  </si>
  <si>
    <t>'551693</t>
  </si>
  <si>
    <t>'560392</t>
  </si>
  <si>
    <t>'560721</t>
  </si>
  <si>
    <t>'570320</t>
  </si>
  <si>
    <t>'570339</t>
  </si>
  <si>
    <t>'570410</t>
  </si>
  <si>
    <t>'570490</t>
  </si>
  <si>
    <t>'580133</t>
  </si>
  <si>
    <t>'580421</t>
  </si>
  <si>
    <t>'540411</t>
  </si>
  <si>
    <t>'540730</t>
  </si>
  <si>
    <t>'540743</t>
  </si>
  <si>
    <t>'540783</t>
  </si>
  <si>
    <t>'540784</t>
  </si>
  <si>
    <t>'550110</t>
  </si>
  <si>
    <t>'550290</t>
  </si>
  <si>
    <t>'550390</t>
  </si>
  <si>
    <t>'550700</t>
  </si>
  <si>
    <t>'550921</t>
  </si>
  <si>
    <t>'551030</t>
  </si>
  <si>
    <t>'551219</t>
  </si>
  <si>
    <t>'551341</t>
  </si>
  <si>
    <t>'551512</t>
  </si>
  <si>
    <t>'650610</t>
  </si>
  <si>
    <t>'660390</t>
  </si>
  <si>
    <t>'732591</t>
  </si>
  <si>
    <t>'740319</t>
  </si>
  <si>
    <t>'740322</t>
  </si>
  <si>
    <t>'740939</t>
  </si>
  <si>
    <t>'740940</t>
  </si>
  <si>
    <t>'741121</t>
  </si>
  <si>
    <t>'760120</t>
  </si>
  <si>
    <t>'760410</t>
  </si>
  <si>
    <t>'760611</t>
  </si>
  <si>
    <t>'761520</t>
  </si>
  <si>
    <t>'780191</t>
  </si>
  <si>
    <t>'711039</t>
  </si>
  <si>
    <t>'711291</t>
  </si>
  <si>
    <t>'711420</t>
  </si>
  <si>
    <t>'720211</t>
  </si>
  <si>
    <t>'720229</t>
  </si>
  <si>
    <t>'720241</t>
  </si>
  <si>
    <t>'720410</t>
  </si>
  <si>
    <t>'720430</t>
  </si>
  <si>
    <t>'720719</t>
  </si>
  <si>
    <t>'720915</t>
  </si>
  <si>
    <t>'721069</t>
  </si>
  <si>
    <t>'721922</t>
  </si>
  <si>
    <t>'721932</t>
  </si>
  <si>
    <t>'721935</t>
  </si>
  <si>
    <t>'722011</t>
  </si>
  <si>
    <t>'722012</t>
  </si>
  <si>
    <t>'722211</t>
  </si>
  <si>
    <t>'722810</t>
  </si>
  <si>
    <t>'722870</t>
  </si>
  <si>
    <t>'730110</t>
  </si>
  <si>
    <t>'730423</t>
  </si>
  <si>
    <t>'730520</t>
  </si>
  <si>
    <t>'730630</t>
  </si>
  <si>
    <t>'730650</t>
  </si>
  <si>
    <t>'730719</t>
  </si>
  <si>
    <t>'730810</t>
  </si>
  <si>
    <t>'731581</t>
  </si>
  <si>
    <t>'731812</t>
  </si>
  <si>
    <t>'621590</t>
  </si>
  <si>
    <t>'630533</t>
  </si>
  <si>
    <t>'630622</t>
  </si>
  <si>
    <t>'630640</t>
  </si>
  <si>
    <t>'640319</t>
  </si>
  <si>
    <t>'630240</t>
  </si>
  <si>
    <t>'681019</t>
  </si>
  <si>
    <t>'681291</t>
  </si>
  <si>
    <t>'681591</t>
  </si>
  <si>
    <t>'690320</t>
  </si>
  <si>
    <t>'690590</t>
  </si>
  <si>
    <t>'690710</t>
  </si>
  <si>
    <t>'700232</t>
  </si>
  <si>
    <t>'700312</t>
  </si>
  <si>
    <t>'700510</t>
  </si>
  <si>
    <t>'701333</t>
  </si>
  <si>
    <t>'701349</t>
  </si>
  <si>
    <t>'701710</t>
  </si>
  <si>
    <t>'701913</t>
  </si>
  <si>
    <t>'701969</t>
  </si>
  <si>
    <t>'710121</t>
  </si>
  <si>
    <t>'710610</t>
  </si>
  <si>
    <t>'841690</t>
  </si>
  <si>
    <t>'843242</t>
  </si>
  <si>
    <t>'843351</t>
  </si>
  <si>
    <t>'843490</t>
  </si>
  <si>
    <t>'842441</t>
  </si>
  <si>
    <t>'842489</t>
  </si>
  <si>
    <t>'842820</t>
  </si>
  <si>
    <t>'842832</t>
  </si>
  <si>
    <t>'842833</t>
  </si>
  <si>
    <t>'842959</t>
  </si>
  <si>
    <t>'820830</t>
  </si>
  <si>
    <t>'820900</t>
  </si>
  <si>
    <t>'821193</t>
  </si>
  <si>
    <t>'821420</t>
  </si>
  <si>
    <t>'821591</t>
  </si>
  <si>
    <t>'830130</t>
  </si>
  <si>
    <t>'830250</t>
  </si>
  <si>
    <t>'830820</t>
  </si>
  <si>
    <t>'831120</t>
  </si>
  <si>
    <t>'840120</t>
  </si>
  <si>
    <t>'840130</t>
  </si>
  <si>
    <t>'840220</t>
  </si>
  <si>
    <t>'840682</t>
  </si>
  <si>
    <t>'840732</t>
  </si>
  <si>
    <t>'790310</t>
  </si>
  <si>
    <t>'800700</t>
  </si>
  <si>
    <t>'810194</t>
  </si>
  <si>
    <t>'810320</t>
  </si>
  <si>
    <t>'810690</t>
  </si>
  <si>
    <t>'810999</t>
  </si>
  <si>
    <t>'811252</t>
  </si>
  <si>
    <t>'811299</t>
  </si>
  <si>
    <t>'820110</t>
  </si>
  <si>
    <t>'820239</t>
  </si>
  <si>
    <t>'820240</t>
  </si>
  <si>
    <t>'820412</t>
  </si>
  <si>
    <t>'820420</t>
  </si>
  <si>
    <t>'843991</t>
  </si>
  <si>
    <t>'846595</t>
  </si>
  <si>
    <t>'846596</t>
  </si>
  <si>
    <t>'846610</t>
  </si>
  <si>
    <t>'844851</t>
  </si>
  <si>
    <t>'845229</t>
  </si>
  <si>
    <t>'845410</t>
  </si>
  <si>
    <t>'845620</t>
  </si>
  <si>
    <t>'845690</t>
  </si>
  <si>
    <t>'845941</t>
  </si>
  <si>
    <t>'845961</t>
  </si>
  <si>
    <t>'846011</t>
  </si>
  <si>
    <t>'846031</t>
  </si>
  <si>
    <t>'846040</t>
  </si>
  <si>
    <t>'846222</t>
  </si>
  <si>
    <t>'846223</t>
  </si>
  <si>
    <t>'846229</t>
  </si>
  <si>
    <t>'846390</t>
  </si>
  <si>
    <t>'848240</t>
  </si>
  <si>
    <t>'848580</t>
  </si>
  <si>
    <t>'847910</t>
  </si>
  <si>
    <t>'847930</t>
  </si>
  <si>
    <t>'847950</t>
  </si>
  <si>
    <t>'848071</t>
  </si>
  <si>
    <t>'848130</t>
  </si>
  <si>
    <t>'846691</t>
  </si>
  <si>
    <t>'846711</t>
  </si>
  <si>
    <t>'846722</t>
  </si>
  <si>
    <t>'846729</t>
  </si>
  <si>
    <t>'846781</t>
  </si>
  <si>
    <t>'846791</t>
  </si>
  <si>
    <t>'847290</t>
  </si>
  <si>
    <t>'847310</t>
  </si>
  <si>
    <t>'847621</t>
  </si>
  <si>
    <t>'847740</t>
  </si>
  <si>
    <t>'854511</t>
  </si>
  <si>
    <t>'854590</t>
  </si>
  <si>
    <t>'854620</t>
  </si>
  <si>
    <t>'854790</t>
  </si>
  <si>
    <t>'854919</t>
  </si>
  <si>
    <t>'854931</t>
  </si>
  <si>
    <t>'860729</t>
  </si>
  <si>
    <t>'870110</t>
  </si>
  <si>
    <t>'870130</t>
  </si>
  <si>
    <t>'870191</t>
  </si>
  <si>
    <t>'870240</t>
  </si>
  <si>
    <t>'870310</t>
  </si>
  <si>
    <t>'870322</t>
  </si>
  <si>
    <t>'870360</t>
  </si>
  <si>
    <t>'870422</t>
  </si>
  <si>
    <t>'870460</t>
  </si>
  <si>
    <t>'850650</t>
  </si>
  <si>
    <t>'850860</t>
  </si>
  <si>
    <t>'850980</t>
  </si>
  <si>
    <t>'850990</t>
  </si>
  <si>
    <t>'851240</t>
  </si>
  <si>
    <t>'851431</t>
  </si>
  <si>
    <t>'851529</t>
  </si>
  <si>
    <t>'851580</t>
  </si>
  <si>
    <t>'851610</t>
  </si>
  <si>
    <t>'851714</t>
  </si>
  <si>
    <t>'851830</t>
  </si>
  <si>
    <t>'851981</t>
  </si>
  <si>
    <t>'852349</t>
  </si>
  <si>
    <t>'852841</t>
  </si>
  <si>
    <t>'852859</t>
  </si>
  <si>
    <t>'852990</t>
  </si>
  <si>
    <t>'853010</t>
  </si>
  <si>
    <t>'853221</t>
  </si>
  <si>
    <t>'853529</t>
  </si>
  <si>
    <t>'850231</t>
  </si>
  <si>
    <t>'853720</t>
  </si>
  <si>
    <t>'854060</t>
  </si>
  <si>
    <t>'854099</t>
  </si>
  <si>
    <t>'854390</t>
  </si>
  <si>
    <t>'854411</t>
  </si>
  <si>
    <t>'854420</t>
  </si>
  <si>
    <t>'903031</t>
  </si>
  <si>
    <t>'903082</t>
  </si>
  <si>
    <t>'903089</t>
  </si>
  <si>
    <t>'901849</t>
  </si>
  <si>
    <t>'902140</t>
  </si>
  <si>
    <t>'902490</t>
  </si>
  <si>
    <t>'871120</t>
  </si>
  <si>
    <t>'871640</t>
  </si>
  <si>
    <t>'880211</t>
  </si>
  <si>
    <t>'880693</t>
  </si>
  <si>
    <t>'890110</t>
  </si>
  <si>
    <t>'890310</t>
  </si>
  <si>
    <t>'890311</t>
  </si>
  <si>
    <t>'890610</t>
  </si>
  <si>
    <t>'900290</t>
  </si>
  <si>
    <t>'900319</t>
  </si>
  <si>
    <t>'900410</t>
  </si>
  <si>
    <t>'900490</t>
  </si>
  <si>
    <t>'900651</t>
  </si>
  <si>
    <t>'900652</t>
  </si>
  <si>
    <t>'900699</t>
  </si>
  <si>
    <t>'901060</t>
  </si>
  <si>
    <t>'970190</t>
  </si>
  <si>
    <t>'970521</t>
  </si>
  <si>
    <t>'950440</t>
  </si>
  <si>
    <t>'940539</t>
  </si>
  <si>
    <t>'960310</t>
  </si>
  <si>
    <t>'960329</t>
  </si>
  <si>
    <t>'960629</t>
  </si>
  <si>
    <t>'910390</t>
  </si>
  <si>
    <t>'910591</t>
  </si>
  <si>
    <t>'911220</t>
  </si>
  <si>
    <t>'911390</t>
  </si>
  <si>
    <t>'911440</t>
  </si>
  <si>
    <t>'920710</t>
  </si>
  <si>
    <t>'920810</t>
  </si>
  <si>
    <t>'930190</t>
  </si>
  <si>
    <t>'930390</t>
  </si>
  <si>
    <t>'910111</t>
  </si>
  <si>
    <t>'940152</t>
  </si>
  <si>
    <t>'940153</t>
  </si>
  <si>
    <t>'940171</t>
  </si>
  <si>
    <t>'640192</t>
  </si>
  <si>
    <t>'640199</t>
  </si>
  <si>
    <t>'640212</t>
  </si>
  <si>
    <t>'640219</t>
  </si>
  <si>
    <t>'630312</t>
  </si>
  <si>
    <t>'630411</t>
  </si>
  <si>
    <t>'640610</t>
  </si>
  <si>
    <t>'670490</t>
  </si>
  <si>
    <t>'680421</t>
  </si>
  <si>
    <t>'681140</t>
  </si>
  <si>
    <t>'681182</t>
  </si>
  <si>
    <t>'681320</t>
  </si>
  <si>
    <t>'630232</t>
  </si>
  <si>
    <t>'690390</t>
  </si>
  <si>
    <t>'700910</t>
  </si>
  <si>
    <t>'701391</t>
  </si>
  <si>
    <t>'701790</t>
  </si>
  <si>
    <t>'701890</t>
  </si>
  <si>
    <t>'701914</t>
  </si>
  <si>
    <t>'710420</t>
  </si>
  <si>
    <t>'711810</t>
  </si>
  <si>
    <t>'720299</t>
  </si>
  <si>
    <t>'720510</t>
  </si>
  <si>
    <t>'720610</t>
  </si>
  <si>
    <t>'720720</t>
  </si>
  <si>
    <t>'720825</t>
  </si>
  <si>
    <t>'720836</t>
  </si>
  <si>
    <t>'720927</t>
  </si>
  <si>
    <t>'570250</t>
  </si>
  <si>
    <t>'620193</t>
  </si>
  <si>
    <t>'620319</t>
  </si>
  <si>
    <t>'630110</t>
  </si>
  <si>
    <t>'621510</t>
  </si>
  <si>
    <t>'620729</t>
  </si>
  <si>
    <t>'551090</t>
  </si>
  <si>
    <t>'551312</t>
  </si>
  <si>
    <t>'551421</t>
  </si>
  <si>
    <t>'551441</t>
  </si>
  <si>
    <t>'551611</t>
  </si>
  <si>
    <t>'551614</t>
  </si>
  <si>
    <t>'551631</t>
  </si>
  <si>
    <t>'551641</t>
  </si>
  <si>
    <t>'560290</t>
  </si>
  <si>
    <t>'560312</t>
  </si>
  <si>
    <t>'560741</t>
  </si>
  <si>
    <t>'580132</t>
  </si>
  <si>
    <t>'580640</t>
  </si>
  <si>
    <t>'581099</t>
  </si>
  <si>
    <t>'590310</t>
  </si>
  <si>
    <t>'590390</t>
  </si>
  <si>
    <t>'590490</t>
  </si>
  <si>
    <t>'590700</t>
  </si>
  <si>
    <t>'591120</t>
  </si>
  <si>
    <t>'591131</t>
  </si>
  <si>
    <t>'600192</t>
  </si>
  <si>
    <t>'600310</t>
  </si>
  <si>
    <t>'600330</t>
  </si>
  <si>
    <t>'600533</t>
  </si>
  <si>
    <t>'520542</t>
  </si>
  <si>
    <t>'520547</t>
  </si>
  <si>
    <t>'520631</t>
  </si>
  <si>
    <t>'550510</t>
  </si>
  <si>
    <t>'550820</t>
  </si>
  <si>
    <t>'550952</t>
  </si>
  <si>
    <t>'520823</t>
  </si>
  <si>
    <t>'520843</t>
  </si>
  <si>
    <t>'520912</t>
  </si>
  <si>
    <t>'520919</t>
  </si>
  <si>
    <t>'520922</t>
  </si>
  <si>
    <t>'520932</t>
  </si>
  <si>
    <t>'520941</t>
  </si>
  <si>
    <t>'520952</t>
  </si>
  <si>
    <t>'521031</t>
  </si>
  <si>
    <t>'521051</t>
  </si>
  <si>
    <t>'521212</t>
  </si>
  <si>
    <t>'530121</t>
  </si>
  <si>
    <t>'530610</t>
  </si>
  <si>
    <t>'520514</t>
  </si>
  <si>
    <t>'520527</t>
  </si>
  <si>
    <t>'500100</t>
  </si>
  <si>
    <t>'500500</t>
  </si>
  <si>
    <t>'500710</t>
  </si>
  <si>
    <t>'500720</t>
  </si>
  <si>
    <t>'510130</t>
  </si>
  <si>
    <t>'490191</t>
  </si>
  <si>
    <t>'441919</t>
  </si>
  <si>
    <t>'450310</t>
  </si>
  <si>
    <t>'460194</t>
  </si>
  <si>
    <t>'460212</t>
  </si>
  <si>
    <t>'531090</t>
  </si>
  <si>
    <t>'531100</t>
  </si>
  <si>
    <t>'540232</t>
  </si>
  <si>
    <t>'540234</t>
  </si>
  <si>
    <t>'540239</t>
  </si>
  <si>
    <t>'540253</t>
  </si>
  <si>
    <t>'540269</t>
  </si>
  <si>
    <t>'540339</t>
  </si>
  <si>
    <t>'540761</t>
  </si>
  <si>
    <t>'540771</t>
  </si>
  <si>
    <t>'540772</t>
  </si>
  <si>
    <t>'540781</t>
  </si>
  <si>
    <t>'540793</t>
  </si>
  <si>
    <t>'540824</t>
  </si>
  <si>
    <t>'550111</t>
  </si>
  <si>
    <t>'550200</t>
  </si>
  <si>
    <t>'820570</t>
  </si>
  <si>
    <t>'820740</t>
  </si>
  <si>
    <t>'820770</t>
  </si>
  <si>
    <t>'821194</t>
  </si>
  <si>
    <t>'821490</t>
  </si>
  <si>
    <t>'830242</t>
  </si>
  <si>
    <t>'830400</t>
  </si>
  <si>
    <t>'810330</t>
  </si>
  <si>
    <t>'810391</t>
  </si>
  <si>
    <t>'810420</t>
  </si>
  <si>
    <t>'810610</t>
  </si>
  <si>
    <t>'810790</t>
  </si>
  <si>
    <t>'810830</t>
  </si>
  <si>
    <t>'810939</t>
  </si>
  <si>
    <t>'811010</t>
  </si>
  <si>
    <t>'811239</t>
  </si>
  <si>
    <t>'811269</t>
  </si>
  <si>
    <t>'820190</t>
  </si>
  <si>
    <t>'820210</t>
  </si>
  <si>
    <t>'820299</t>
  </si>
  <si>
    <t>'842930</t>
  </si>
  <si>
    <t>'843131</t>
  </si>
  <si>
    <t>'843142</t>
  </si>
  <si>
    <t>'843239</t>
  </si>
  <si>
    <t>'843280</t>
  </si>
  <si>
    <t>'843319</t>
  </si>
  <si>
    <t>'844190</t>
  </si>
  <si>
    <t>'844313</t>
  </si>
  <si>
    <t>'844317</t>
  </si>
  <si>
    <t>'841392</t>
  </si>
  <si>
    <t>'841520</t>
  </si>
  <si>
    <t>'841931</t>
  </si>
  <si>
    <t>'842111</t>
  </si>
  <si>
    <t>'842320</t>
  </si>
  <si>
    <t>'842382</t>
  </si>
  <si>
    <t>'842410</t>
  </si>
  <si>
    <t>'842420</t>
  </si>
  <si>
    <t>'842449</t>
  </si>
  <si>
    <t>'842630</t>
  </si>
  <si>
    <t>'842641</t>
  </si>
  <si>
    <t>'732112</t>
  </si>
  <si>
    <t>'732190</t>
  </si>
  <si>
    <t>'732490</t>
  </si>
  <si>
    <t>'740610</t>
  </si>
  <si>
    <t>'740620</t>
  </si>
  <si>
    <t>'760810</t>
  </si>
  <si>
    <t>'761210</t>
  </si>
  <si>
    <t>'761290</t>
  </si>
  <si>
    <t>'780199</t>
  </si>
  <si>
    <t>'741220</t>
  </si>
  <si>
    <t>'741300</t>
  </si>
  <si>
    <t>'741810</t>
  </si>
  <si>
    <t>'741820</t>
  </si>
  <si>
    <t>'741999</t>
  </si>
  <si>
    <t>'750720</t>
  </si>
  <si>
    <t>'750890</t>
  </si>
  <si>
    <t>'760511</t>
  </si>
  <si>
    <t>'731811</t>
  </si>
  <si>
    <t>'711029</t>
  </si>
  <si>
    <t>'711049</t>
  </si>
  <si>
    <t>'700530</t>
  </si>
  <si>
    <t>'721129</t>
  </si>
  <si>
    <t>'721410</t>
  </si>
  <si>
    <t>'721430</t>
  </si>
  <si>
    <t>'721621</t>
  </si>
  <si>
    <t>'721661</t>
  </si>
  <si>
    <t>'721913</t>
  </si>
  <si>
    <t>'721931</t>
  </si>
  <si>
    <t>'722592</t>
  </si>
  <si>
    <t>'722699</t>
  </si>
  <si>
    <t>'730120</t>
  </si>
  <si>
    <t>'730721</t>
  </si>
  <si>
    <t>'851419</t>
  </si>
  <si>
    <t>'851621</t>
  </si>
  <si>
    <t>'851633</t>
  </si>
  <si>
    <t>'851640</t>
  </si>
  <si>
    <t>'848320</t>
  </si>
  <si>
    <t>'851718</t>
  </si>
  <si>
    <t>'853290</t>
  </si>
  <si>
    <t>'853331</t>
  </si>
  <si>
    <t>'853521</t>
  </si>
  <si>
    <t>'853630</t>
  </si>
  <si>
    <t>'851920</t>
  </si>
  <si>
    <t>'852110</t>
  </si>
  <si>
    <t>'852321</t>
  </si>
  <si>
    <t>'852351</t>
  </si>
  <si>
    <t>'852380</t>
  </si>
  <si>
    <t>'854720</t>
  </si>
  <si>
    <t>'854800</t>
  </si>
  <si>
    <t>'854890</t>
  </si>
  <si>
    <t>'854929</t>
  </si>
  <si>
    <t>'854991</t>
  </si>
  <si>
    <t>'860210</t>
  </si>
  <si>
    <t>'860390</t>
  </si>
  <si>
    <t>'860699</t>
  </si>
  <si>
    <t>'860711</t>
  </si>
  <si>
    <t>'860712</t>
  </si>
  <si>
    <t>'870122</t>
  </si>
  <si>
    <t>'870194</t>
  </si>
  <si>
    <t>'870195</t>
  </si>
  <si>
    <t>'870321</t>
  </si>
  <si>
    <t>'870333</t>
  </si>
  <si>
    <t>'870380</t>
  </si>
  <si>
    <t>'870432</t>
  </si>
  <si>
    <t>'870452</t>
  </si>
  <si>
    <t>'870490</t>
  </si>
  <si>
    <t>'870510</t>
  </si>
  <si>
    <t>'870600</t>
  </si>
  <si>
    <t>'870790</t>
  </si>
  <si>
    <t>'847439</t>
  </si>
  <si>
    <t>'847629</t>
  </si>
  <si>
    <t>'840219</t>
  </si>
  <si>
    <t>'840510</t>
  </si>
  <si>
    <t>'840710</t>
  </si>
  <si>
    <t>'840810</t>
  </si>
  <si>
    <t>'841112</t>
  </si>
  <si>
    <t>'841340</t>
  </si>
  <si>
    <t>'850132</t>
  </si>
  <si>
    <t>'850153</t>
  </si>
  <si>
    <t>'850171</t>
  </si>
  <si>
    <t>'850240</t>
  </si>
  <si>
    <t>'850421</t>
  </si>
  <si>
    <t>'850520</t>
  </si>
  <si>
    <t>'850760</t>
  </si>
  <si>
    <t>'844512</t>
  </si>
  <si>
    <t>'844630</t>
  </si>
  <si>
    <t>'844819</t>
  </si>
  <si>
    <t>'845020</t>
  </si>
  <si>
    <t>'845090</t>
  </si>
  <si>
    <t>'845110</t>
  </si>
  <si>
    <t>'845130</t>
  </si>
  <si>
    <t>'845180</t>
  </si>
  <si>
    <t>'845221</t>
  </si>
  <si>
    <t>'845380</t>
  </si>
  <si>
    <t>'845730</t>
  </si>
  <si>
    <t>'845921</t>
  </si>
  <si>
    <t>'846024</t>
  </si>
  <si>
    <t>'846150</t>
  </si>
  <si>
    <t>'846226</t>
  </si>
  <si>
    <t>'846231</t>
  </si>
  <si>
    <t>'846242</t>
  </si>
  <si>
    <t>'846262</t>
  </si>
  <si>
    <t>'846592</t>
  </si>
  <si>
    <t>'846599</t>
  </si>
  <si>
    <t>'846792</t>
  </si>
  <si>
    <t>'847050</t>
  </si>
  <si>
    <t>'121291</t>
  </si>
  <si>
    <t>'150500</t>
  </si>
  <si>
    <t>'151000</t>
  </si>
  <si>
    <t>'151221</t>
  </si>
  <si>
    <t>'151311</t>
  </si>
  <si>
    <t>'151499</t>
  </si>
  <si>
    <t>'151519</t>
  </si>
  <si>
    <t>'151560</t>
  </si>
  <si>
    <t>'160239</t>
  </si>
  <si>
    <t>'160242</t>
  </si>
  <si>
    <t>'160250</t>
  </si>
  <si>
    <t>'150290</t>
  </si>
  <si>
    <t>'150300</t>
  </si>
  <si>
    <t>'160552</t>
  </si>
  <si>
    <t>'160557</t>
  </si>
  <si>
    <t>'170219</t>
  </si>
  <si>
    <t>'170230</t>
  </si>
  <si>
    <t>'283330</t>
  </si>
  <si>
    <t>'283429</t>
  </si>
  <si>
    <t>'283630</t>
  </si>
  <si>
    <t>'283650</t>
  </si>
  <si>
    <t>'284030</t>
  </si>
  <si>
    <t>'284130</t>
  </si>
  <si>
    <t>'284169</t>
  </si>
  <si>
    <t>'284310</t>
  </si>
  <si>
    <t>'284329</t>
  </si>
  <si>
    <t>'284444</t>
  </si>
  <si>
    <t>'284520</t>
  </si>
  <si>
    <t>'284530</t>
  </si>
  <si>
    <t>'285000</t>
  </si>
  <si>
    <t>'285290</t>
  </si>
  <si>
    <t>'285300</t>
  </si>
  <si>
    <t>'285390</t>
  </si>
  <si>
    <t>'290122</t>
  </si>
  <si>
    <t>'290311</t>
  </si>
  <si>
    <t>'290341</t>
  </si>
  <si>
    <t>'290372</t>
  </si>
  <si>
    <t>'290392</t>
  </si>
  <si>
    <t>'290431</t>
  </si>
  <si>
    <t>'290436</t>
  </si>
  <si>
    <t>'290513</t>
  </si>
  <si>
    <t>'290539</t>
  </si>
  <si>
    <t>'290613</t>
  </si>
  <si>
    <t>'290891</t>
  </si>
  <si>
    <t>'290919</t>
  </si>
  <si>
    <t>'290944</t>
  </si>
  <si>
    <t>'290950</t>
  </si>
  <si>
    <t>'291010</t>
  </si>
  <si>
    <t>'291030</t>
  </si>
  <si>
    <t>'291050</t>
  </si>
  <si>
    <t>'291212</t>
  </si>
  <si>
    <t>'291241</t>
  </si>
  <si>
    <t>'291300</t>
  </si>
  <si>
    <t>'291422</t>
  </si>
  <si>
    <t>'291429</t>
  </si>
  <si>
    <t>'291560</t>
  </si>
  <si>
    <t>'291570</t>
  </si>
  <si>
    <t>'291614</t>
  </si>
  <si>
    <t>'291631</t>
  </si>
  <si>
    <t>'291719</t>
  </si>
  <si>
    <t>'080520</t>
  </si>
  <si>
    <t>'080590</t>
  </si>
  <si>
    <t>'081310</t>
  </si>
  <si>
    <t>'081330</t>
  </si>
  <si>
    <t>'090611</t>
  </si>
  <si>
    <t>'090832</t>
  </si>
  <si>
    <t>'100210</t>
  </si>
  <si>
    <t>'110710</t>
  </si>
  <si>
    <t>'110812</t>
  </si>
  <si>
    <t>'110900</t>
  </si>
  <si>
    <t>'120190</t>
  </si>
  <si>
    <t>'120242</t>
  </si>
  <si>
    <t>'120710</t>
  </si>
  <si>
    <t>'120921</t>
  </si>
  <si>
    <t>'120925</t>
  </si>
  <si>
    <t>'041000</t>
  </si>
  <si>
    <t>'050510</t>
  </si>
  <si>
    <t>'050610</t>
  </si>
  <si>
    <t>'060210</t>
  </si>
  <si>
    <t>'070410</t>
  </si>
  <si>
    <t>'070521</t>
  </si>
  <si>
    <t>'070956</t>
  </si>
  <si>
    <t>'070992</t>
  </si>
  <si>
    <t>'071030</t>
  </si>
  <si>
    <t>'071190</t>
  </si>
  <si>
    <t>'071233</t>
  </si>
  <si>
    <t>'080112</t>
  </si>
  <si>
    <t>'080211</t>
  </si>
  <si>
    <t>'080221</t>
  </si>
  <si>
    <t>'080280</t>
  </si>
  <si>
    <t>'030484</t>
  </si>
  <si>
    <t>'030494</t>
  </si>
  <si>
    <t>'030541</t>
  </si>
  <si>
    <t>'030635</t>
  </si>
  <si>
    <t>'030636</t>
  </si>
  <si>
    <t>'030692</t>
  </si>
  <si>
    <t>'030759</t>
  </si>
  <si>
    <t>'030760</t>
  </si>
  <si>
    <t>'030772</t>
  </si>
  <si>
    <t>'030779</t>
  </si>
  <si>
    <t>'030781</t>
  </si>
  <si>
    <t>'030830</t>
  </si>
  <si>
    <t>'040390</t>
  </si>
  <si>
    <t>'040520</t>
  </si>
  <si>
    <t>'040729</t>
  </si>
  <si>
    <t>'010290</t>
  </si>
  <si>
    <t>'010631</t>
  </si>
  <si>
    <t>'020210</t>
  </si>
  <si>
    <t>'030259</t>
  </si>
  <si>
    <t>'030274</t>
  </si>
  <si>
    <t>'030282</t>
  </si>
  <si>
    <t>'030311</t>
  </si>
  <si>
    <t>'030324</t>
  </si>
  <si>
    <t>'030342</t>
  </si>
  <si>
    <t>'030357</t>
  </si>
  <si>
    <t>'030365</t>
  </si>
  <si>
    <t>'030392</t>
  </si>
  <si>
    <t>'030439</t>
  </si>
  <si>
    <t>'030444</t>
  </si>
  <si>
    <t>'030456</t>
  </si>
  <si>
    <t>'030472</t>
  </si>
  <si>
    <t>'392630</t>
  </si>
  <si>
    <t>'391000</t>
  </si>
  <si>
    <t>'391110</t>
  </si>
  <si>
    <t>'391390</t>
  </si>
  <si>
    <t>'391520</t>
  </si>
  <si>
    <t>'440714</t>
  </si>
  <si>
    <t>'392079</t>
  </si>
  <si>
    <t>'392112</t>
  </si>
  <si>
    <t>'420600</t>
  </si>
  <si>
    <t>'430160</t>
  </si>
  <si>
    <t>'440121</t>
  </si>
  <si>
    <t>'440131</t>
  </si>
  <si>
    <t>'440323</t>
  </si>
  <si>
    <t>'441012</t>
  </si>
  <si>
    <t>'441292</t>
  </si>
  <si>
    <t>'441871</t>
  </si>
  <si>
    <t>'441874</t>
  </si>
  <si>
    <t>'441890</t>
  </si>
  <si>
    <t>'440890</t>
  </si>
  <si>
    <t>'440910</t>
  </si>
  <si>
    <t>'440791</t>
  </si>
  <si>
    <t>'470610</t>
  </si>
  <si>
    <t>'470720</t>
  </si>
  <si>
    <t>'470730</t>
  </si>
  <si>
    <t>'470790</t>
  </si>
  <si>
    <t>'480257</t>
  </si>
  <si>
    <t>'480439</t>
  </si>
  <si>
    <t>'481490</t>
  </si>
  <si>
    <t>'481820</t>
  </si>
  <si>
    <t>'481830</t>
  </si>
  <si>
    <t>'320190</t>
  </si>
  <si>
    <t>'320210</t>
  </si>
  <si>
    <t>'320419</t>
  </si>
  <si>
    <t>'320420</t>
  </si>
  <si>
    <t>'320720</t>
  </si>
  <si>
    <t>'320730</t>
  </si>
  <si>
    <t>'330112</t>
  </si>
  <si>
    <t>'310319</t>
  </si>
  <si>
    <t>'310490</t>
  </si>
  <si>
    <t>'340119</t>
  </si>
  <si>
    <t>'340241</t>
  </si>
  <si>
    <t>'340311</t>
  </si>
  <si>
    <t>'340530</t>
  </si>
  <si>
    <t>'400122</t>
  </si>
  <si>
    <t>'400219</t>
  </si>
  <si>
    <t>'400231</t>
  </si>
  <si>
    <t>'400251</t>
  </si>
  <si>
    <t>'400291</t>
  </si>
  <si>
    <t>'400591</t>
  </si>
  <si>
    <t>'400610</t>
  </si>
  <si>
    <t>'400821</t>
  </si>
  <si>
    <t>'401012</t>
  </si>
  <si>
    <t>'401033</t>
  </si>
  <si>
    <t>'401170</t>
  </si>
  <si>
    <t>'401190</t>
  </si>
  <si>
    <t>'401220</t>
  </si>
  <si>
    <t>'401320</t>
  </si>
  <si>
    <t>'401390</t>
  </si>
  <si>
    <t>'401695</t>
  </si>
  <si>
    <t>'410631</t>
  </si>
  <si>
    <t>'410799</t>
  </si>
  <si>
    <t>'411420</t>
  </si>
  <si>
    <t>'411520</t>
  </si>
  <si>
    <t>'350300</t>
  </si>
  <si>
    <t>'350520</t>
  </si>
  <si>
    <t>'360100</t>
  </si>
  <si>
    <t>'360490</t>
  </si>
  <si>
    <t>'370255</t>
  </si>
  <si>
    <t>'370500</t>
  </si>
  <si>
    <t>'380400</t>
  </si>
  <si>
    <t>'381010</t>
  </si>
  <si>
    <t>'381220</t>
  </si>
  <si>
    <t>'381512</t>
  </si>
  <si>
    <t>'381600</t>
  </si>
  <si>
    <t>'382312</t>
  </si>
  <si>
    <t>'382483</t>
  </si>
  <si>
    <t>'382484</t>
  </si>
  <si>
    <t>'382550</t>
  </si>
  <si>
    <t>'382720</t>
  </si>
  <si>
    <t>'382762</t>
  </si>
  <si>
    <t>'382765</t>
  </si>
  <si>
    <t>'390110</t>
  </si>
  <si>
    <t>'390230</t>
  </si>
  <si>
    <t>'390319</t>
  </si>
  <si>
    <t>'390469</t>
  </si>
  <si>
    <t>'390490</t>
  </si>
  <si>
    <t>'390512</t>
  </si>
  <si>
    <t>'390591</t>
  </si>
  <si>
    <t>'293721</t>
  </si>
  <si>
    <t>'293919</t>
  </si>
  <si>
    <t>'293963</t>
  </si>
  <si>
    <t>'293991</t>
  </si>
  <si>
    <t>'300213</t>
  </si>
  <si>
    <t>'300230</t>
  </si>
  <si>
    <t>'300249</t>
  </si>
  <si>
    <t>'271091</t>
  </si>
  <si>
    <t>'271220</t>
  </si>
  <si>
    <t>'280512</t>
  </si>
  <si>
    <t>'281212</t>
  </si>
  <si>
    <t>'281290</t>
  </si>
  <si>
    <t>'282120</t>
  </si>
  <si>
    <t>'282200</t>
  </si>
  <si>
    <t>'282520</t>
  </si>
  <si>
    <t>'282580</t>
  </si>
  <si>
    <t>'282731</t>
  </si>
  <si>
    <t>'261590</t>
  </si>
  <si>
    <t>'262019</t>
  </si>
  <si>
    <t>'270220</t>
  </si>
  <si>
    <t>'270500</t>
  </si>
  <si>
    <t>'270730</t>
  </si>
  <si>
    <t>'220430</t>
  </si>
  <si>
    <t>'220720</t>
  </si>
  <si>
    <t>'230210</t>
  </si>
  <si>
    <t>'230250</t>
  </si>
  <si>
    <t>'230500</t>
  </si>
  <si>
    <t>'230620</t>
  </si>
  <si>
    <t>'230649</t>
  </si>
  <si>
    <t>'230690</t>
  </si>
  <si>
    <t>'240220</t>
  </si>
  <si>
    <t>'240391</t>
  </si>
  <si>
    <t>'240411</t>
  </si>
  <si>
    <t>'251720</t>
  </si>
  <si>
    <t>'252520</t>
  </si>
  <si>
    <t>'252922</t>
  </si>
  <si>
    <t>'291822</t>
  </si>
  <si>
    <t>'292114</t>
  </si>
  <si>
    <t>'292141</t>
  </si>
  <si>
    <t>'292146</t>
  </si>
  <si>
    <t>'292215</t>
  </si>
  <si>
    <t>'292231</t>
  </si>
  <si>
    <t>'292330</t>
  </si>
  <si>
    <t>'292425</t>
  </si>
  <si>
    <t>'292630</t>
  </si>
  <si>
    <t>'293110</t>
  </si>
  <si>
    <t>'293146</t>
  </si>
  <si>
    <t>'293214</t>
  </si>
  <si>
    <t>'293299</t>
  </si>
  <si>
    <t>'293319</t>
  </si>
  <si>
    <t>'293337</t>
  </si>
  <si>
    <t>'293371</t>
  </si>
  <si>
    <t>'293392</t>
  </si>
  <si>
    <t>'293399</t>
  </si>
  <si>
    <t>'293625</t>
  </si>
  <si>
    <t>'930310</t>
  </si>
  <si>
    <t>'930510</t>
  </si>
  <si>
    <t>'930700</t>
  </si>
  <si>
    <t>'940141</t>
  </si>
  <si>
    <t>'903210</t>
  </si>
  <si>
    <t>'903220</t>
  </si>
  <si>
    <t>'910199</t>
  </si>
  <si>
    <t>'910291</t>
  </si>
  <si>
    <t>'910310</t>
  </si>
  <si>
    <t>'910519</t>
  </si>
  <si>
    <t>'910700</t>
  </si>
  <si>
    <t>'910990</t>
  </si>
  <si>
    <t>'911180</t>
  </si>
  <si>
    <t>'920210</t>
  </si>
  <si>
    <t>'940599</t>
  </si>
  <si>
    <t>'950450</t>
  </si>
  <si>
    <t>'950640</t>
  </si>
  <si>
    <t>'950651</t>
  </si>
  <si>
    <t>'950810</t>
  </si>
  <si>
    <t>'950830</t>
  </si>
  <si>
    <t>'940190</t>
  </si>
  <si>
    <t>'940511</t>
  </si>
  <si>
    <t>'940520</t>
  </si>
  <si>
    <t>'940390</t>
  </si>
  <si>
    <t>'901820</t>
  </si>
  <si>
    <t>'901832</t>
  </si>
  <si>
    <t>'902121</t>
  </si>
  <si>
    <t>'902190</t>
  </si>
  <si>
    <t>'902910</t>
  </si>
  <si>
    <t>'871110</t>
  </si>
  <si>
    <t>'871140</t>
  </si>
  <si>
    <t>'854020</t>
  </si>
  <si>
    <t>'854040</t>
  </si>
  <si>
    <t>'854079</t>
  </si>
  <si>
    <t>'854091</t>
  </si>
  <si>
    <t>'854142</t>
  </si>
  <si>
    <t>'880521</t>
  </si>
  <si>
    <t>'880629</t>
  </si>
  <si>
    <t>'880691</t>
  </si>
  <si>
    <t>'890120</t>
  </si>
  <si>
    <t>'890130</t>
  </si>
  <si>
    <t>'890392</t>
  </si>
  <si>
    <t>'900580</t>
  </si>
  <si>
    <t>'900669</t>
  </si>
  <si>
    <t>'900691</t>
  </si>
  <si>
    <t>'900720</t>
  </si>
  <si>
    <t>'900792</t>
  </si>
  <si>
    <t>'900850</t>
  </si>
  <si>
    <t>'901120</t>
  </si>
  <si>
    <t>'901540</t>
  </si>
  <si>
    <t>'901814</t>
  </si>
  <si>
    <t>'961700</t>
  </si>
  <si>
    <t>'961800</t>
  </si>
  <si>
    <t>'970200</t>
  </si>
  <si>
    <t>'960850</t>
  </si>
  <si>
    <t>'960920</t>
  </si>
  <si>
    <t>'961320</t>
  </si>
  <si>
    <t>Código</t>
  </si>
  <si>
    <t xml:space="preserve">QUINUA </t>
  </si>
  <si>
    <t>PRODUCTO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</si>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</sst>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_-* #,##0_-;\-* #,##0_-;_-* &quot;-&quot;??_-;_-@"/>
    <numFmt numFmtId="166" formatCode="_(* #,##0_);_(* \(#,##0\);_(* &quot;-&quot;??_);_(@_)"/>
    <numFmt numFmtId="167" formatCode="0.0%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02B54"/>
      <name val="Calibri"/>
      <family val="2"/>
      <scheme val="minor"/>
    </font>
    <font>
      <sz val="9"/>
      <color rgb="FF002B5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2B54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b/>
      <sz val="12"/>
      <color theme="0"/>
      <name val="Calibri"/>
      <family val="2"/>
    </font>
    <font>
      <b/>
      <sz val="10"/>
      <name val="Arial Narrow"/>
      <family val="2"/>
    </font>
    <font>
      <sz val="8"/>
      <name val="Arial Narrow"/>
      <family val="2"/>
    </font>
    <font>
      <sz val="6"/>
      <name val="Arial Narrow"/>
      <family val="2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b/>
      <sz val="9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rgb="FF002B54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7F6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rgb="FF00B050"/>
        <bgColor rgb="FFE2EFD9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5D7B9D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B54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2B54"/>
      </bottom>
      <diagonal/>
    </border>
    <border>
      <left style="thin">
        <color rgb="FF002B5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2B54"/>
      </right>
      <top/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2B54"/>
      </top>
      <bottom/>
      <diagonal/>
    </border>
    <border>
      <left style="thin">
        <color rgb="FF000000"/>
      </left>
      <right style="thin">
        <color rgb="FF002B54"/>
      </right>
      <top style="thin">
        <color rgb="FF002B5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2B54"/>
      </top>
      <bottom/>
      <diagonal/>
    </border>
    <border>
      <left style="thin">
        <color rgb="FF000000"/>
      </left>
      <right/>
      <top style="thin">
        <color rgb="FF002B54"/>
      </top>
      <bottom/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67">
    <xf numFmtId="0" fontId="0" fillId="0" borderId="0" xfId="0"/>
    <xf numFmtId="9" fontId="0" fillId="0" borderId="0" xfId="1" applyFont="1"/>
    <xf numFmtId="10" fontId="0" fillId="0" borderId="0" xfId="1" applyNumberFormat="1" applyFont="1"/>
    <xf numFmtId="2" fontId="0" fillId="0" borderId="0" xfId="0" applyNumberFormat="1"/>
    <xf numFmtId="0" fontId="18" fillId="33" borderId="10" xfId="0" applyFont="1" applyFill="1" applyBorder="1" applyAlignment="1">
      <alignment horizontal="center" vertical="center" wrapText="1"/>
    </xf>
    <xf numFmtId="0" fontId="13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10" fontId="0" fillId="0" borderId="10" xfId="1" applyNumberFormat="1" applyFont="1" applyBorder="1"/>
    <xf numFmtId="2" fontId="0" fillId="0" borderId="10" xfId="0" applyNumberFormat="1" applyBorder="1"/>
    <xf numFmtId="0" fontId="16" fillId="0" borderId="10" xfId="0" applyFont="1" applyBorder="1"/>
    <xf numFmtId="0" fontId="20" fillId="0" borderId="10" xfId="0" applyFont="1" applyBorder="1"/>
    <xf numFmtId="10" fontId="20" fillId="0" borderId="10" xfId="1" applyNumberFormat="1" applyFont="1" applyBorder="1"/>
    <xf numFmtId="0" fontId="0" fillId="0" borderId="10" xfId="0" applyFont="1" applyBorder="1"/>
    <xf numFmtId="3" fontId="0" fillId="0" borderId="0" xfId="0" applyNumberFormat="1"/>
    <xf numFmtId="0" fontId="21" fillId="34" borderId="13" xfId="0" applyFont="1" applyFill="1" applyBorder="1" applyAlignment="1">
      <alignment horizontal="left" wrapText="1"/>
    </xf>
    <xf numFmtId="0" fontId="21" fillId="34" borderId="14" xfId="0" applyFont="1" applyFill="1" applyBorder="1" applyAlignment="1">
      <alignment horizontal="right" wrapText="1"/>
    </xf>
    <xf numFmtId="0" fontId="21" fillId="34" borderId="15" xfId="0" applyFont="1" applyFill="1" applyBorder="1" applyAlignment="1">
      <alignment horizontal="right" wrapText="1"/>
    </xf>
    <xf numFmtId="0" fontId="21" fillId="35" borderId="13" xfId="0" applyFont="1" applyFill="1" applyBorder="1" applyAlignment="1">
      <alignment horizontal="left" wrapText="1"/>
    </xf>
    <xf numFmtId="0" fontId="21" fillId="35" borderId="14" xfId="0" applyFont="1" applyFill="1" applyBorder="1" applyAlignment="1">
      <alignment horizontal="right" wrapText="1"/>
    </xf>
    <xf numFmtId="0" fontId="21" fillId="35" borderId="15" xfId="0" applyFont="1" applyFill="1" applyBorder="1" applyAlignment="1">
      <alignment horizontal="right" wrapText="1"/>
    </xf>
    <xf numFmtId="0" fontId="21" fillId="35" borderId="16" xfId="0" applyFont="1" applyFill="1" applyBorder="1" applyAlignment="1">
      <alignment horizontal="left" wrapText="1"/>
    </xf>
    <xf numFmtId="0" fontId="21" fillId="35" borderId="17" xfId="0" applyFont="1" applyFill="1" applyBorder="1" applyAlignment="1">
      <alignment horizontal="right" wrapText="1"/>
    </xf>
    <xf numFmtId="0" fontId="21" fillId="35" borderId="18" xfId="0" applyFont="1" applyFill="1" applyBorder="1" applyAlignment="1">
      <alignment horizontal="right" wrapText="1"/>
    </xf>
    <xf numFmtId="0" fontId="22" fillId="34" borderId="13" xfId="0" applyFont="1" applyFill="1" applyBorder="1" applyAlignment="1">
      <alignment horizontal="left" wrapText="1"/>
    </xf>
    <xf numFmtId="0" fontId="22" fillId="34" borderId="14" xfId="0" applyFont="1" applyFill="1" applyBorder="1" applyAlignment="1">
      <alignment horizontal="right" wrapText="1"/>
    </xf>
    <xf numFmtId="0" fontId="22" fillId="34" borderId="15" xfId="0" applyFont="1" applyFill="1" applyBorder="1" applyAlignment="1">
      <alignment horizontal="right" wrapText="1"/>
    </xf>
    <xf numFmtId="0" fontId="23" fillId="33" borderId="12" xfId="0" applyFont="1" applyFill="1" applyBorder="1" applyAlignment="1">
      <alignment horizontal="center" vertical="center" wrapText="1"/>
    </xf>
    <xf numFmtId="0" fontId="24" fillId="35" borderId="13" xfId="0" applyFont="1" applyFill="1" applyBorder="1" applyAlignment="1">
      <alignment horizontal="left" wrapText="1"/>
    </xf>
    <xf numFmtId="0" fontId="24" fillId="35" borderId="14" xfId="0" applyFont="1" applyFill="1" applyBorder="1" applyAlignment="1">
      <alignment horizontal="right" wrapText="1"/>
    </xf>
    <xf numFmtId="0" fontId="24" fillId="35" borderId="15" xfId="0" applyFont="1" applyFill="1" applyBorder="1" applyAlignment="1">
      <alignment horizontal="right" wrapText="1"/>
    </xf>
    <xf numFmtId="0" fontId="21" fillId="35" borderId="19" xfId="0" applyFont="1" applyFill="1" applyBorder="1" applyAlignment="1">
      <alignment horizontal="left" wrapText="1"/>
    </xf>
    <xf numFmtId="0" fontId="23" fillId="33" borderId="10" xfId="0" applyFont="1" applyFill="1" applyBorder="1" applyAlignment="1">
      <alignment horizontal="center" vertical="center" wrapText="1"/>
    </xf>
    <xf numFmtId="0" fontId="25" fillId="36" borderId="10" xfId="0" applyFont="1" applyFill="1" applyBorder="1" applyAlignment="1">
      <alignment horizontal="left" wrapText="1"/>
    </xf>
    <xf numFmtId="9" fontId="25" fillId="36" borderId="10" xfId="1" applyFont="1" applyFill="1" applyBorder="1"/>
    <xf numFmtId="2" fontId="25" fillId="36" borderId="10" xfId="0" applyNumberFormat="1" applyFont="1" applyFill="1" applyBorder="1"/>
    <xf numFmtId="10" fontId="25" fillId="36" borderId="10" xfId="1" applyNumberFormat="1" applyFont="1" applyFill="1" applyBorder="1"/>
    <xf numFmtId="1" fontId="25" fillId="36" borderId="10" xfId="0" applyNumberFormat="1" applyFont="1" applyFill="1" applyBorder="1" applyAlignment="1">
      <alignment horizontal="right" wrapText="1"/>
    </xf>
    <xf numFmtId="1" fontId="21" fillId="35" borderId="20" xfId="0" applyNumberFormat="1" applyFont="1" applyFill="1" applyBorder="1" applyAlignment="1">
      <alignment horizontal="right" wrapText="1"/>
    </xf>
    <xf numFmtId="1" fontId="21" fillId="35" borderId="21" xfId="0" applyNumberFormat="1" applyFont="1" applyFill="1" applyBorder="1" applyAlignment="1">
      <alignment horizontal="right" wrapText="1"/>
    </xf>
    <xf numFmtId="0" fontId="13" fillId="33" borderId="10" xfId="0" applyFont="1" applyFill="1" applyBorder="1"/>
    <xf numFmtId="0" fontId="0" fillId="36" borderId="10" xfId="0" applyFill="1" applyBorder="1"/>
    <xf numFmtId="0" fontId="26" fillId="33" borderId="10" xfId="0" applyFont="1" applyFill="1" applyBorder="1" applyAlignment="1">
      <alignment horizontal="center" vertical="center"/>
    </xf>
    <xf numFmtId="0" fontId="26" fillId="33" borderId="10" xfId="0" applyFont="1" applyFill="1" applyBorder="1" applyAlignment="1">
      <alignment horizontal="center" vertical="center" wrapText="1"/>
    </xf>
    <xf numFmtId="0" fontId="23" fillId="33" borderId="23" xfId="0" applyFont="1" applyFill="1" applyBorder="1" applyAlignment="1">
      <alignment horizontal="center" vertical="center" wrapText="1"/>
    </xf>
    <xf numFmtId="10" fontId="25" fillId="36" borderId="24" xfId="1" applyNumberFormat="1" applyFont="1" applyFill="1" applyBorder="1"/>
    <xf numFmtId="0" fontId="21" fillId="34" borderId="16" xfId="0" applyFont="1" applyFill="1" applyBorder="1" applyAlignment="1">
      <alignment horizontal="left" wrapText="1"/>
    </xf>
    <xf numFmtId="0" fontId="21" fillId="34" borderId="17" xfId="0" applyFont="1" applyFill="1" applyBorder="1" applyAlignment="1">
      <alignment horizontal="right" wrapText="1"/>
    </xf>
    <xf numFmtId="0" fontId="21" fillId="34" borderId="18" xfId="0" applyFont="1" applyFill="1" applyBorder="1" applyAlignment="1">
      <alignment horizontal="right" wrapText="1"/>
    </xf>
    <xf numFmtId="0" fontId="23" fillId="33" borderId="22" xfId="0" applyFont="1" applyFill="1" applyBorder="1" applyAlignment="1">
      <alignment horizontal="center" vertical="center"/>
    </xf>
    <xf numFmtId="0" fontId="25" fillId="36" borderId="13" xfId="0" applyFont="1" applyFill="1" applyBorder="1" applyAlignment="1">
      <alignment horizontal="left" wrapText="1"/>
    </xf>
    <xf numFmtId="0" fontId="25" fillId="36" borderId="14" xfId="0" applyFont="1" applyFill="1" applyBorder="1" applyAlignment="1">
      <alignment horizontal="right" wrapText="1"/>
    </xf>
    <xf numFmtId="0" fontId="25" fillId="36" borderId="15" xfId="0" applyFont="1" applyFill="1" applyBorder="1" applyAlignment="1">
      <alignment horizontal="right" wrapText="1"/>
    </xf>
    <xf numFmtId="0" fontId="23" fillId="33" borderId="11" xfId="0" applyFont="1" applyFill="1" applyBorder="1" applyAlignment="1">
      <alignment horizontal="center" vertical="center"/>
    </xf>
    <xf numFmtId="0" fontId="27" fillId="36" borderId="13" xfId="0" applyFont="1" applyFill="1" applyBorder="1" applyAlignment="1">
      <alignment horizontal="left" wrapText="1"/>
    </xf>
    <xf numFmtId="0" fontId="28" fillId="36" borderId="14" xfId="0" applyFont="1" applyFill="1" applyBorder="1" applyAlignment="1">
      <alignment horizontal="right" wrapText="1"/>
    </xf>
    <xf numFmtId="0" fontId="0" fillId="0" borderId="10" xfId="0" applyBorder="1" applyAlignment="1">
      <alignment horizontal="center" vertical="center"/>
    </xf>
    <xf numFmtId="0" fontId="25" fillId="36" borderId="25" xfId="0" applyFont="1" applyFill="1" applyBorder="1" applyAlignment="1">
      <alignment horizontal="left" wrapText="1"/>
    </xf>
    <xf numFmtId="0" fontId="13" fillId="33" borderId="10" xfId="0" applyFont="1" applyFill="1" applyBorder="1" applyAlignment="1">
      <alignment horizontal="center" vertical="center"/>
    </xf>
    <xf numFmtId="0" fontId="25" fillId="36" borderId="0" xfId="0" applyFont="1" applyFill="1"/>
    <xf numFmtId="0" fontId="25" fillId="36" borderId="10" xfId="0" applyFont="1" applyFill="1" applyBorder="1" applyAlignment="1">
      <alignment horizontal="right" wrapText="1"/>
    </xf>
    <xf numFmtId="0" fontId="25" fillId="35" borderId="20" xfId="0" applyFont="1" applyFill="1" applyBorder="1" applyAlignment="1">
      <alignment horizontal="right" wrapText="1"/>
    </xf>
    <xf numFmtId="0" fontId="25" fillId="35" borderId="21" xfId="0" applyFont="1" applyFill="1" applyBorder="1" applyAlignment="1">
      <alignment horizontal="right" wrapText="1"/>
    </xf>
    <xf numFmtId="0" fontId="25" fillId="35" borderId="19" xfId="0" applyFont="1" applyFill="1" applyBorder="1" applyAlignment="1">
      <alignment horizontal="left" wrapText="1"/>
    </xf>
    <xf numFmtId="2" fontId="0" fillId="0" borderId="10" xfId="0" applyNumberFormat="1" applyFont="1" applyBorder="1"/>
    <xf numFmtId="2" fontId="16" fillId="0" borderId="10" xfId="0" applyNumberFormat="1" applyFont="1" applyBorder="1"/>
    <xf numFmtId="164" fontId="0" fillId="0" borderId="10" xfId="0" applyNumberFormat="1" applyBorder="1"/>
    <xf numFmtId="164" fontId="0" fillId="36" borderId="10" xfId="0" applyNumberFormat="1" applyFill="1" applyBorder="1"/>
    <xf numFmtId="164" fontId="16" fillId="0" borderId="10" xfId="0" applyNumberFormat="1" applyFont="1" applyBorder="1"/>
    <xf numFmtId="10" fontId="16" fillId="0" borderId="10" xfId="1" applyNumberFormat="1" applyFont="1" applyBorder="1"/>
    <xf numFmtId="0" fontId="13" fillId="33" borderId="10" xfId="0" applyFont="1" applyFill="1" applyBorder="1" applyAlignment="1">
      <alignment wrapText="1"/>
    </xf>
    <xf numFmtId="0" fontId="28" fillId="36" borderId="27" xfId="0" applyFont="1" applyFill="1" applyBorder="1" applyAlignment="1">
      <alignment horizontal="right" wrapText="1"/>
    </xf>
    <xf numFmtId="0" fontId="0" fillId="0" borderId="10" xfId="0" applyFont="1" applyBorder="1" applyAlignment="1">
      <alignment horizontal="center" vertical="center"/>
    </xf>
    <xf numFmtId="164" fontId="0" fillId="0" borderId="10" xfId="0" applyNumberFormat="1" applyFont="1" applyBorder="1"/>
    <xf numFmtId="0" fontId="26" fillId="33" borderId="0" xfId="0" applyFont="1" applyFill="1" applyBorder="1" applyAlignment="1">
      <alignment horizontal="center" vertical="center" wrapText="1"/>
    </xf>
    <xf numFmtId="2" fontId="0" fillId="0" borderId="0" xfId="0" applyNumberFormat="1" applyBorder="1"/>
    <xf numFmtId="2" fontId="16" fillId="0" borderId="0" xfId="0" applyNumberFormat="1" applyFont="1" applyBorder="1"/>
    <xf numFmtId="2" fontId="32" fillId="0" borderId="0" xfId="0" applyNumberFormat="1" applyFont="1" applyBorder="1" applyAlignment="1">
      <alignment horizontal="center" vertical="center"/>
    </xf>
    <xf numFmtId="10" fontId="0" fillId="0" borderId="0" xfId="1" applyNumberFormat="1" applyFont="1" applyBorder="1" applyAlignment="1">
      <alignment horizontal="center"/>
    </xf>
    <xf numFmtId="0" fontId="31" fillId="37" borderId="10" xfId="0" applyFont="1" applyFill="1" applyBorder="1" applyAlignment="1">
      <alignment horizontal="center" vertical="center" wrapText="1"/>
    </xf>
    <xf numFmtId="0" fontId="33" fillId="0" borderId="10" xfId="0" applyFont="1" applyBorder="1" applyAlignment="1">
      <alignment horizontal="justify" vertical="center" wrapText="1"/>
    </xf>
    <xf numFmtId="0" fontId="33" fillId="0" borderId="10" xfId="0" applyFont="1" applyBorder="1" applyAlignment="1">
      <alignment horizontal="center" vertical="center" wrapText="1"/>
    </xf>
    <xf numFmtId="4" fontId="33" fillId="0" borderId="10" xfId="0" applyNumberFormat="1" applyFont="1" applyBorder="1" applyAlignment="1">
      <alignment horizontal="center" vertical="center" wrapText="1"/>
    </xf>
    <xf numFmtId="3" fontId="33" fillId="0" borderId="10" xfId="0" applyNumberFormat="1" applyFont="1" applyBorder="1" applyAlignment="1">
      <alignment horizontal="center" vertical="center" wrapText="1"/>
    </xf>
    <xf numFmtId="0" fontId="25" fillId="0" borderId="0" xfId="0" applyFont="1" applyFill="1"/>
    <xf numFmtId="9" fontId="0" fillId="0" borderId="0" xfId="0" applyNumberFormat="1"/>
    <xf numFmtId="0" fontId="25" fillId="0" borderId="14" xfId="0" applyFont="1" applyFill="1" applyBorder="1" applyAlignment="1">
      <alignment horizontal="right" wrapText="1"/>
    </xf>
    <xf numFmtId="0" fontId="25" fillId="0" borderId="13" xfId="0" applyFont="1" applyFill="1" applyBorder="1" applyAlignment="1">
      <alignment horizontal="center" wrapText="1"/>
    </xf>
    <xf numFmtId="0" fontId="25" fillId="0" borderId="10" xfId="0" applyFont="1" applyFill="1" applyBorder="1"/>
    <xf numFmtId="0" fontId="34" fillId="38" borderId="0" xfId="0" applyFont="1" applyFill="1"/>
    <xf numFmtId="0" fontId="36" fillId="0" borderId="0" xfId="0" applyFont="1"/>
    <xf numFmtId="165" fontId="34" fillId="0" borderId="0" xfId="0" applyNumberFormat="1" applyFont="1"/>
    <xf numFmtId="0" fontId="34" fillId="38" borderId="0" xfId="0" applyFont="1" applyFill="1" applyAlignment="1"/>
    <xf numFmtId="0" fontId="35" fillId="0" borderId="0" xfId="0" applyFont="1" applyAlignment="1"/>
    <xf numFmtId="0" fontId="0" fillId="0" borderId="0" xfId="0" applyAlignment="1">
      <alignment horizontal="center"/>
    </xf>
    <xf numFmtId="0" fontId="37" fillId="39" borderId="10" xfId="0" applyFont="1" applyFill="1" applyBorder="1" applyAlignment="1">
      <alignment horizontal="center" vertical="center" wrapText="1"/>
    </xf>
    <xf numFmtId="0" fontId="36" fillId="0" borderId="10" xfId="0" applyFont="1" applyBorder="1"/>
    <xf numFmtId="165" fontId="34" fillId="0" borderId="10" xfId="0" applyNumberFormat="1" applyFont="1" applyBorder="1"/>
    <xf numFmtId="0" fontId="0" fillId="0" borderId="10" xfId="0" applyBorder="1" applyAlignment="1">
      <alignment horizontal="center"/>
    </xf>
    <xf numFmtId="0" fontId="36" fillId="0" borderId="10" xfId="0" applyFont="1" applyBorder="1" applyAlignment="1">
      <alignment horizontal="left"/>
    </xf>
    <xf numFmtId="0" fontId="0" fillId="0" borderId="10" xfId="0" applyFont="1" applyBorder="1" applyAlignment="1">
      <alignment horizontal="left"/>
    </xf>
    <xf numFmtId="37" fontId="38" fillId="0" borderId="0" xfId="0" quotePrefix="1" applyNumberFormat="1" applyFont="1" applyAlignment="1">
      <alignment horizontal="left" vertical="center"/>
    </xf>
    <xf numFmtId="0" fontId="39" fillId="0" borderId="0" xfId="0" applyFont="1" applyAlignment="1">
      <alignment vertical="center"/>
    </xf>
    <xf numFmtId="37" fontId="39" fillId="0" borderId="0" xfId="0" applyNumberFormat="1" applyFont="1" applyAlignment="1">
      <alignment horizontal="left" vertical="center"/>
    </xf>
    <xf numFmtId="166" fontId="39" fillId="0" borderId="0" xfId="43" applyNumberFormat="1" applyFont="1" applyBorder="1" applyAlignment="1" applyProtection="1">
      <alignment horizontal="right" vertical="center"/>
    </xf>
    <xf numFmtId="166" fontId="39" fillId="0" borderId="0" xfId="43" applyNumberFormat="1" applyFont="1" applyAlignment="1" applyProtection="1">
      <alignment horizontal="right" vertical="center"/>
    </xf>
    <xf numFmtId="37" fontId="39" fillId="0" borderId="29" xfId="0" applyNumberFormat="1" applyFont="1" applyBorder="1" applyAlignment="1">
      <alignment horizontal="left" vertical="center"/>
    </xf>
    <xf numFmtId="166" fontId="39" fillId="0" borderId="28" xfId="43" applyNumberFormat="1" applyFont="1" applyBorder="1" applyAlignment="1" applyProtection="1">
      <alignment horizontal="right" vertical="center"/>
    </xf>
    <xf numFmtId="0" fontId="40" fillId="0" borderId="0" xfId="0" applyFont="1" applyAlignment="1">
      <alignment horizontal="left" vertical="center"/>
    </xf>
    <xf numFmtId="0" fontId="40" fillId="0" borderId="0" xfId="0" applyFont="1" applyAlignment="1">
      <alignment vertical="center"/>
    </xf>
    <xf numFmtId="0" fontId="0" fillId="36" borderId="30" xfId="0" applyFill="1" applyBorder="1"/>
    <xf numFmtId="37" fontId="29" fillId="36" borderId="10" xfId="0" applyNumberFormat="1" applyFont="1" applyFill="1" applyBorder="1" applyAlignment="1">
      <alignment horizontal="center" vertical="center"/>
    </xf>
    <xf numFmtId="166" fontId="29" fillId="36" borderId="10" xfId="43" applyNumberFormat="1" applyFont="1" applyFill="1" applyBorder="1" applyAlignment="1" applyProtection="1">
      <alignment horizontal="right" vertical="center"/>
    </xf>
    <xf numFmtId="37" fontId="25" fillId="0" borderId="10" xfId="0" applyNumberFormat="1" applyFont="1" applyBorder="1" applyAlignment="1">
      <alignment horizontal="left" vertical="center"/>
    </xf>
    <xf numFmtId="166" fontId="25" fillId="0" borderId="10" xfId="43" applyNumberFormat="1" applyFont="1" applyBorder="1" applyAlignment="1" applyProtection="1">
      <alignment horizontal="right" vertical="center"/>
    </xf>
    <xf numFmtId="37" fontId="41" fillId="33" borderId="10" xfId="0" applyNumberFormat="1" applyFont="1" applyFill="1" applyBorder="1" applyAlignment="1">
      <alignment horizontal="center" vertical="center"/>
    </xf>
    <xf numFmtId="166" fontId="25" fillId="36" borderId="10" xfId="43" applyNumberFormat="1" applyFont="1" applyFill="1" applyBorder="1" applyAlignment="1" applyProtection="1">
      <alignment horizontal="right" vertical="center"/>
    </xf>
    <xf numFmtId="0" fontId="0" fillId="0" borderId="10" xfId="0" applyBorder="1" applyAlignment="1">
      <alignment vertical="center"/>
    </xf>
    <xf numFmtId="0" fontId="0" fillId="0" borderId="0" xfId="0" applyFill="1"/>
    <xf numFmtId="1" fontId="0" fillId="0" borderId="0" xfId="0" applyNumberFormat="1"/>
    <xf numFmtId="0" fontId="26" fillId="0" borderId="10" xfId="0" applyFont="1" applyFill="1" applyBorder="1" applyAlignment="1">
      <alignment horizontal="center" vertical="center" wrapText="1"/>
    </xf>
    <xf numFmtId="0" fontId="25" fillId="0" borderId="10" xfId="0" applyFont="1" applyFill="1" applyBorder="1" applyAlignment="1">
      <alignment horizontal="center" vertical="center"/>
    </xf>
    <xf numFmtId="0" fontId="25" fillId="0" borderId="10" xfId="0" applyFont="1" applyFill="1" applyBorder="1" applyAlignment="1">
      <alignment horizontal="left" vertical="center"/>
    </xf>
    <xf numFmtId="0" fontId="0" fillId="0" borderId="10" xfId="0" applyBorder="1" applyAlignment="1"/>
    <xf numFmtId="1" fontId="0" fillId="0" borderId="10" xfId="0" applyNumberFormat="1" applyBorder="1" applyAlignment="1"/>
    <xf numFmtId="0" fontId="25" fillId="0" borderId="10" xfId="0" applyFont="1" applyFill="1" applyBorder="1" applyAlignment="1"/>
    <xf numFmtId="10" fontId="25" fillId="0" borderId="10" xfId="1" applyNumberFormat="1" applyFont="1" applyFill="1" applyBorder="1" applyAlignment="1">
      <alignment horizontal="center" vertical="center"/>
    </xf>
    <xf numFmtId="10" fontId="0" fillId="0" borderId="0" xfId="0" applyNumberFormat="1"/>
    <xf numFmtId="0" fontId="25" fillId="36" borderId="19" xfId="0" applyFont="1" applyFill="1" applyBorder="1" applyAlignment="1">
      <alignment horizontal="left" wrapText="1"/>
    </xf>
    <xf numFmtId="0" fontId="25" fillId="36" borderId="20" xfId="0" applyFont="1" applyFill="1" applyBorder="1" applyAlignment="1">
      <alignment horizontal="right" wrapText="1"/>
    </xf>
    <xf numFmtId="0" fontId="25" fillId="36" borderId="21" xfId="0" applyFont="1" applyFill="1" applyBorder="1" applyAlignment="1">
      <alignment horizontal="right" wrapText="1"/>
    </xf>
    <xf numFmtId="0" fontId="23" fillId="33" borderId="10" xfId="0" applyFont="1" applyFill="1" applyBorder="1" applyAlignment="1">
      <alignment horizontal="center" vertical="center"/>
    </xf>
    <xf numFmtId="0" fontId="25" fillId="36" borderId="24" xfId="0" applyFont="1" applyFill="1" applyBorder="1" applyAlignment="1">
      <alignment horizontal="left" wrapText="1"/>
    </xf>
    <xf numFmtId="0" fontId="25" fillId="36" borderId="10" xfId="0" applyFont="1" applyFill="1" applyBorder="1" applyAlignment="1">
      <alignment horizontal="center" wrapText="1"/>
    </xf>
    <xf numFmtId="0" fontId="28" fillId="36" borderId="10" xfId="0" applyFont="1" applyFill="1" applyBorder="1" applyAlignment="1">
      <alignment horizontal="right" wrapText="1"/>
    </xf>
    <xf numFmtId="0" fontId="19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right" wrapText="1"/>
    </xf>
    <xf numFmtId="0" fontId="30" fillId="0" borderId="0" xfId="0" applyFont="1" applyFill="1" applyBorder="1" applyAlignment="1">
      <alignment horizontal="center" vertical="center" wrapText="1"/>
    </xf>
    <xf numFmtId="0" fontId="28" fillId="0" borderId="10" xfId="0" applyFont="1" applyFill="1" applyBorder="1" applyAlignment="1">
      <alignment horizontal="center" wrapText="1"/>
    </xf>
    <xf numFmtId="0" fontId="28" fillId="0" borderId="10" xfId="0" applyFont="1" applyFill="1" applyBorder="1" applyAlignment="1">
      <alignment horizontal="right" wrapText="1"/>
    </xf>
    <xf numFmtId="0" fontId="13" fillId="33" borderId="20" xfId="0" applyFont="1" applyFill="1" applyBorder="1" applyAlignment="1">
      <alignment horizontal="center" vertical="center" wrapText="1"/>
    </xf>
    <xf numFmtId="0" fontId="13" fillId="33" borderId="36" xfId="0" applyFont="1" applyFill="1" applyBorder="1" applyAlignment="1">
      <alignment horizontal="center" vertical="center" wrapText="1"/>
    </xf>
    <xf numFmtId="0" fontId="13" fillId="33" borderId="24" xfId="0" applyFont="1" applyFill="1" applyBorder="1" applyAlignment="1">
      <alignment horizontal="center" vertical="center" wrapText="1"/>
    </xf>
    <xf numFmtId="0" fontId="0" fillId="0" borderId="37" xfId="0" applyFont="1" applyBorder="1"/>
    <xf numFmtId="0" fontId="23" fillId="41" borderId="31" xfId="0" applyFont="1" applyFill="1" applyBorder="1" applyAlignment="1">
      <alignment horizontal="center" vertical="center" wrapText="1"/>
    </xf>
    <xf numFmtId="0" fontId="23" fillId="41" borderId="32" xfId="0" applyFont="1" applyFill="1" applyBorder="1" applyAlignment="1">
      <alignment horizontal="center" vertical="center" wrapText="1"/>
    </xf>
    <xf numFmtId="0" fontId="23" fillId="33" borderId="20" xfId="0" applyFont="1" applyFill="1" applyBorder="1" applyAlignment="1">
      <alignment horizontal="center" vertical="center" wrapText="1"/>
    </xf>
    <xf numFmtId="0" fontId="23" fillId="33" borderId="35" xfId="0" applyFont="1" applyFill="1" applyBorder="1" applyAlignment="1">
      <alignment horizontal="center" vertical="center" wrapText="1"/>
    </xf>
    <xf numFmtId="0" fontId="25" fillId="0" borderId="13" xfId="0" applyFont="1" applyFill="1" applyBorder="1" applyAlignment="1">
      <alignment horizontal="left" wrapText="1"/>
    </xf>
    <xf numFmtId="0" fontId="25" fillId="0" borderId="27" xfId="0" applyFont="1" applyFill="1" applyBorder="1" applyAlignment="1">
      <alignment horizontal="right" wrapText="1"/>
    </xf>
    <xf numFmtId="0" fontId="25" fillId="0" borderId="25" xfId="0" applyFont="1" applyFill="1" applyBorder="1" applyAlignment="1">
      <alignment horizontal="left" wrapText="1"/>
    </xf>
    <xf numFmtId="0" fontId="25" fillId="0" borderId="19" xfId="0" applyFont="1" applyFill="1" applyBorder="1" applyAlignment="1">
      <alignment horizontal="left" wrapText="1"/>
    </xf>
    <xf numFmtId="0" fontId="25" fillId="0" borderId="31" xfId="0" applyFont="1" applyFill="1" applyBorder="1" applyAlignment="1">
      <alignment horizontal="right" wrapText="1"/>
    </xf>
    <xf numFmtId="0" fontId="25" fillId="0" borderId="33" xfId="0" applyFont="1" applyFill="1" applyBorder="1" applyAlignment="1">
      <alignment horizontal="right" wrapText="1"/>
    </xf>
    <xf numFmtId="0" fontId="25" fillId="0" borderId="10" xfId="0" applyFont="1" applyFill="1" applyBorder="1" applyAlignment="1">
      <alignment horizontal="right" wrapText="1"/>
    </xf>
    <xf numFmtId="0" fontId="25" fillId="0" borderId="31" xfId="0" applyFont="1" applyFill="1" applyBorder="1" applyAlignment="1">
      <alignment horizontal="left" wrapText="1"/>
    </xf>
    <xf numFmtId="0" fontId="13" fillId="33" borderId="24" xfId="0" applyFont="1" applyFill="1" applyBorder="1" applyAlignment="1">
      <alignment wrapText="1"/>
    </xf>
    <xf numFmtId="0" fontId="13" fillId="33" borderId="31" xfId="0" applyFont="1" applyFill="1" applyBorder="1" applyAlignment="1">
      <alignment horizontal="center" vertical="center" wrapText="1"/>
    </xf>
    <xf numFmtId="0" fontId="0" fillId="0" borderId="0" xfId="0" applyFont="1"/>
    <xf numFmtId="0" fontId="37" fillId="39" borderId="34" xfId="0" applyFont="1" applyFill="1" applyBorder="1" applyAlignment="1">
      <alignment horizontal="center" vertical="center" wrapText="1"/>
    </xf>
    <xf numFmtId="165" fontId="34" fillId="0" borderId="34" xfId="0" applyNumberFormat="1" applyFont="1" applyBorder="1"/>
    <xf numFmtId="10" fontId="0" fillId="0" borderId="24" xfId="1" applyNumberFormat="1" applyFont="1" applyBorder="1"/>
    <xf numFmtId="0" fontId="18" fillId="33" borderId="0" xfId="0" applyFont="1" applyFill="1" applyBorder="1" applyAlignment="1">
      <alignment horizontal="center" vertical="center" wrapText="1"/>
    </xf>
    <xf numFmtId="167" fontId="20" fillId="0" borderId="0" xfId="1" applyNumberFormat="1" applyFont="1" applyBorder="1"/>
    <xf numFmtId="167" fontId="20" fillId="42" borderId="0" xfId="1" applyNumberFormat="1" applyFont="1" applyFill="1" applyBorder="1"/>
    <xf numFmtId="0" fontId="23" fillId="33" borderId="10" xfId="0" applyFont="1" applyFill="1" applyBorder="1" applyAlignment="1">
      <alignment vertical="center"/>
    </xf>
    <xf numFmtId="1" fontId="25" fillId="36" borderId="14" xfId="0" applyNumberFormat="1" applyFont="1" applyFill="1" applyBorder="1" applyAlignment="1">
      <alignment horizontal="right" wrapText="1"/>
    </xf>
    <xf numFmtId="1" fontId="25" fillId="36" borderId="27" xfId="0" applyNumberFormat="1" applyFont="1" applyFill="1" applyBorder="1" applyAlignment="1">
      <alignment horizontal="right" wrapText="1"/>
    </xf>
    <xf numFmtId="0" fontId="28" fillId="0" borderId="30" xfId="0" applyFont="1" applyFill="1" applyBorder="1" applyAlignment="1">
      <alignment horizontal="right" wrapText="1"/>
    </xf>
    <xf numFmtId="0" fontId="25" fillId="0" borderId="30" xfId="0" applyFont="1" applyFill="1" applyBorder="1" applyAlignment="1">
      <alignment horizontal="right" wrapText="1"/>
    </xf>
    <xf numFmtId="1" fontId="25" fillId="36" borderId="25" xfId="0" applyNumberFormat="1" applyFont="1" applyFill="1" applyBorder="1" applyAlignment="1">
      <alignment horizontal="right" wrapText="1"/>
    </xf>
    <xf numFmtId="0" fontId="23" fillId="33" borderId="32" xfId="0" applyFont="1" applyFill="1" applyBorder="1" applyAlignment="1">
      <alignment horizontal="center" vertical="center" wrapText="1"/>
    </xf>
    <xf numFmtId="9" fontId="25" fillId="36" borderId="24" xfId="1" applyNumberFormat="1" applyFont="1" applyFill="1" applyBorder="1"/>
    <xf numFmtId="0" fontId="13" fillId="33" borderId="10" xfId="0" applyFont="1" applyFill="1" applyBorder="1" applyAlignment="1">
      <alignment vertical="center"/>
    </xf>
    <xf numFmtId="9" fontId="25" fillId="36" borderId="24" xfId="1" applyFont="1" applyFill="1" applyBorder="1"/>
    <xf numFmtId="0" fontId="0" fillId="0" borderId="10" xfId="0" applyFill="1" applyBorder="1" applyAlignment="1">
      <alignment horizontal="center"/>
    </xf>
    <xf numFmtId="0" fontId="18" fillId="33" borderId="10" xfId="0" applyFont="1" applyFill="1" applyBorder="1" applyAlignment="1">
      <alignment horizontal="center" wrapText="1"/>
    </xf>
    <xf numFmtId="0" fontId="27" fillId="0" borderId="10" xfId="0" applyFont="1" applyFill="1" applyBorder="1"/>
    <xf numFmtId="0" fontId="42" fillId="0" borderId="10" xfId="0" applyFont="1" applyBorder="1"/>
    <xf numFmtId="10" fontId="28" fillId="36" borderId="10" xfId="1" applyNumberFormat="1" applyFont="1" applyFill="1" applyBorder="1"/>
    <xf numFmtId="0" fontId="43" fillId="33" borderId="10" xfId="0" applyFont="1" applyFill="1" applyBorder="1" applyAlignment="1">
      <alignment horizontal="center" vertical="center"/>
    </xf>
    <xf numFmtId="0" fontId="43" fillId="33" borderId="24" xfId="0" applyFont="1" applyFill="1" applyBorder="1" applyAlignment="1">
      <alignment wrapText="1"/>
    </xf>
    <xf numFmtId="0" fontId="31" fillId="33" borderId="32" xfId="0" applyFont="1" applyFill="1" applyBorder="1" applyAlignment="1">
      <alignment vertical="center"/>
    </xf>
    <xf numFmtId="0" fontId="31" fillId="33" borderId="20" xfId="0" applyFont="1" applyFill="1" applyBorder="1" applyAlignment="1">
      <alignment horizontal="center" vertical="center" wrapText="1"/>
    </xf>
    <xf numFmtId="0" fontId="31" fillId="33" borderId="35" xfId="0" applyFont="1" applyFill="1" applyBorder="1" applyAlignment="1">
      <alignment horizontal="center" vertical="center" wrapText="1"/>
    </xf>
    <xf numFmtId="0" fontId="42" fillId="0" borderId="10" xfId="0" applyFont="1" applyBorder="1" applyAlignment="1">
      <alignment horizontal="center" vertical="center"/>
    </xf>
    <xf numFmtId="0" fontId="27" fillId="0" borderId="10" xfId="0" applyFont="1" applyFill="1" applyBorder="1" applyAlignment="1">
      <alignment horizontal="left" wrapText="1"/>
    </xf>
    <xf numFmtId="1" fontId="27" fillId="36" borderId="14" xfId="0" applyNumberFormat="1" applyFont="1" applyFill="1" applyBorder="1" applyAlignment="1">
      <alignment horizontal="right" wrapText="1"/>
    </xf>
    <xf numFmtId="1" fontId="27" fillId="36" borderId="27" xfId="0" applyNumberFormat="1" applyFont="1" applyFill="1" applyBorder="1" applyAlignment="1">
      <alignment horizontal="right" wrapText="1"/>
    </xf>
    <xf numFmtId="1" fontId="42" fillId="0" borderId="10" xfId="0" applyNumberFormat="1" applyFont="1" applyBorder="1"/>
    <xf numFmtId="0" fontId="27" fillId="36" borderId="25" xfId="0" applyFont="1" applyFill="1" applyBorder="1" applyAlignment="1">
      <alignment horizontal="left" wrapText="1"/>
    </xf>
    <xf numFmtId="0" fontId="19" fillId="0" borderId="10" xfId="0" applyFont="1" applyFill="1" applyBorder="1" applyAlignment="1">
      <alignment horizontal="left" wrapText="1"/>
    </xf>
    <xf numFmtId="0" fontId="43" fillId="33" borderId="10" xfId="0" applyFont="1" applyFill="1" applyBorder="1" applyAlignment="1">
      <alignment wrapText="1"/>
    </xf>
    <xf numFmtId="0" fontId="31" fillId="33" borderId="10" xfId="0" applyFont="1" applyFill="1" applyBorder="1" applyAlignment="1">
      <alignment vertical="center"/>
    </xf>
    <xf numFmtId="0" fontId="31" fillId="33" borderId="10" xfId="0" applyFont="1" applyFill="1" applyBorder="1" applyAlignment="1">
      <alignment horizontal="center" vertical="center" wrapText="1"/>
    </xf>
    <xf numFmtId="0" fontId="27" fillId="0" borderId="10" xfId="0" applyFont="1" applyFill="1" applyBorder="1" applyAlignment="1">
      <alignment horizontal="right" wrapText="1"/>
    </xf>
    <xf numFmtId="0" fontId="27" fillId="0" borderId="10" xfId="0" applyFont="1" applyFill="1" applyBorder="1" applyAlignment="1">
      <alignment horizontal="center"/>
    </xf>
    <xf numFmtId="0" fontId="43" fillId="33" borderId="38" xfId="0" applyFont="1" applyFill="1" applyBorder="1" applyAlignment="1">
      <alignment wrapText="1"/>
    </xf>
    <xf numFmtId="0" fontId="45" fillId="0" borderId="10" xfId="0" applyFont="1" applyFill="1" applyBorder="1" applyAlignment="1">
      <alignment horizontal="center"/>
    </xf>
    <xf numFmtId="0" fontId="46" fillId="0" borderId="10" xfId="0" applyFont="1" applyFill="1" applyBorder="1"/>
    <xf numFmtId="0" fontId="47" fillId="0" borderId="10" xfId="0" applyFont="1" applyFill="1" applyBorder="1" applyAlignment="1">
      <alignment horizontal="left" wrapText="1"/>
    </xf>
    <xf numFmtId="0" fontId="43" fillId="33" borderId="34" xfId="0" applyFont="1" applyFill="1" applyBorder="1" applyAlignment="1">
      <alignment vertical="center"/>
    </xf>
    <xf numFmtId="0" fontId="27" fillId="0" borderId="34" xfId="0" applyFont="1" applyFill="1" applyBorder="1"/>
    <xf numFmtId="0" fontId="42" fillId="0" borderId="34" xfId="0" applyFont="1" applyBorder="1"/>
    <xf numFmtId="0" fontId="43" fillId="33" borderId="0" xfId="0" applyFont="1" applyFill="1" applyBorder="1" applyAlignment="1">
      <alignment horizontal="center" vertical="center" wrapText="1"/>
    </xf>
    <xf numFmtId="9" fontId="27" fillId="36" borderId="0" xfId="1" applyNumberFormat="1" applyFont="1" applyFill="1" applyBorder="1"/>
    <xf numFmtId="10" fontId="27" fillId="36" borderId="0" xfId="1" applyNumberFormat="1" applyFont="1" applyFill="1" applyBorder="1"/>
    <xf numFmtId="9" fontId="27" fillId="36" borderId="0" xfId="1" applyFont="1" applyFill="1" applyBorder="1"/>
    <xf numFmtId="9" fontId="27" fillId="43" borderId="0" xfId="1" applyNumberFormat="1" applyFont="1" applyFill="1" applyBorder="1"/>
    <xf numFmtId="10" fontId="27" fillId="43" borderId="0" xfId="1" applyNumberFormat="1" applyFont="1" applyFill="1" applyBorder="1"/>
    <xf numFmtId="9" fontId="27" fillId="43" borderId="0" xfId="1" applyFont="1" applyFill="1" applyBorder="1"/>
    <xf numFmtId="0" fontId="13" fillId="33" borderId="0" xfId="0" applyFont="1" applyFill="1" applyBorder="1" applyAlignment="1">
      <alignment horizontal="center" vertical="center" wrapText="1"/>
    </xf>
    <xf numFmtId="9" fontId="25" fillId="36" borderId="0" xfId="1" applyFont="1" applyFill="1" applyBorder="1"/>
    <xf numFmtId="10" fontId="25" fillId="36" borderId="0" xfId="1" applyNumberFormat="1" applyFont="1" applyFill="1" applyBorder="1"/>
    <xf numFmtId="2" fontId="25" fillId="36" borderId="0" xfId="0" applyNumberFormat="1" applyFont="1" applyFill="1" applyBorder="1"/>
    <xf numFmtId="9" fontId="25" fillId="43" borderId="0" xfId="1" applyFont="1" applyFill="1" applyBorder="1"/>
    <xf numFmtId="10" fontId="25" fillId="43" borderId="0" xfId="1" applyNumberFormat="1" applyFont="1" applyFill="1" applyBorder="1"/>
    <xf numFmtId="2" fontId="25" fillId="43" borderId="0" xfId="0" applyNumberFormat="1" applyFont="1" applyFill="1" applyBorder="1"/>
    <xf numFmtId="0" fontId="25" fillId="0" borderId="0" xfId="0" applyFont="1" applyFill="1" applyBorder="1" applyAlignment="1">
      <alignment horizontal="center" wrapText="1"/>
    </xf>
    <xf numFmtId="0" fontId="25" fillId="0" borderId="0" xfId="0" applyFont="1" applyFill="1" applyBorder="1" applyAlignment="1">
      <alignment horizontal="right" wrapText="1"/>
    </xf>
    <xf numFmtId="0" fontId="25" fillId="43" borderId="0" xfId="0" applyFont="1" applyFill="1" applyBorder="1" applyAlignment="1">
      <alignment horizontal="center" wrapText="1"/>
    </xf>
    <xf numFmtId="0" fontId="25" fillId="43" borderId="0" xfId="0" applyFont="1" applyFill="1" applyBorder="1" applyAlignment="1">
      <alignment horizontal="right" wrapText="1"/>
    </xf>
    <xf numFmtId="0" fontId="23" fillId="33" borderId="34" xfId="0" applyFont="1" applyFill="1" applyBorder="1" applyAlignment="1">
      <alignment horizontal="center" vertical="center" wrapText="1"/>
    </xf>
    <xf numFmtId="0" fontId="25" fillId="36" borderId="34" xfId="0" applyFont="1" applyFill="1" applyBorder="1" applyAlignment="1">
      <alignment horizontal="right" wrapText="1"/>
    </xf>
    <xf numFmtId="167" fontId="28" fillId="36" borderId="0" xfId="1" applyNumberFormat="1" applyFont="1" applyFill="1" applyBorder="1"/>
    <xf numFmtId="1" fontId="25" fillId="36" borderId="34" xfId="0" applyNumberFormat="1" applyFont="1" applyFill="1" applyBorder="1" applyAlignment="1">
      <alignment horizontal="right" wrapText="1"/>
    </xf>
    <xf numFmtId="9" fontId="28" fillId="36" borderId="0" xfId="1" applyNumberFormat="1" applyFont="1" applyFill="1" applyBorder="1"/>
    <xf numFmtId="0" fontId="13" fillId="33" borderId="34" xfId="0" applyFont="1" applyFill="1" applyBorder="1" applyAlignment="1">
      <alignment horizontal="center" vertical="center"/>
    </xf>
    <xf numFmtId="1" fontId="25" fillId="0" borderId="34" xfId="0" applyNumberFormat="1" applyFont="1" applyFill="1" applyBorder="1" applyAlignment="1"/>
    <xf numFmtId="1" fontId="0" fillId="0" borderId="34" xfId="0" applyNumberFormat="1" applyBorder="1" applyAlignment="1"/>
    <xf numFmtId="10" fontId="25" fillId="0" borderId="24" xfId="1" applyNumberFormat="1" applyFont="1" applyFill="1" applyBorder="1" applyAlignment="1">
      <alignment horizontal="center" vertical="center"/>
    </xf>
    <xf numFmtId="167" fontId="28" fillId="0" borderId="0" xfId="1" applyNumberFormat="1" applyFont="1" applyFill="1" applyBorder="1" applyAlignment="1">
      <alignment horizontal="center" vertical="center"/>
    </xf>
    <xf numFmtId="167" fontId="28" fillId="42" borderId="0" xfId="1" applyNumberFormat="1" applyFont="1" applyFill="1" applyBorder="1" applyAlignment="1">
      <alignment horizontal="center" vertical="center"/>
    </xf>
    <xf numFmtId="9" fontId="28" fillId="42" borderId="0" xfId="1" applyNumberFormat="1" applyFont="1" applyFill="1" applyBorder="1" applyAlignment="1">
      <alignment horizontal="center" vertical="center"/>
    </xf>
    <xf numFmtId="0" fontId="18" fillId="33" borderId="34" xfId="0" applyFont="1" applyFill="1" applyBorder="1" applyAlignment="1">
      <alignment horizontal="center" vertical="center" wrapText="1"/>
    </xf>
    <xf numFmtId="0" fontId="20" fillId="0" borderId="34" xfId="0" applyFont="1" applyBorder="1"/>
    <xf numFmtId="10" fontId="20" fillId="0" borderId="24" xfId="1" applyNumberFormat="1" applyFont="1" applyBorder="1"/>
    <xf numFmtId="9" fontId="20" fillId="0" borderId="0" xfId="1" applyNumberFormat="1" applyFont="1" applyBorder="1"/>
    <xf numFmtId="167" fontId="28" fillId="42" borderId="0" xfId="1" applyNumberFormat="1" applyFont="1" applyFill="1" applyBorder="1"/>
    <xf numFmtId="9" fontId="28" fillId="42" borderId="0" xfId="1" applyNumberFormat="1" applyFont="1" applyFill="1" applyBorder="1"/>
    <xf numFmtId="167" fontId="28" fillId="0" borderId="10" xfId="1" applyNumberFormat="1" applyFont="1" applyFill="1" applyBorder="1"/>
    <xf numFmtId="10" fontId="25" fillId="36" borderId="39" xfId="1" applyNumberFormat="1" applyFont="1" applyFill="1" applyBorder="1"/>
    <xf numFmtId="0" fontId="44" fillId="44" borderId="11" xfId="0" applyFont="1" applyFill="1" applyBorder="1" applyAlignment="1">
      <alignment horizontal="center" vertical="center" wrapText="1"/>
    </xf>
    <xf numFmtId="0" fontId="44" fillId="44" borderId="12" xfId="0" applyFont="1" applyFill="1" applyBorder="1" applyAlignment="1">
      <alignment horizontal="center" vertical="center" wrapText="1"/>
    </xf>
    <xf numFmtId="0" fontId="44" fillId="44" borderId="14" xfId="0" applyFont="1" applyFill="1" applyBorder="1" applyAlignment="1">
      <alignment horizontal="center" vertical="center" wrapText="1"/>
    </xf>
    <xf numFmtId="0" fontId="44" fillId="44" borderId="40" xfId="0" applyFont="1" applyFill="1" applyBorder="1" applyAlignment="1">
      <alignment vertical="center"/>
    </xf>
    <xf numFmtId="0" fontId="21" fillId="34" borderId="14" xfId="0" applyFont="1" applyFill="1" applyBorder="1" applyAlignment="1">
      <alignment horizontal="left"/>
    </xf>
    <xf numFmtId="0" fontId="21" fillId="35" borderId="14" xfId="0" applyFont="1" applyFill="1" applyBorder="1" applyAlignment="1">
      <alignment horizontal="left"/>
    </xf>
    <xf numFmtId="0" fontId="21" fillId="34" borderId="17" xfId="0" applyFont="1" applyFill="1" applyBorder="1" applyAlignment="1">
      <alignment horizontal="left"/>
    </xf>
    <xf numFmtId="0" fontId="0" fillId="0" borderId="0" xfId="0" applyAlignment="1"/>
    <xf numFmtId="0" fontId="48" fillId="0" borderId="41" xfId="0" applyFont="1" applyBorder="1" applyAlignment="1"/>
    <xf numFmtId="0" fontId="21" fillId="35" borderId="20" xfId="0" applyFont="1" applyFill="1" applyBorder="1" applyAlignment="1">
      <alignment horizontal="left"/>
    </xf>
    <xf numFmtId="0" fontId="21" fillId="35" borderId="20" xfId="0" applyFont="1" applyFill="1" applyBorder="1" applyAlignment="1">
      <alignment horizontal="right" wrapText="1"/>
    </xf>
    <xf numFmtId="0" fontId="44" fillId="33" borderId="10" xfId="0" applyFont="1" applyFill="1" applyBorder="1" applyAlignment="1">
      <alignment vertical="center"/>
    </xf>
    <xf numFmtId="0" fontId="44" fillId="33" borderId="10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right" wrapText="1"/>
    </xf>
    <xf numFmtId="0" fontId="44" fillId="33" borderId="22" xfId="0" applyFont="1" applyFill="1" applyBorder="1" applyAlignment="1">
      <alignment vertical="center" wrapText="1"/>
    </xf>
    <xf numFmtId="0" fontId="19" fillId="0" borderId="13" xfId="0" applyFont="1" applyFill="1" applyBorder="1" applyAlignment="1">
      <alignment horizontal="left" wrapText="1"/>
    </xf>
    <xf numFmtId="2" fontId="19" fillId="0" borderId="13" xfId="0" applyNumberFormat="1" applyFont="1" applyFill="1" applyBorder="1" applyAlignment="1">
      <alignment horizontal="left" wrapText="1"/>
    </xf>
    <xf numFmtId="49" fontId="0" fillId="0" borderId="0" xfId="0" applyNumberFormat="1"/>
    <xf numFmtId="0" fontId="17" fillId="33" borderId="10" xfId="0" applyFont="1" applyFill="1" applyBorder="1"/>
    <xf numFmtId="0" fontId="13" fillId="33" borderId="26" xfId="0" applyFont="1" applyFill="1" applyBorder="1" applyAlignment="1">
      <alignment horizontal="center" wrapText="1"/>
    </xf>
    <xf numFmtId="0" fontId="0" fillId="0" borderId="28" xfId="0" applyBorder="1" applyAlignment="1">
      <alignment horizontal="center"/>
    </xf>
    <xf numFmtId="0" fontId="13" fillId="33" borderId="10" xfId="0" applyFont="1" applyFill="1" applyBorder="1" applyAlignment="1">
      <alignment vertical="center" wrapText="1"/>
    </xf>
    <xf numFmtId="0" fontId="0" fillId="40" borderId="10" xfId="0" applyFill="1" applyBorder="1" applyAlignment="1">
      <alignment horizontal="center"/>
    </xf>
    <xf numFmtId="0" fontId="25" fillId="40" borderId="10" xfId="0" applyFont="1" applyFill="1" applyBorder="1" applyAlignment="1">
      <alignment horizontal="center"/>
    </xf>
    <xf numFmtId="0" fontId="42" fillId="40" borderId="10" xfId="0" applyFont="1" applyFill="1" applyBorder="1" applyAlignment="1">
      <alignment horizontal="center"/>
    </xf>
    <xf numFmtId="0" fontId="32" fillId="0" borderId="0" xfId="0" applyFont="1" applyAlignment="1">
      <alignment horizontal="center"/>
    </xf>
  </cellXfs>
  <cellStyles count="44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43" builtinId="3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rgbClr val="00B050"/>
                </a:solidFill>
              </a:rPr>
              <a:t>PRODUCCION NACIONAL DE QUINUA</a:t>
            </a:r>
          </a:p>
        </c:rich>
      </c:tx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PRODUC_NACIONAL!$M$3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PRODUC_NACIONAL!$L$4:$L$9</c:f>
              <c:strCache>
                <c:ptCount val="6"/>
                <c:pt idx="0">
                  <c:v>Puno</c:v>
                </c:pt>
                <c:pt idx="1">
                  <c:v>Ayacucho</c:v>
                </c:pt>
                <c:pt idx="2">
                  <c:v>Apurímac</c:v>
                </c:pt>
                <c:pt idx="3">
                  <c:v>Cusco</c:v>
                </c:pt>
                <c:pt idx="4">
                  <c:v>Junín</c:v>
                </c:pt>
                <c:pt idx="5">
                  <c:v>OTROS</c:v>
                </c:pt>
              </c:strCache>
            </c:strRef>
          </c:cat>
          <c:val>
            <c:numRef>
              <c:f>PRODUC_NACIONAL!$M$4:$M$9</c:f>
              <c:numCache>
                <c:formatCode>General</c:formatCode>
                <c:ptCount val="6"/>
                <c:pt idx="0">
                  <c:v>39539.368999999992</c:v>
                </c:pt>
                <c:pt idx="1">
                  <c:v>15832</c:v>
                </c:pt>
                <c:pt idx="2">
                  <c:v>11307.95</c:v>
                </c:pt>
                <c:pt idx="3">
                  <c:v>4218</c:v>
                </c:pt>
                <c:pt idx="4">
                  <c:v>3469.5690000000013</c:v>
                </c:pt>
                <c:pt idx="5">
                  <c:v>15046.706000000002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4-47CE-B3CA-626F566FAC76}"/>
            </c:ext>
          </c:extLst>
        </c:ser>
        <c:ser>
          <c:idx val="1"/>
          <c:order val="1"/>
          <c:tx>
            <c:strRef>
              <c:f>PRODUC_NACIONAL!$N$3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PRODUC_NACIONAL!$L$4:$L$9</c:f>
              <c:strCache>
                <c:ptCount val="6"/>
                <c:pt idx="0">
                  <c:v>Puno</c:v>
                </c:pt>
                <c:pt idx="1">
                  <c:v>Ayacucho</c:v>
                </c:pt>
                <c:pt idx="2">
                  <c:v>Apurímac</c:v>
                </c:pt>
                <c:pt idx="3">
                  <c:v>Cusco</c:v>
                </c:pt>
                <c:pt idx="4">
                  <c:v>Junín</c:v>
                </c:pt>
                <c:pt idx="5">
                  <c:v>OTROS</c:v>
                </c:pt>
              </c:strCache>
            </c:strRef>
          </c:cat>
          <c:val>
            <c:numRef>
              <c:f>PRODUC_NACIONAL!$N$4:$N$9</c:f>
              <c:numCache>
                <c:formatCode>General</c:formatCode>
                <c:ptCount val="6"/>
                <c:pt idx="0">
                  <c:v>39618.129999999997</c:v>
                </c:pt>
                <c:pt idx="1">
                  <c:v>23449</c:v>
                </c:pt>
                <c:pt idx="2">
                  <c:v>11887.939999999999</c:v>
                </c:pt>
                <c:pt idx="3">
                  <c:v>6767.2000000000007</c:v>
                </c:pt>
                <c:pt idx="4">
                  <c:v>4233.3</c:v>
                </c:pt>
                <c:pt idx="5">
                  <c:v>14251.464999999998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4-47CE-B3CA-626F566FAC76}"/>
            </c:ext>
          </c:extLst>
        </c:ser>
        <c:ser>
          <c:idx val="2"/>
          <c:order val="2"/>
          <c:tx>
            <c:strRef>
              <c:f>PRODUC_NACIONAL!$O$3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PRODUC_NACIONAL!$L$4:$L$9</c:f>
              <c:strCache>
                <c:ptCount val="6"/>
                <c:pt idx="0">
                  <c:v>Puno</c:v>
                </c:pt>
                <c:pt idx="1">
                  <c:v>Ayacucho</c:v>
                </c:pt>
                <c:pt idx="2">
                  <c:v>Apurímac</c:v>
                </c:pt>
                <c:pt idx="3">
                  <c:v>Cusco</c:v>
                </c:pt>
                <c:pt idx="4">
                  <c:v>Junín</c:v>
                </c:pt>
                <c:pt idx="5">
                  <c:v>OTROS</c:v>
                </c:pt>
              </c:strCache>
            </c:strRef>
          </c:cat>
          <c:val>
            <c:numRef>
              <c:f>PRODUC_NACIONAL!$O$4:$O$9</c:f>
              <c:numCache>
                <c:formatCode>General</c:formatCode>
                <c:ptCount val="6"/>
                <c:pt idx="0">
                  <c:v>41336.708999999995</c:v>
                </c:pt>
                <c:pt idx="1">
                  <c:v>22432</c:v>
                </c:pt>
                <c:pt idx="2">
                  <c:v>10857.05</c:v>
                </c:pt>
                <c:pt idx="3">
                  <c:v>13019.5</c:v>
                </c:pt>
                <c:pt idx="4">
                  <c:v>5442.1499999999987</c:v>
                </c:pt>
                <c:pt idx="5">
                  <c:v>13674.428000000002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14-47CE-B3CA-626F566FAC76}"/>
            </c:ext>
          </c:extLst>
        </c:ser>
        <c:ser>
          <c:idx val="3"/>
          <c:order val="3"/>
          <c:tx>
            <c:strRef>
              <c:f>PRODUC_NACIONAL!$P$3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PRODUC_NACIONAL!$L$4:$L$9</c:f>
              <c:strCache>
                <c:ptCount val="6"/>
                <c:pt idx="0">
                  <c:v>Puno</c:v>
                </c:pt>
                <c:pt idx="1">
                  <c:v>Ayacucho</c:v>
                </c:pt>
                <c:pt idx="2">
                  <c:v>Apurímac</c:v>
                </c:pt>
                <c:pt idx="3">
                  <c:v>Cusco</c:v>
                </c:pt>
                <c:pt idx="4">
                  <c:v>Junín</c:v>
                </c:pt>
                <c:pt idx="5">
                  <c:v>OTROS</c:v>
                </c:pt>
              </c:strCache>
            </c:strRef>
          </c:cat>
          <c:val>
            <c:numRef>
              <c:f>PRODUC_NACIONAL!$P$4:$P$9</c:f>
              <c:numCache>
                <c:formatCode>General</c:formatCode>
                <c:ptCount val="6"/>
                <c:pt idx="0">
                  <c:v>45188</c:v>
                </c:pt>
                <c:pt idx="1">
                  <c:v>27147</c:v>
                </c:pt>
                <c:pt idx="2">
                  <c:v>12824.989999999998</c:v>
                </c:pt>
                <c:pt idx="3">
                  <c:v>10312.950000000001</c:v>
                </c:pt>
                <c:pt idx="4">
                  <c:v>6196.1999999999989</c:v>
                </c:pt>
                <c:pt idx="5">
                  <c:v>11707.344000000001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14-47CE-B3CA-626F566FA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0332368"/>
        <c:axId val="1070330288"/>
      </c:barChart>
      <c:catAx>
        <c:axId val="10703323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70330288"/>
        <c:crosses val="autoZero"/>
        <c:auto val="1"/>
        <c:lblAlgn val="ctr"/>
        <c:lblOffset val="100"/>
        <c:noMultiLvlLbl val="0"/>
      </c:catAx>
      <c:valAx>
        <c:axId val="107033028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7033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legendEntry>
      <c:layout>
        <c:manualLayout>
          <c:xMode val="edge"/>
          <c:yMode val="edge"/>
          <c:x val="0.3314514337393219"/>
          <c:y val="0.89409667541557303"/>
          <c:w val="0.50438782230872825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rgbClr val="00B050"/>
                </a:solidFill>
              </a:rPr>
              <a:t>ESTACIONALIDAD DE LA PRODUCCION DE QUINUA</a:t>
            </a:r>
          </a:p>
        </c:rich>
      </c:tx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ESTACIONALIDAD_2020_2021!$R$4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ESTACIONALIDAD_2020_2021!$S$3:$AD$3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ESTACIONALIDAD_2020_2021!$S$4:$AD$4</c:f>
              <c:numCache>
                <c:formatCode>_(* #,##0_);_(* \(#,##0\);_(* "-"??_);_(@_)</c:formatCode>
                <c:ptCount val="12"/>
                <c:pt idx="0">
                  <c:v>863.47</c:v>
                </c:pt>
                <c:pt idx="1">
                  <c:v>2556.5</c:v>
                </c:pt>
                <c:pt idx="2">
                  <c:v>7448.9000000000005</c:v>
                </c:pt>
                <c:pt idx="3">
                  <c:v>36038.99</c:v>
                </c:pt>
                <c:pt idx="4">
                  <c:v>27786.546999999999</c:v>
                </c:pt>
                <c:pt idx="5">
                  <c:v>13462.83</c:v>
                </c:pt>
                <c:pt idx="6">
                  <c:v>4525.1689999999999</c:v>
                </c:pt>
                <c:pt idx="7">
                  <c:v>1752.2089999999996</c:v>
                </c:pt>
                <c:pt idx="8">
                  <c:v>1891.7499999999998</c:v>
                </c:pt>
                <c:pt idx="9">
                  <c:v>1282.75</c:v>
                </c:pt>
                <c:pt idx="10">
                  <c:v>1250.53</c:v>
                </c:pt>
                <c:pt idx="11">
                  <c:v>1347.39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43-41AC-8875-CC5690896513}"/>
            </c:ext>
          </c:extLst>
        </c:ser>
        <c:ser>
          <c:idx val="1"/>
          <c:order val="1"/>
          <c:tx>
            <c:strRef>
              <c:f>ESTACIONALIDAD_2020_2021!$R$5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ESTACIONALIDAD_2020_2021!$S$3:$AD$3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ESTACIONALIDAD_2020_2021!$S$5:$AD$5</c:f>
              <c:numCache>
                <c:formatCode>0.0</c:formatCode>
                <c:ptCount val="12"/>
                <c:pt idx="0">
                  <c:v>1555.885</c:v>
                </c:pt>
                <c:pt idx="1">
                  <c:v>1520.9889999999998</c:v>
                </c:pt>
                <c:pt idx="2">
                  <c:v>3107.3599999999997</c:v>
                </c:pt>
                <c:pt idx="3">
                  <c:v>31600.067999999996</c:v>
                </c:pt>
                <c:pt idx="4">
                  <c:v>29639.596000000001</c:v>
                </c:pt>
                <c:pt idx="5">
                  <c:v>23704.940999999999</c:v>
                </c:pt>
                <c:pt idx="6">
                  <c:v>8482.2999999999993</c:v>
                </c:pt>
                <c:pt idx="7">
                  <c:v>1163.499</c:v>
                </c:pt>
                <c:pt idx="8">
                  <c:v>1635.27</c:v>
                </c:pt>
                <c:pt idx="9">
                  <c:v>1314.8</c:v>
                </c:pt>
                <c:pt idx="10">
                  <c:v>1516.2299999999998</c:v>
                </c:pt>
                <c:pt idx="11">
                  <c:v>1477.2089999999998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43-41AC-8875-CC5690896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2187776"/>
        <c:axId val="1322192768"/>
      </c:lineChart>
      <c:catAx>
        <c:axId val="132218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22192768"/>
        <c:crosses val="autoZero"/>
        <c:auto val="1"/>
        <c:lblAlgn val="ctr"/>
        <c:lblOffset val="100"/>
        <c:noMultiLvlLbl val="0"/>
      </c:catAx>
      <c:valAx>
        <c:axId val="132219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2218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legendEntry>
      <c:layout>
        <c:manualLayout>
          <c:xMode val="edge"/>
          <c:yMode val="edge"/>
          <c:x val="0.37844596763534055"/>
          <c:y val="0.89409667541557303"/>
          <c:w val="0.38459468645555994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rgbClr val="00B050"/>
                </a:solidFill>
              </a:rPr>
              <a:t>EXPORTACION POR REGIONES</a:t>
            </a:r>
          </a:p>
        </c:rich>
      </c:tx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5720625546806649"/>
          <c:y val="0.22818642461358996"/>
          <c:w val="0.76912707786526679"/>
          <c:h val="0.6352230971128608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'EXPORTACION X REGIONES_POWER BI'!$M$2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'EXPORTACION X REGIONES_POWER BI'!$L$3:$L$8</c:f>
              <c:strCache>
                <c:ptCount val="6"/>
                <c:pt idx="0">
                  <c:v>LIMA</c:v>
                </c:pt>
                <c:pt idx="1">
                  <c:v>AYACUCHO</c:v>
                </c:pt>
                <c:pt idx="2">
                  <c:v>CALLAO</c:v>
                </c:pt>
                <c:pt idx="3">
                  <c:v>AREQUIPA</c:v>
                </c:pt>
                <c:pt idx="4">
                  <c:v>PUNO</c:v>
                </c:pt>
                <c:pt idx="5">
                  <c:v>OTROS</c:v>
                </c:pt>
              </c:strCache>
            </c:strRef>
          </c:cat>
          <c:val>
            <c:numRef>
              <c:f>'EXPORTACION X REGIONES_POWER BI'!$M$3:$M$8</c:f>
              <c:numCache>
                <c:formatCode>General</c:formatCode>
                <c:ptCount val="6"/>
                <c:pt idx="0">
                  <c:v>99825811</c:v>
                </c:pt>
                <c:pt idx="1">
                  <c:v>6134873</c:v>
                </c:pt>
                <c:pt idx="2">
                  <c:v>8668186</c:v>
                </c:pt>
                <c:pt idx="3">
                  <c:v>2966815</c:v>
                </c:pt>
                <c:pt idx="4">
                  <c:v>5257756</c:v>
                </c:pt>
                <c:pt idx="5">
                  <c:v>2463131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8-4306-8153-D6E36252EECC}"/>
            </c:ext>
          </c:extLst>
        </c:ser>
        <c:ser>
          <c:idx val="1"/>
          <c:order val="1"/>
          <c:tx>
            <c:strRef>
              <c:f>'EXPORTACION X REGIONES_POWER BI'!$N$2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'EXPORTACION X REGIONES_POWER BI'!$L$3:$L$8</c:f>
              <c:strCache>
                <c:ptCount val="6"/>
                <c:pt idx="0">
                  <c:v>LIMA</c:v>
                </c:pt>
                <c:pt idx="1">
                  <c:v>AYACUCHO</c:v>
                </c:pt>
                <c:pt idx="2">
                  <c:v>CALLAO</c:v>
                </c:pt>
                <c:pt idx="3">
                  <c:v>AREQUIPA</c:v>
                </c:pt>
                <c:pt idx="4">
                  <c:v>PUNO</c:v>
                </c:pt>
                <c:pt idx="5">
                  <c:v>OTROS</c:v>
                </c:pt>
              </c:strCache>
            </c:strRef>
          </c:cat>
          <c:val>
            <c:numRef>
              <c:f>'EXPORTACION X REGIONES_POWER BI'!$N$3:$N$8</c:f>
              <c:numCache>
                <c:formatCode>General</c:formatCode>
                <c:ptCount val="6"/>
                <c:pt idx="0">
                  <c:v>109103761</c:v>
                </c:pt>
                <c:pt idx="1">
                  <c:v>13666299</c:v>
                </c:pt>
                <c:pt idx="2">
                  <c:v>5280232</c:v>
                </c:pt>
                <c:pt idx="3">
                  <c:v>2564361</c:v>
                </c:pt>
                <c:pt idx="4">
                  <c:v>3288568</c:v>
                </c:pt>
                <c:pt idx="5">
                  <c:v>1901853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78-4306-8153-D6E36252EECC}"/>
            </c:ext>
          </c:extLst>
        </c:ser>
        <c:ser>
          <c:idx val="2"/>
          <c:order val="2"/>
          <c:tx>
            <c:strRef>
              <c:f>'EXPORTACION X REGIONES_POWER BI'!$O$2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'EXPORTACION X REGIONES_POWER BI'!$L$3:$L$8</c:f>
              <c:strCache>
                <c:ptCount val="6"/>
                <c:pt idx="0">
                  <c:v>LIMA</c:v>
                </c:pt>
                <c:pt idx="1">
                  <c:v>AYACUCHO</c:v>
                </c:pt>
                <c:pt idx="2">
                  <c:v>CALLAO</c:v>
                </c:pt>
                <c:pt idx="3">
                  <c:v>AREQUIPA</c:v>
                </c:pt>
                <c:pt idx="4">
                  <c:v>PUNO</c:v>
                </c:pt>
                <c:pt idx="5">
                  <c:v>OTROS</c:v>
                </c:pt>
              </c:strCache>
            </c:strRef>
          </c:cat>
          <c:val>
            <c:numRef>
              <c:f>'EXPORTACION X REGIONES_POWER BI'!$O$3:$O$8</c:f>
              <c:numCache>
                <c:formatCode>General</c:formatCode>
                <c:ptCount val="6"/>
                <c:pt idx="0">
                  <c:v>92820127</c:v>
                </c:pt>
                <c:pt idx="1">
                  <c:v>15112506</c:v>
                </c:pt>
                <c:pt idx="2">
                  <c:v>5953100</c:v>
                </c:pt>
                <c:pt idx="3">
                  <c:v>7261752</c:v>
                </c:pt>
                <c:pt idx="4">
                  <c:v>998685</c:v>
                </c:pt>
                <c:pt idx="5">
                  <c:v>4321275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78-4306-8153-D6E36252EECC}"/>
            </c:ext>
          </c:extLst>
        </c:ser>
        <c:ser>
          <c:idx val="3"/>
          <c:order val="3"/>
          <c:tx>
            <c:strRef>
              <c:f>'EXPORTACION X REGIONES_POWER BI'!$P$2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'EXPORTACION X REGIONES_POWER BI'!$L$3:$L$8</c:f>
              <c:strCache>
                <c:ptCount val="6"/>
                <c:pt idx="0">
                  <c:v>LIMA</c:v>
                </c:pt>
                <c:pt idx="1">
                  <c:v>AYACUCHO</c:v>
                </c:pt>
                <c:pt idx="2">
                  <c:v>CALLAO</c:v>
                </c:pt>
                <c:pt idx="3">
                  <c:v>AREQUIPA</c:v>
                </c:pt>
                <c:pt idx="4">
                  <c:v>PUNO</c:v>
                </c:pt>
                <c:pt idx="5">
                  <c:v>OTROS</c:v>
                </c:pt>
              </c:strCache>
            </c:strRef>
          </c:cat>
          <c:val>
            <c:numRef>
              <c:f>'EXPORTACION X REGIONES_POWER BI'!$P$3:$P$8</c:f>
              <c:numCache>
                <c:formatCode>General</c:formatCode>
                <c:ptCount val="6"/>
                <c:pt idx="0">
                  <c:v>76524330.820000023</c:v>
                </c:pt>
                <c:pt idx="1">
                  <c:v>13266350.349999996</c:v>
                </c:pt>
                <c:pt idx="2">
                  <c:v>4889813.8699999982</c:v>
                </c:pt>
                <c:pt idx="3">
                  <c:v>8126129.1699999981</c:v>
                </c:pt>
                <c:pt idx="4">
                  <c:v>1963610.4699999997</c:v>
                </c:pt>
                <c:pt idx="5">
                  <c:v>1229024.6500000001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78-4306-8153-D6E36252EECC}"/>
            </c:ext>
          </c:extLst>
        </c:ser>
        <c:ser>
          <c:idx val="4"/>
          <c:order val="4"/>
          <c:tx>
            <c:strRef>
              <c:f>'EXPORTACION X REGIONES_POWER BI'!$Q$2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'EXPORTACION X REGIONES_POWER BI'!$L$3:$L$8</c:f>
              <c:strCache>
                <c:ptCount val="6"/>
                <c:pt idx="0">
                  <c:v>LIMA</c:v>
                </c:pt>
                <c:pt idx="1">
                  <c:v>AYACUCHO</c:v>
                </c:pt>
                <c:pt idx="2">
                  <c:v>CALLAO</c:v>
                </c:pt>
                <c:pt idx="3">
                  <c:v>AREQUIPA</c:v>
                </c:pt>
                <c:pt idx="4">
                  <c:v>PUNO</c:v>
                </c:pt>
                <c:pt idx="5">
                  <c:v>OTROS</c:v>
                </c:pt>
              </c:strCache>
            </c:strRef>
          </c:cat>
          <c:val>
            <c:numRef>
              <c:f>'EXPORTACION X REGIONES_POWER BI'!$Q$3:$Q$8</c:f>
              <c:numCache>
                <c:formatCode>0</c:formatCode>
                <c:ptCount val="6"/>
                <c:pt idx="0">
                  <c:v>61838170.499999888</c:v>
                </c:pt>
                <c:pt idx="1">
                  <c:v>13101429.309999991</c:v>
                </c:pt>
                <c:pt idx="2">
                  <c:v>7664715.7499999963</c:v>
                </c:pt>
                <c:pt idx="3">
                  <c:v>4906256.93</c:v>
                </c:pt>
                <c:pt idx="4">
                  <c:v>1143191.27</c:v>
                </c:pt>
                <c:pt idx="5" formatCode="General">
                  <c:v>1143191.27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78-4306-8153-D6E36252E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29560048"/>
        <c:axId val="1329582096"/>
      </c:barChart>
      <c:catAx>
        <c:axId val="13295600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29582096"/>
        <c:crosses val="autoZero"/>
        <c:auto val="1"/>
        <c:lblAlgn val="ctr"/>
        <c:lblOffset val="100"/>
        <c:noMultiLvlLbl val="0"/>
      </c:catAx>
      <c:valAx>
        <c:axId val="13295820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2956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legendEntry>
      <c:layout>
        <c:manualLayout>
          <c:xMode val="edge"/>
          <c:yMode val="edge"/>
          <c:x val="0.18227887139107612"/>
          <c:y val="0.88483741615631384"/>
          <c:w val="0.7465533683289588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baseline="0">
                <a:solidFill>
                  <a:srgbClr val="00B050"/>
                </a:solidFill>
                <a:effectLst/>
              </a:rPr>
              <a:t>EXPORTACIONES DE QUINUA POR MERCADO DE DESTINO</a:t>
            </a:r>
            <a:endParaRPr lang="es-PE">
              <a:solidFill>
                <a:srgbClr val="00B050"/>
              </a:solidFill>
            </a:endParaRPr>
          </a:p>
        </c:rich>
      </c:tx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EX_MERCADO_DISTINO!$M$2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EX_MERCADO_DISTINO!$L$3:$L$13</c:f>
              <c:strCache>
                <c:ptCount val="11"/>
                <c:pt idx="0">
                  <c:v>USA</c:v>
                </c:pt>
                <c:pt idx="1">
                  <c:v>Canadá</c:v>
                </c:pt>
                <c:pt idx="2">
                  <c:v>Países Bajos</c:v>
                </c:pt>
                <c:pt idx="3">
                  <c:v>Italia</c:v>
                </c:pt>
                <c:pt idx="4">
                  <c:v>Reino Unido</c:v>
                </c:pt>
                <c:pt idx="5">
                  <c:v>Francia</c:v>
                </c:pt>
                <c:pt idx="6">
                  <c:v>Alemania</c:v>
                </c:pt>
                <c:pt idx="7">
                  <c:v>Chile</c:v>
                </c:pt>
                <c:pt idx="8">
                  <c:v>España</c:v>
                </c:pt>
                <c:pt idx="9">
                  <c:v>Rusia</c:v>
                </c:pt>
                <c:pt idx="10">
                  <c:v>OTROS</c:v>
                </c:pt>
              </c:strCache>
            </c:strRef>
          </c:cat>
          <c:val>
            <c:numRef>
              <c:f>EX_MERCADO_DISTINO!$M$3:$M$13</c:f>
              <c:numCache>
                <c:formatCode>General</c:formatCode>
                <c:ptCount val="11"/>
                <c:pt idx="0">
                  <c:v>44859100</c:v>
                </c:pt>
                <c:pt idx="1">
                  <c:v>10287608</c:v>
                </c:pt>
                <c:pt idx="2">
                  <c:v>7143905</c:v>
                </c:pt>
                <c:pt idx="3">
                  <c:v>5703124</c:v>
                </c:pt>
                <c:pt idx="4">
                  <c:v>6319298</c:v>
                </c:pt>
                <c:pt idx="5">
                  <c:v>6089486</c:v>
                </c:pt>
                <c:pt idx="6">
                  <c:v>5058413</c:v>
                </c:pt>
                <c:pt idx="7">
                  <c:v>3264380</c:v>
                </c:pt>
                <c:pt idx="8">
                  <c:v>5132241</c:v>
                </c:pt>
                <c:pt idx="9">
                  <c:v>1946422</c:v>
                </c:pt>
                <c:pt idx="10">
                  <c:v>29512592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D-4198-A793-8B4D3AA19D99}"/>
            </c:ext>
          </c:extLst>
        </c:ser>
        <c:ser>
          <c:idx val="1"/>
          <c:order val="1"/>
          <c:tx>
            <c:strRef>
              <c:f>EX_MERCADO_DISTINO!$N$2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EX_MERCADO_DISTINO!$L$3:$L$13</c:f>
              <c:strCache>
                <c:ptCount val="11"/>
                <c:pt idx="0">
                  <c:v>USA</c:v>
                </c:pt>
                <c:pt idx="1">
                  <c:v>Canadá</c:v>
                </c:pt>
                <c:pt idx="2">
                  <c:v>Países Bajos</c:v>
                </c:pt>
                <c:pt idx="3">
                  <c:v>Italia</c:v>
                </c:pt>
                <c:pt idx="4">
                  <c:v>Reino Unido</c:v>
                </c:pt>
                <c:pt idx="5">
                  <c:v>Francia</c:v>
                </c:pt>
                <c:pt idx="6">
                  <c:v>Alemania</c:v>
                </c:pt>
                <c:pt idx="7">
                  <c:v>Chile</c:v>
                </c:pt>
                <c:pt idx="8">
                  <c:v>España</c:v>
                </c:pt>
                <c:pt idx="9">
                  <c:v>Rusia</c:v>
                </c:pt>
                <c:pt idx="10">
                  <c:v>OTROS</c:v>
                </c:pt>
              </c:strCache>
            </c:strRef>
          </c:cat>
          <c:val>
            <c:numRef>
              <c:f>EX_MERCADO_DISTINO!$N$3:$N$13</c:f>
              <c:numCache>
                <c:formatCode>General</c:formatCode>
                <c:ptCount val="11"/>
                <c:pt idx="0">
                  <c:v>49724063</c:v>
                </c:pt>
                <c:pt idx="1">
                  <c:v>9617532</c:v>
                </c:pt>
                <c:pt idx="2">
                  <c:v>7058504</c:v>
                </c:pt>
                <c:pt idx="3">
                  <c:v>5428436</c:v>
                </c:pt>
                <c:pt idx="4">
                  <c:v>5896569</c:v>
                </c:pt>
                <c:pt idx="5">
                  <c:v>7182263</c:v>
                </c:pt>
                <c:pt idx="6">
                  <c:v>3385314</c:v>
                </c:pt>
                <c:pt idx="7">
                  <c:v>3668142</c:v>
                </c:pt>
                <c:pt idx="8">
                  <c:v>5916196</c:v>
                </c:pt>
                <c:pt idx="9">
                  <c:v>2632712</c:v>
                </c:pt>
                <c:pt idx="10">
                  <c:v>35295348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CD-4198-A793-8B4D3AA19D99}"/>
            </c:ext>
          </c:extLst>
        </c:ser>
        <c:ser>
          <c:idx val="2"/>
          <c:order val="2"/>
          <c:tx>
            <c:strRef>
              <c:f>EX_MERCADO_DISTINO!$O$2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EX_MERCADO_DISTINO!$L$3:$L$13</c:f>
              <c:strCache>
                <c:ptCount val="11"/>
                <c:pt idx="0">
                  <c:v>USA</c:v>
                </c:pt>
                <c:pt idx="1">
                  <c:v>Canadá</c:v>
                </c:pt>
                <c:pt idx="2">
                  <c:v>Países Bajos</c:v>
                </c:pt>
                <c:pt idx="3">
                  <c:v>Italia</c:v>
                </c:pt>
                <c:pt idx="4">
                  <c:v>Reino Unido</c:v>
                </c:pt>
                <c:pt idx="5">
                  <c:v>Francia</c:v>
                </c:pt>
                <c:pt idx="6">
                  <c:v>Alemania</c:v>
                </c:pt>
                <c:pt idx="7">
                  <c:v>Chile</c:v>
                </c:pt>
                <c:pt idx="8">
                  <c:v>España</c:v>
                </c:pt>
                <c:pt idx="9">
                  <c:v>Rusia</c:v>
                </c:pt>
                <c:pt idx="10">
                  <c:v>OTROS</c:v>
                </c:pt>
              </c:strCache>
            </c:strRef>
          </c:cat>
          <c:val>
            <c:numRef>
              <c:f>EX_MERCADO_DISTINO!$O$3:$O$13</c:f>
              <c:numCache>
                <c:formatCode>General</c:formatCode>
                <c:ptCount val="11"/>
                <c:pt idx="0">
                  <c:v>44920362</c:v>
                </c:pt>
                <c:pt idx="1">
                  <c:v>12064732</c:v>
                </c:pt>
                <c:pt idx="2">
                  <c:v>9400498</c:v>
                </c:pt>
                <c:pt idx="3">
                  <c:v>6902766</c:v>
                </c:pt>
                <c:pt idx="4">
                  <c:v>3965351</c:v>
                </c:pt>
                <c:pt idx="5">
                  <c:v>4778013</c:v>
                </c:pt>
                <c:pt idx="6">
                  <c:v>2841831</c:v>
                </c:pt>
                <c:pt idx="7">
                  <c:v>4023706</c:v>
                </c:pt>
                <c:pt idx="8">
                  <c:v>4715625</c:v>
                </c:pt>
                <c:pt idx="9">
                  <c:v>2677497</c:v>
                </c:pt>
                <c:pt idx="10">
                  <c:v>30177064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CD-4198-A793-8B4D3AA19D99}"/>
            </c:ext>
          </c:extLst>
        </c:ser>
        <c:ser>
          <c:idx val="3"/>
          <c:order val="3"/>
          <c:tx>
            <c:strRef>
              <c:f>EX_MERCADO_DISTINO!$P$2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EX_MERCADO_DISTINO!$L$3:$L$13</c:f>
              <c:strCache>
                <c:ptCount val="11"/>
                <c:pt idx="0">
                  <c:v>USA</c:v>
                </c:pt>
                <c:pt idx="1">
                  <c:v>Canadá</c:v>
                </c:pt>
                <c:pt idx="2">
                  <c:v>Países Bajos</c:v>
                </c:pt>
                <c:pt idx="3">
                  <c:v>Italia</c:v>
                </c:pt>
                <c:pt idx="4">
                  <c:v>Reino Unido</c:v>
                </c:pt>
                <c:pt idx="5">
                  <c:v>Francia</c:v>
                </c:pt>
                <c:pt idx="6">
                  <c:v>Alemania</c:v>
                </c:pt>
                <c:pt idx="7">
                  <c:v>Chile</c:v>
                </c:pt>
                <c:pt idx="8">
                  <c:v>España</c:v>
                </c:pt>
                <c:pt idx="9">
                  <c:v>Rusia</c:v>
                </c:pt>
                <c:pt idx="10">
                  <c:v>OTROS</c:v>
                </c:pt>
              </c:strCache>
            </c:strRef>
          </c:cat>
          <c:val>
            <c:numRef>
              <c:f>EX_MERCADO_DISTINO!$P$3:$P$13</c:f>
              <c:numCache>
                <c:formatCode>General</c:formatCode>
                <c:ptCount val="11"/>
                <c:pt idx="0">
                  <c:v>36954114.559999995</c:v>
                </c:pt>
                <c:pt idx="1">
                  <c:v>9068304.3600000013</c:v>
                </c:pt>
                <c:pt idx="2">
                  <c:v>6928268.4500000002</c:v>
                </c:pt>
                <c:pt idx="3">
                  <c:v>5196642.3</c:v>
                </c:pt>
                <c:pt idx="4">
                  <c:v>4457396.709999999</c:v>
                </c:pt>
                <c:pt idx="5">
                  <c:v>3372232.1599999992</c:v>
                </c:pt>
                <c:pt idx="6">
                  <c:v>4768181.7700000005</c:v>
                </c:pt>
                <c:pt idx="7">
                  <c:v>2879704.6299999994</c:v>
                </c:pt>
                <c:pt idx="8">
                  <c:v>2130976.1299999994</c:v>
                </c:pt>
                <c:pt idx="9">
                  <c:v>2886894.49</c:v>
                </c:pt>
                <c:pt idx="10">
                  <c:v>27356543.770000003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CD-4198-A793-8B4D3AA19D99}"/>
            </c:ext>
          </c:extLst>
        </c:ser>
        <c:ser>
          <c:idx val="4"/>
          <c:order val="4"/>
          <c:tx>
            <c:strRef>
              <c:f>EX_MERCADO_DISTINO!$Q$2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EX_MERCADO_DISTINO!$L$3:$L$13</c:f>
              <c:strCache>
                <c:ptCount val="11"/>
                <c:pt idx="0">
                  <c:v>USA</c:v>
                </c:pt>
                <c:pt idx="1">
                  <c:v>Canadá</c:v>
                </c:pt>
                <c:pt idx="2">
                  <c:v>Países Bajos</c:v>
                </c:pt>
                <c:pt idx="3">
                  <c:v>Italia</c:v>
                </c:pt>
                <c:pt idx="4">
                  <c:v>Reino Unido</c:v>
                </c:pt>
                <c:pt idx="5">
                  <c:v>Francia</c:v>
                </c:pt>
                <c:pt idx="6">
                  <c:v>Alemania</c:v>
                </c:pt>
                <c:pt idx="7">
                  <c:v>Chile</c:v>
                </c:pt>
                <c:pt idx="8">
                  <c:v>España</c:v>
                </c:pt>
                <c:pt idx="9">
                  <c:v>Rusia</c:v>
                </c:pt>
                <c:pt idx="10">
                  <c:v>OTROS</c:v>
                </c:pt>
              </c:strCache>
            </c:strRef>
          </c:cat>
          <c:val>
            <c:numRef>
              <c:f>EX_MERCADO_DISTINO!$Q$3:$Q$13</c:f>
              <c:numCache>
                <c:formatCode>General</c:formatCode>
                <c:ptCount val="11"/>
                <c:pt idx="0">
                  <c:v>31773319.289999992</c:v>
                </c:pt>
                <c:pt idx="1">
                  <c:v>9013048.4199999962</c:v>
                </c:pt>
                <c:pt idx="2">
                  <c:v>4871862.4499999993</c:v>
                </c:pt>
                <c:pt idx="3">
                  <c:v>4779835.8</c:v>
                </c:pt>
                <c:pt idx="4">
                  <c:v>4025521.87</c:v>
                </c:pt>
                <c:pt idx="5">
                  <c:v>3942825.68</c:v>
                </c:pt>
                <c:pt idx="6">
                  <c:v>2498939.25</c:v>
                </c:pt>
                <c:pt idx="7">
                  <c:v>2195177.7400000002</c:v>
                </c:pt>
                <c:pt idx="8">
                  <c:v>1947573.8900000001</c:v>
                </c:pt>
                <c:pt idx="9">
                  <c:v>1898925.56</c:v>
                </c:pt>
                <c:pt idx="10">
                  <c:v>23559088.140000004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CD-4198-A793-8B4D3AA19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5767392"/>
        <c:axId val="1325770720"/>
      </c:barChart>
      <c:catAx>
        <c:axId val="13257673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25770720"/>
        <c:crosses val="autoZero"/>
        <c:auto val="1"/>
        <c:lblAlgn val="ctr"/>
        <c:lblOffset val="100"/>
        <c:noMultiLvlLbl val="0"/>
      </c:catAx>
      <c:valAx>
        <c:axId val="132577072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2576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legendEntry>
      <c:layout>
        <c:manualLayout>
          <c:xMode val="edge"/>
          <c:yMode val="edge"/>
          <c:x val="0.13155341027577033"/>
          <c:y val="0.90084658014326546"/>
          <c:w val="0.78027217488224943"/>
          <c:h val="6.7265034228227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s-PE" sz="1400" b="1" i="0" u="none" strike="noStrike" baseline="0">
                <a:solidFill>
                  <a:srgbClr val="00B050"/>
                </a:solidFill>
                <a:effectLst/>
              </a:rPr>
              <a:t>EXPORTACION DE QUINUA DE ESTADOS UNIDOS USD </a:t>
            </a:r>
            <a:endParaRPr lang="es-PE">
              <a:solidFill>
                <a:srgbClr val="00B050"/>
              </a:solidFill>
            </a:endParaRPr>
          </a:p>
        </c:rich>
      </c:tx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EXP_EE.UU_USD!$M$2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EXP_EE.UU_USD!$L$3:$L$8</c:f>
              <c:strCache>
                <c:ptCount val="6"/>
                <c:pt idx="0">
                  <c:v>Canada</c:v>
                </c:pt>
                <c:pt idx="1">
                  <c:v>Taiwán</c:v>
                </c:pt>
                <c:pt idx="2">
                  <c:v>China</c:v>
                </c:pt>
                <c:pt idx="3">
                  <c:v>Mexico</c:v>
                </c:pt>
                <c:pt idx="4">
                  <c:v>Japan</c:v>
                </c:pt>
                <c:pt idx="5">
                  <c:v>OTROS</c:v>
                </c:pt>
              </c:strCache>
            </c:strRef>
          </c:cat>
          <c:val>
            <c:numRef>
              <c:f>EXP_EE.UU_USD!$M$3:$M$8</c:f>
              <c:numCache>
                <c:formatCode>General</c:formatCode>
                <c:ptCount val="6"/>
                <c:pt idx="0">
                  <c:v>11949</c:v>
                </c:pt>
                <c:pt idx="1">
                  <c:v>171</c:v>
                </c:pt>
                <c:pt idx="2">
                  <c:v>594</c:v>
                </c:pt>
                <c:pt idx="3">
                  <c:v>24</c:v>
                </c:pt>
                <c:pt idx="4">
                  <c:v>383</c:v>
                </c:pt>
                <c:pt idx="5">
                  <c:v>2238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5-4853-9162-6ADD7F4F990D}"/>
            </c:ext>
          </c:extLst>
        </c:ser>
        <c:ser>
          <c:idx val="1"/>
          <c:order val="1"/>
          <c:tx>
            <c:strRef>
              <c:f>EXP_EE.UU_USD!$N$2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EXP_EE.UU_USD!$L$3:$L$8</c:f>
              <c:strCache>
                <c:ptCount val="6"/>
                <c:pt idx="0">
                  <c:v>Canada</c:v>
                </c:pt>
                <c:pt idx="1">
                  <c:v>Taiwán</c:v>
                </c:pt>
                <c:pt idx="2">
                  <c:v>China</c:v>
                </c:pt>
                <c:pt idx="3">
                  <c:v>Mexico</c:v>
                </c:pt>
                <c:pt idx="4">
                  <c:v>Japan</c:v>
                </c:pt>
                <c:pt idx="5">
                  <c:v>OTROS</c:v>
                </c:pt>
              </c:strCache>
            </c:strRef>
          </c:cat>
          <c:val>
            <c:numRef>
              <c:f>EXP_EE.UU_USD!$N$3:$N$8</c:f>
              <c:numCache>
                <c:formatCode>General</c:formatCode>
                <c:ptCount val="6"/>
                <c:pt idx="0">
                  <c:v>11013</c:v>
                </c:pt>
                <c:pt idx="1">
                  <c:v>351</c:v>
                </c:pt>
                <c:pt idx="2">
                  <c:v>685</c:v>
                </c:pt>
                <c:pt idx="3">
                  <c:v>140</c:v>
                </c:pt>
                <c:pt idx="4">
                  <c:v>60</c:v>
                </c:pt>
                <c:pt idx="5">
                  <c:v>1749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C5-4853-9162-6ADD7F4F990D}"/>
            </c:ext>
          </c:extLst>
        </c:ser>
        <c:ser>
          <c:idx val="2"/>
          <c:order val="2"/>
          <c:tx>
            <c:strRef>
              <c:f>EXP_EE.UU_USD!$O$2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EXP_EE.UU_USD!$L$3:$L$8</c:f>
              <c:strCache>
                <c:ptCount val="6"/>
                <c:pt idx="0">
                  <c:v>Canada</c:v>
                </c:pt>
                <c:pt idx="1">
                  <c:v>Taiwán</c:v>
                </c:pt>
                <c:pt idx="2">
                  <c:v>China</c:v>
                </c:pt>
                <c:pt idx="3">
                  <c:v>Mexico</c:v>
                </c:pt>
                <c:pt idx="4">
                  <c:v>Japan</c:v>
                </c:pt>
                <c:pt idx="5">
                  <c:v>OTROS</c:v>
                </c:pt>
              </c:strCache>
            </c:strRef>
          </c:cat>
          <c:val>
            <c:numRef>
              <c:f>EXP_EE.UU_USD!$O$3:$O$8</c:f>
              <c:numCache>
                <c:formatCode>General</c:formatCode>
                <c:ptCount val="6"/>
                <c:pt idx="0">
                  <c:v>10406</c:v>
                </c:pt>
                <c:pt idx="1">
                  <c:v>337</c:v>
                </c:pt>
                <c:pt idx="2">
                  <c:v>590</c:v>
                </c:pt>
                <c:pt idx="3">
                  <c:v>0</c:v>
                </c:pt>
                <c:pt idx="4">
                  <c:v>405</c:v>
                </c:pt>
                <c:pt idx="5">
                  <c:v>2093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C5-4853-9162-6ADD7F4F990D}"/>
            </c:ext>
          </c:extLst>
        </c:ser>
        <c:ser>
          <c:idx val="3"/>
          <c:order val="3"/>
          <c:tx>
            <c:strRef>
              <c:f>EXP_EE.UU_USD!$P$2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EXP_EE.UU_USD!$L$3:$L$8</c:f>
              <c:strCache>
                <c:ptCount val="6"/>
                <c:pt idx="0">
                  <c:v>Canada</c:v>
                </c:pt>
                <c:pt idx="1">
                  <c:v>Taiwán</c:v>
                </c:pt>
                <c:pt idx="2">
                  <c:v>China</c:v>
                </c:pt>
                <c:pt idx="3">
                  <c:v>Mexico</c:v>
                </c:pt>
                <c:pt idx="4">
                  <c:v>Japan</c:v>
                </c:pt>
                <c:pt idx="5">
                  <c:v>OTROS</c:v>
                </c:pt>
              </c:strCache>
            </c:strRef>
          </c:cat>
          <c:val>
            <c:numRef>
              <c:f>EXP_EE.UU_USD!$P$3:$P$8</c:f>
              <c:numCache>
                <c:formatCode>General</c:formatCode>
                <c:ptCount val="6"/>
                <c:pt idx="0">
                  <c:v>9157</c:v>
                </c:pt>
                <c:pt idx="1">
                  <c:v>565</c:v>
                </c:pt>
                <c:pt idx="2">
                  <c:v>286</c:v>
                </c:pt>
                <c:pt idx="3">
                  <c:v>11</c:v>
                </c:pt>
                <c:pt idx="4">
                  <c:v>448</c:v>
                </c:pt>
                <c:pt idx="5">
                  <c:v>1655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C5-4853-9162-6ADD7F4F990D}"/>
            </c:ext>
          </c:extLst>
        </c:ser>
        <c:ser>
          <c:idx val="4"/>
          <c:order val="4"/>
          <c:tx>
            <c:strRef>
              <c:f>EXP_EE.UU_USD!$Q$2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EXP_EE.UU_USD!$L$3:$L$8</c:f>
              <c:strCache>
                <c:ptCount val="6"/>
                <c:pt idx="0">
                  <c:v>Canada</c:v>
                </c:pt>
                <c:pt idx="1">
                  <c:v>Taiwán</c:v>
                </c:pt>
                <c:pt idx="2">
                  <c:v>China</c:v>
                </c:pt>
                <c:pt idx="3">
                  <c:v>Mexico</c:v>
                </c:pt>
                <c:pt idx="4">
                  <c:v>Japan</c:v>
                </c:pt>
                <c:pt idx="5">
                  <c:v>OTROS</c:v>
                </c:pt>
              </c:strCache>
            </c:strRef>
          </c:cat>
          <c:val>
            <c:numRef>
              <c:f>EXP_EE.UU_USD!$Q$3:$Q$8</c:f>
              <c:numCache>
                <c:formatCode>General</c:formatCode>
                <c:ptCount val="6"/>
                <c:pt idx="0">
                  <c:v>7994</c:v>
                </c:pt>
                <c:pt idx="1">
                  <c:v>377</c:v>
                </c:pt>
                <c:pt idx="2">
                  <c:v>269</c:v>
                </c:pt>
                <c:pt idx="3">
                  <c:v>230</c:v>
                </c:pt>
                <c:pt idx="4">
                  <c:v>222</c:v>
                </c:pt>
                <c:pt idx="5">
                  <c:v>1393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C5-4853-9162-6ADD7F4F9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3606912"/>
        <c:axId val="1333594016"/>
      </c:barChart>
      <c:catAx>
        <c:axId val="13336069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33594016"/>
        <c:crosses val="autoZero"/>
        <c:auto val="1"/>
        <c:lblAlgn val="ctr"/>
        <c:lblOffset val="100"/>
        <c:noMultiLvlLbl val="0"/>
      </c:catAx>
      <c:valAx>
        <c:axId val="133359401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3360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351685119964562"/>
          <c:y val="0.90571823019740128"/>
          <c:w val="0.66611680399151396"/>
          <c:h val="6.95522529498548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s-PE" sz="1400" b="1" i="0" u="none" strike="noStrike" baseline="0">
                <a:solidFill>
                  <a:srgbClr val="00B050"/>
                </a:solidFill>
                <a:effectLst/>
              </a:rPr>
              <a:t>EXPORTACION DE QUINUA DE ESTADOS UNIDOS EN TN</a:t>
            </a:r>
            <a:endParaRPr lang="es-PE">
              <a:solidFill>
                <a:srgbClr val="00B050"/>
              </a:solidFill>
            </a:endParaRPr>
          </a:p>
        </c:rich>
      </c:tx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EXP__EE.UU_TN!$M$2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EXP__EE.UU_TN!$L$3:$L$8</c:f>
              <c:strCache>
                <c:ptCount val="6"/>
                <c:pt idx="0">
                  <c:v>Canada</c:v>
                </c:pt>
                <c:pt idx="1">
                  <c:v>Japan</c:v>
                </c:pt>
                <c:pt idx="2">
                  <c:v>Taiwán</c:v>
                </c:pt>
                <c:pt idx="3">
                  <c:v>Qatar</c:v>
                </c:pt>
                <c:pt idx="4">
                  <c:v>China</c:v>
                </c:pt>
                <c:pt idx="5">
                  <c:v>OTROS</c:v>
                </c:pt>
              </c:strCache>
            </c:strRef>
          </c:cat>
          <c:val>
            <c:numRef>
              <c:f>EXP__EE.UU_TN!$M$3:$M$8</c:f>
              <c:numCache>
                <c:formatCode>General</c:formatCode>
                <c:ptCount val="6"/>
                <c:pt idx="0">
                  <c:v>3540</c:v>
                </c:pt>
                <c:pt idx="1">
                  <c:v>87</c:v>
                </c:pt>
                <c:pt idx="2">
                  <c:v>50</c:v>
                </c:pt>
                <c:pt idx="3">
                  <c:v>1</c:v>
                </c:pt>
                <c:pt idx="4">
                  <c:v>143</c:v>
                </c:pt>
                <c:pt idx="5">
                  <c:v>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B-4EB0-BD48-CC0F654FAF3B}"/>
            </c:ext>
          </c:extLst>
        </c:ser>
        <c:ser>
          <c:idx val="1"/>
          <c:order val="1"/>
          <c:tx>
            <c:strRef>
              <c:f>EXP__EE.UU_TN!$N$2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EXP__EE.UU_TN!$L$3:$L$8</c:f>
              <c:strCache>
                <c:ptCount val="6"/>
                <c:pt idx="0">
                  <c:v>Canada</c:v>
                </c:pt>
                <c:pt idx="1">
                  <c:v>Japan</c:v>
                </c:pt>
                <c:pt idx="2">
                  <c:v>Taiwán</c:v>
                </c:pt>
                <c:pt idx="3">
                  <c:v>Qatar</c:v>
                </c:pt>
                <c:pt idx="4">
                  <c:v>China</c:v>
                </c:pt>
                <c:pt idx="5">
                  <c:v>OTROS</c:v>
                </c:pt>
              </c:strCache>
            </c:strRef>
          </c:cat>
          <c:val>
            <c:numRef>
              <c:f>EXP__EE.UU_TN!$N$3:$N$8</c:f>
              <c:numCache>
                <c:formatCode>General</c:formatCode>
                <c:ptCount val="6"/>
                <c:pt idx="0">
                  <c:v>2966</c:v>
                </c:pt>
                <c:pt idx="1">
                  <c:v>14</c:v>
                </c:pt>
                <c:pt idx="2">
                  <c:v>103</c:v>
                </c:pt>
                <c:pt idx="3">
                  <c:v>1</c:v>
                </c:pt>
                <c:pt idx="4">
                  <c:v>190</c:v>
                </c:pt>
                <c:pt idx="5">
                  <c:v>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CB-4EB0-BD48-CC0F654FAF3B}"/>
            </c:ext>
          </c:extLst>
        </c:ser>
        <c:ser>
          <c:idx val="2"/>
          <c:order val="2"/>
          <c:tx>
            <c:strRef>
              <c:f>EXP__EE.UU_TN!$O$2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EXP__EE.UU_TN!$L$3:$L$8</c:f>
              <c:strCache>
                <c:ptCount val="6"/>
                <c:pt idx="0">
                  <c:v>Canada</c:v>
                </c:pt>
                <c:pt idx="1">
                  <c:v>Japan</c:v>
                </c:pt>
                <c:pt idx="2">
                  <c:v>Taiwán</c:v>
                </c:pt>
                <c:pt idx="3">
                  <c:v>Qatar</c:v>
                </c:pt>
                <c:pt idx="4">
                  <c:v>China</c:v>
                </c:pt>
                <c:pt idx="5">
                  <c:v>OTROS</c:v>
                </c:pt>
              </c:strCache>
            </c:strRef>
          </c:cat>
          <c:val>
            <c:numRef>
              <c:f>EXP__EE.UU_TN!$O$3:$O$8</c:f>
              <c:numCache>
                <c:formatCode>General</c:formatCode>
                <c:ptCount val="6"/>
                <c:pt idx="0">
                  <c:v>2785</c:v>
                </c:pt>
                <c:pt idx="1">
                  <c:v>115</c:v>
                </c:pt>
                <c:pt idx="2">
                  <c:v>86</c:v>
                </c:pt>
                <c:pt idx="3">
                  <c:v>30</c:v>
                </c:pt>
                <c:pt idx="4">
                  <c:v>146</c:v>
                </c:pt>
                <c:pt idx="5">
                  <c:v>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CB-4EB0-BD48-CC0F654FAF3B}"/>
            </c:ext>
          </c:extLst>
        </c:ser>
        <c:ser>
          <c:idx val="3"/>
          <c:order val="3"/>
          <c:tx>
            <c:strRef>
              <c:f>EXP__EE.UU_TN!$P$2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EXP__EE.UU_TN!$L$3:$L$8</c:f>
              <c:strCache>
                <c:ptCount val="6"/>
                <c:pt idx="0">
                  <c:v>Canada</c:v>
                </c:pt>
                <c:pt idx="1">
                  <c:v>Japan</c:v>
                </c:pt>
                <c:pt idx="2">
                  <c:v>Taiwán</c:v>
                </c:pt>
                <c:pt idx="3">
                  <c:v>Qatar</c:v>
                </c:pt>
                <c:pt idx="4">
                  <c:v>China</c:v>
                </c:pt>
                <c:pt idx="5">
                  <c:v>OTROS</c:v>
                </c:pt>
              </c:strCache>
            </c:strRef>
          </c:cat>
          <c:val>
            <c:numRef>
              <c:f>EXP__EE.UU_TN!$P$3:$P$8</c:f>
              <c:numCache>
                <c:formatCode>General</c:formatCode>
                <c:ptCount val="6"/>
                <c:pt idx="0">
                  <c:v>2541</c:v>
                </c:pt>
                <c:pt idx="1">
                  <c:v>170</c:v>
                </c:pt>
                <c:pt idx="2">
                  <c:v>169</c:v>
                </c:pt>
                <c:pt idx="3">
                  <c:v>19</c:v>
                </c:pt>
                <c:pt idx="4">
                  <c:v>106</c:v>
                </c:pt>
                <c:pt idx="5">
                  <c:v>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CB-4EB0-BD48-CC0F654FAF3B}"/>
            </c:ext>
          </c:extLst>
        </c:ser>
        <c:ser>
          <c:idx val="4"/>
          <c:order val="4"/>
          <c:tx>
            <c:strRef>
              <c:f>EXP__EE.UU_TN!$Q$2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EXP__EE.UU_TN!$L$3:$L$8</c:f>
              <c:strCache>
                <c:ptCount val="6"/>
                <c:pt idx="0">
                  <c:v>Canada</c:v>
                </c:pt>
                <c:pt idx="1">
                  <c:v>Japan</c:v>
                </c:pt>
                <c:pt idx="2">
                  <c:v>Taiwán</c:v>
                </c:pt>
                <c:pt idx="3">
                  <c:v>Qatar</c:v>
                </c:pt>
                <c:pt idx="4">
                  <c:v>China</c:v>
                </c:pt>
                <c:pt idx="5">
                  <c:v>OTROS</c:v>
                </c:pt>
              </c:strCache>
            </c:strRef>
          </c:cat>
          <c:val>
            <c:numRef>
              <c:f>EXP__EE.UU_TN!$Q$3:$Q$8</c:f>
              <c:numCache>
                <c:formatCode>General</c:formatCode>
                <c:ptCount val="6"/>
                <c:pt idx="0">
                  <c:v>2339</c:v>
                </c:pt>
                <c:pt idx="1">
                  <c:v>116</c:v>
                </c:pt>
                <c:pt idx="2">
                  <c:v>109</c:v>
                </c:pt>
                <c:pt idx="3">
                  <c:v>86</c:v>
                </c:pt>
                <c:pt idx="4">
                  <c:v>71</c:v>
                </c:pt>
                <c:pt idx="5">
                  <c:v>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CB-4EB0-BD48-CC0F654FA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2186944"/>
        <c:axId val="1322189024"/>
      </c:barChart>
      <c:catAx>
        <c:axId val="13221869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22189024"/>
        <c:crosses val="autoZero"/>
        <c:auto val="1"/>
        <c:lblAlgn val="ctr"/>
        <c:lblOffset val="100"/>
        <c:noMultiLvlLbl val="0"/>
      </c:catAx>
      <c:valAx>
        <c:axId val="132218902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2218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s-PE">
                <a:solidFill>
                  <a:srgbClr val="00B050"/>
                </a:solidFill>
              </a:rPr>
              <a:t>IMPORTACIONES DE ESTADOS UNIDOS DESDE PERÚ  (USD)</a:t>
            </a:r>
          </a:p>
        </c:rich>
      </c:tx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import_EE.UU_USD!$M$2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import_EE.UU_USD!$L$3:$L$8</c:f>
              <c:strCache>
                <c:ptCount val="6"/>
                <c:pt idx="0">
                  <c:v>Peru</c:v>
                </c:pt>
                <c:pt idx="1">
                  <c:v>Bolivia</c:v>
                </c:pt>
                <c:pt idx="2">
                  <c:v>Canada</c:v>
                </c:pt>
                <c:pt idx="3">
                  <c:v>Spain</c:v>
                </c:pt>
                <c:pt idx="4">
                  <c:v>Ecuador</c:v>
                </c:pt>
                <c:pt idx="5">
                  <c:v>OTROS</c:v>
                </c:pt>
              </c:strCache>
            </c:strRef>
          </c:cat>
          <c:val>
            <c:numRef>
              <c:f>import_EE.UU_USD!$M$3:$M$8</c:f>
              <c:numCache>
                <c:formatCode>General</c:formatCode>
                <c:ptCount val="6"/>
                <c:pt idx="0">
                  <c:v>42809</c:v>
                </c:pt>
                <c:pt idx="1">
                  <c:v>38599</c:v>
                </c:pt>
                <c:pt idx="2">
                  <c:v>1760</c:v>
                </c:pt>
                <c:pt idx="3">
                  <c:v>1462</c:v>
                </c:pt>
                <c:pt idx="4">
                  <c:v>1797</c:v>
                </c:pt>
                <c:pt idx="5">
                  <c:v>1210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B-4E2A-A4AA-56A7DCFDC407}"/>
            </c:ext>
          </c:extLst>
        </c:ser>
        <c:ser>
          <c:idx val="1"/>
          <c:order val="1"/>
          <c:tx>
            <c:strRef>
              <c:f>import_EE.UU_USD!$N$2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import_EE.UU_USD!$L$3:$L$8</c:f>
              <c:strCache>
                <c:ptCount val="6"/>
                <c:pt idx="0">
                  <c:v>Peru</c:v>
                </c:pt>
                <c:pt idx="1">
                  <c:v>Bolivia</c:v>
                </c:pt>
                <c:pt idx="2">
                  <c:v>Canada</c:v>
                </c:pt>
                <c:pt idx="3">
                  <c:v>Spain</c:v>
                </c:pt>
                <c:pt idx="4">
                  <c:v>Ecuador</c:v>
                </c:pt>
                <c:pt idx="5">
                  <c:v>OTROS</c:v>
                </c:pt>
              </c:strCache>
            </c:strRef>
          </c:cat>
          <c:val>
            <c:numRef>
              <c:f>import_EE.UU_USD!$N$3:$N$8</c:f>
              <c:numCache>
                <c:formatCode>General</c:formatCode>
                <c:ptCount val="6"/>
                <c:pt idx="0">
                  <c:v>44913</c:v>
                </c:pt>
                <c:pt idx="1">
                  <c:v>40258</c:v>
                </c:pt>
                <c:pt idx="2">
                  <c:v>1982</c:v>
                </c:pt>
                <c:pt idx="3">
                  <c:v>3901</c:v>
                </c:pt>
                <c:pt idx="4">
                  <c:v>1559</c:v>
                </c:pt>
                <c:pt idx="5">
                  <c:v>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EB-4E2A-A4AA-56A7DCFDC407}"/>
            </c:ext>
          </c:extLst>
        </c:ser>
        <c:ser>
          <c:idx val="2"/>
          <c:order val="2"/>
          <c:tx>
            <c:strRef>
              <c:f>import_EE.UU_USD!$O$2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import_EE.UU_USD!$L$3:$L$8</c:f>
              <c:strCache>
                <c:ptCount val="6"/>
                <c:pt idx="0">
                  <c:v>Peru</c:v>
                </c:pt>
                <c:pt idx="1">
                  <c:v>Bolivia</c:v>
                </c:pt>
                <c:pt idx="2">
                  <c:v>Canada</c:v>
                </c:pt>
                <c:pt idx="3">
                  <c:v>Spain</c:v>
                </c:pt>
                <c:pt idx="4">
                  <c:v>Ecuador</c:v>
                </c:pt>
                <c:pt idx="5">
                  <c:v>OTROS</c:v>
                </c:pt>
              </c:strCache>
            </c:strRef>
          </c:cat>
          <c:val>
            <c:numRef>
              <c:f>import_EE.UU_USD!$O$3:$O$8</c:f>
              <c:numCache>
                <c:formatCode>General</c:formatCode>
                <c:ptCount val="6"/>
                <c:pt idx="0">
                  <c:v>42612</c:v>
                </c:pt>
                <c:pt idx="1">
                  <c:v>48501</c:v>
                </c:pt>
                <c:pt idx="2">
                  <c:v>3408</c:v>
                </c:pt>
                <c:pt idx="3">
                  <c:v>4485</c:v>
                </c:pt>
                <c:pt idx="4">
                  <c:v>816</c:v>
                </c:pt>
                <c:pt idx="5">
                  <c:v>1345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EB-4E2A-A4AA-56A7DCFDC407}"/>
            </c:ext>
          </c:extLst>
        </c:ser>
        <c:ser>
          <c:idx val="3"/>
          <c:order val="3"/>
          <c:tx>
            <c:strRef>
              <c:f>import_EE.UU_USD!$P$2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import_EE.UU_USD!$L$3:$L$8</c:f>
              <c:strCache>
                <c:ptCount val="6"/>
                <c:pt idx="0">
                  <c:v>Peru</c:v>
                </c:pt>
                <c:pt idx="1">
                  <c:v>Bolivia</c:v>
                </c:pt>
                <c:pt idx="2">
                  <c:v>Canada</c:v>
                </c:pt>
                <c:pt idx="3">
                  <c:v>Spain</c:v>
                </c:pt>
                <c:pt idx="4">
                  <c:v>Ecuador</c:v>
                </c:pt>
                <c:pt idx="5">
                  <c:v>OTROS</c:v>
                </c:pt>
              </c:strCache>
            </c:strRef>
          </c:cat>
          <c:val>
            <c:numRef>
              <c:f>import_EE.UU_USD!$P$3:$P$8</c:f>
              <c:numCache>
                <c:formatCode>General</c:formatCode>
                <c:ptCount val="6"/>
                <c:pt idx="0">
                  <c:v>33215</c:v>
                </c:pt>
                <c:pt idx="1">
                  <c:v>24272</c:v>
                </c:pt>
                <c:pt idx="2">
                  <c:v>5803</c:v>
                </c:pt>
                <c:pt idx="3">
                  <c:v>3993</c:v>
                </c:pt>
                <c:pt idx="4">
                  <c:v>594</c:v>
                </c:pt>
                <c:pt idx="5">
                  <c:v>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EB-4E2A-A4AA-56A7DCFDC407}"/>
            </c:ext>
          </c:extLst>
        </c:ser>
        <c:ser>
          <c:idx val="4"/>
          <c:order val="4"/>
          <c:tx>
            <c:strRef>
              <c:f>import_EE.UU_USD!$Q$2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import_EE.UU_USD!$L$3:$L$8</c:f>
              <c:strCache>
                <c:ptCount val="6"/>
                <c:pt idx="0">
                  <c:v>Peru</c:v>
                </c:pt>
                <c:pt idx="1">
                  <c:v>Bolivia</c:v>
                </c:pt>
                <c:pt idx="2">
                  <c:v>Canada</c:v>
                </c:pt>
                <c:pt idx="3">
                  <c:v>Spain</c:v>
                </c:pt>
                <c:pt idx="4">
                  <c:v>Ecuador</c:v>
                </c:pt>
                <c:pt idx="5">
                  <c:v>OTROS</c:v>
                </c:pt>
              </c:strCache>
            </c:strRef>
          </c:cat>
          <c:val>
            <c:numRef>
              <c:f>import_EE.UU_USD!$Q$3:$Q$8</c:f>
              <c:numCache>
                <c:formatCode>General</c:formatCode>
                <c:ptCount val="6"/>
                <c:pt idx="0">
                  <c:v>35137</c:v>
                </c:pt>
                <c:pt idx="1">
                  <c:v>31364</c:v>
                </c:pt>
                <c:pt idx="2">
                  <c:v>4948</c:v>
                </c:pt>
                <c:pt idx="3">
                  <c:v>1387</c:v>
                </c:pt>
                <c:pt idx="4">
                  <c:v>870</c:v>
                </c:pt>
                <c:pt idx="5">
                  <c:v>1180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EB-4E2A-A4AA-56A7DCFDC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8651008"/>
        <c:axId val="1078649344"/>
      </c:barChart>
      <c:catAx>
        <c:axId val="10786510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78649344"/>
        <c:crosses val="autoZero"/>
        <c:auto val="1"/>
        <c:lblAlgn val="ctr"/>
        <c:lblOffset val="100"/>
        <c:noMultiLvlLbl val="0"/>
      </c:catAx>
      <c:valAx>
        <c:axId val="107864934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7865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54249721208116"/>
          <c:y val="0.91094845896147913"/>
          <c:w val="0.55306238578012956"/>
          <c:h val="6.5693880384868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IMPRT_EE.UU_TONELADAS!$M$2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IMPRT_EE.UU_TONELADAS!$L$3:$L$8</c:f>
              <c:strCache>
                <c:ptCount val="6"/>
                <c:pt idx="0">
                  <c:v>Peru</c:v>
                </c:pt>
                <c:pt idx="1">
                  <c:v>Bolivia</c:v>
                </c:pt>
                <c:pt idx="2">
                  <c:v>Canada</c:v>
                </c:pt>
                <c:pt idx="3">
                  <c:v>Spain</c:v>
                </c:pt>
                <c:pt idx="4">
                  <c:v>Ecuador</c:v>
                </c:pt>
                <c:pt idx="5">
                  <c:v>OTROS</c:v>
                </c:pt>
              </c:strCache>
            </c:strRef>
          </c:cat>
          <c:val>
            <c:numRef>
              <c:f>IMPRT_EE.UU_TONELADAS!$M$3:$M$8</c:f>
              <c:numCache>
                <c:formatCode>General</c:formatCode>
                <c:ptCount val="6"/>
                <c:pt idx="0">
                  <c:v>15963</c:v>
                </c:pt>
                <c:pt idx="1">
                  <c:v>14981</c:v>
                </c:pt>
                <c:pt idx="2">
                  <c:v>1127</c:v>
                </c:pt>
                <c:pt idx="3">
                  <c:v>630</c:v>
                </c:pt>
                <c:pt idx="4">
                  <c:v>623</c:v>
                </c:pt>
                <c:pt idx="5">
                  <c:v>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2-49B1-8E1D-8CDB5C0C0D13}"/>
            </c:ext>
          </c:extLst>
        </c:ser>
        <c:ser>
          <c:idx val="1"/>
          <c:order val="1"/>
          <c:tx>
            <c:strRef>
              <c:f>IMPRT_EE.UU_TONELADAS!$N$2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IMPRT_EE.UU_TONELADAS!$L$3:$L$8</c:f>
              <c:strCache>
                <c:ptCount val="6"/>
                <c:pt idx="0">
                  <c:v>Peru</c:v>
                </c:pt>
                <c:pt idx="1">
                  <c:v>Bolivia</c:v>
                </c:pt>
                <c:pt idx="2">
                  <c:v>Canada</c:v>
                </c:pt>
                <c:pt idx="3">
                  <c:v>Spain</c:v>
                </c:pt>
                <c:pt idx="4">
                  <c:v>Ecuador</c:v>
                </c:pt>
                <c:pt idx="5">
                  <c:v>OTROS</c:v>
                </c:pt>
              </c:strCache>
            </c:strRef>
          </c:cat>
          <c:val>
            <c:numRef>
              <c:f>IMPRT_EE.UU_TONELADAS!$N$3:$N$8</c:f>
              <c:numCache>
                <c:formatCode>General</c:formatCode>
                <c:ptCount val="6"/>
                <c:pt idx="0">
                  <c:v>14528</c:v>
                </c:pt>
                <c:pt idx="1">
                  <c:v>13438</c:v>
                </c:pt>
                <c:pt idx="2">
                  <c:v>1262</c:v>
                </c:pt>
                <c:pt idx="3">
                  <c:v>1641</c:v>
                </c:pt>
                <c:pt idx="4">
                  <c:v>497</c:v>
                </c:pt>
                <c:pt idx="5">
                  <c:v>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2-49B1-8E1D-8CDB5C0C0D13}"/>
            </c:ext>
          </c:extLst>
        </c:ser>
        <c:ser>
          <c:idx val="2"/>
          <c:order val="2"/>
          <c:tx>
            <c:strRef>
              <c:f>IMPRT_EE.UU_TONELADAS!$O$2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IMPRT_EE.UU_TONELADAS!$L$3:$L$8</c:f>
              <c:strCache>
                <c:ptCount val="6"/>
                <c:pt idx="0">
                  <c:v>Peru</c:v>
                </c:pt>
                <c:pt idx="1">
                  <c:v>Bolivia</c:v>
                </c:pt>
                <c:pt idx="2">
                  <c:v>Canada</c:v>
                </c:pt>
                <c:pt idx="3">
                  <c:v>Spain</c:v>
                </c:pt>
                <c:pt idx="4">
                  <c:v>Ecuador</c:v>
                </c:pt>
                <c:pt idx="5">
                  <c:v>OTROS</c:v>
                </c:pt>
              </c:strCache>
            </c:strRef>
          </c:cat>
          <c:val>
            <c:numRef>
              <c:f>IMPRT_EE.UU_TONELADAS!$O$3:$O$8</c:f>
              <c:numCache>
                <c:formatCode>General</c:formatCode>
                <c:ptCount val="6"/>
                <c:pt idx="0">
                  <c:v>14673</c:v>
                </c:pt>
                <c:pt idx="1">
                  <c:v>17738</c:v>
                </c:pt>
                <c:pt idx="2">
                  <c:v>2093</c:v>
                </c:pt>
                <c:pt idx="3">
                  <c:v>1570</c:v>
                </c:pt>
                <c:pt idx="4">
                  <c:v>245</c:v>
                </c:pt>
                <c:pt idx="5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2-49B1-8E1D-8CDB5C0C0D13}"/>
            </c:ext>
          </c:extLst>
        </c:ser>
        <c:ser>
          <c:idx val="3"/>
          <c:order val="3"/>
          <c:tx>
            <c:strRef>
              <c:f>IMPRT_EE.UU_TONELADAS!$P$2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IMPRT_EE.UU_TONELADAS!$L$3:$L$8</c:f>
              <c:strCache>
                <c:ptCount val="6"/>
                <c:pt idx="0">
                  <c:v>Peru</c:v>
                </c:pt>
                <c:pt idx="1">
                  <c:v>Bolivia</c:v>
                </c:pt>
                <c:pt idx="2">
                  <c:v>Canada</c:v>
                </c:pt>
                <c:pt idx="3">
                  <c:v>Spain</c:v>
                </c:pt>
                <c:pt idx="4">
                  <c:v>Ecuador</c:v>
                </c:pt>
                <c:pt idx="5">
                  <c:v>OTROS</c:v>
                </c:pt>
              </c:strCache>
            </c:strRef>
          </c:cat>
          <c:val>
            <c:numRef>
              <c:f>IMPRT_EE.UU_TONELADAS!$P$3:$P$8</c:f>
              <c:numCache>
                <c:formatCode>General</c:formatCode>
                <c:ptCount val="6"/>
                <c:pt idx="0">
                  <c:v>12978</c:v>
                </c:pt>
                <c:pt idx="1">
                  <c:v>9684</c:v>
                </c:pt>
                <c:pt idx="2">
                  <c:v>3104</c:v>
                </c:pt>
                <c:pt idx="3">
                  <c:v>2052</c:v>
                </c:pt>
                <c:pt idx="4">
                  <c:v>192</c:v>
                </c:pt>
                <c:pt idx="5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22-49B1-8E1D-8CDB5C0C0D13}"/>
            </c:ext>
          </c:extLst>
        </c:ser>
        <c:ser>
          <c:idx val="4"/>
          <c:order val="4"/>
          <c:tx>
            <c:strRef>
              <c:f>IMPRT_EE.UU_TONELADAS!$Q$2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IMPRT_EE.UU_TONELADAS!$L$3:$L$8</c:f>
              <c:strCache>
                <c:ptCount val="6"/>
                <c:pt idx="0">
                  <c:v>Peru</c:v>
                </c:pt>
                <c:pt idx="1">
                  <c:v>Bolivia</c:v>
                </c:pt>
                <c:pt idx="2">
                  <c:v>Canada</c:v>
                </c:pt>
                <c:pt idx="3">
                  <c:v>Spain</c:v>
                </c:pt>
                <c:pt idx="4">
                  <c:v>Ecuador</c:v>
                </c:pt>
                <c:pt idx="5">
                  <c:v>OTROS</c:v>
                </c:pt>
              </c:strCache>
            </c:strRef>
          </c:cat>
          <c:val>
            <c:numRef>
              <c:f>IMPRT_EE.UU_TONELADAS!$Q$3:$Q$8</c:f>
              <c:numCache>
                <c:formatCode>General</c:formatCode>
                <c:ptCount val="6"/>
                <c:pt idx="0">
                  <c:v>14021</c:v>
                </c:pt>
                <c:pt idx="1">
                  <c:v>12463</c:v>
                </c:pt>
                <c:pt idx="2">
                  <c:v>2403</c:v>
                </c:pt>
                <c:pt idx="3">
                  <c:v>589</c:v>
                </c:pt>
                <c:pt idx="4">
                  <c:v>372</c:v>
                </c:pt>
                <c:pt idx="5">
                  <c:v>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22-49B1-8E1D-8CDB5C0C0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8210336"/>
        <c:axId val="1068213248"/>
      </c:barChart>
      <c:catAx>
        <c:axId val="10682103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68213248"/>
        <c:crosses val="autoZero"/>
        <c:auto val="1"/>
        <c:lblAlgn val="ctr"/>
        <c:lblOffset val="100"/>
        <c:noMultiLvlLbl val="0"/>
      </c:catAx>
      <c:valAx>
        <c:axId val="106821324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6821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IMPORTACIONES DE QUINUA DE ESTADOS UNIDOS POR MESES (USD)  </a:t>
            </a:r>
          </a:p>
        </c:rich>
      </c:tx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'IMP_DE EE.UU_MES_USD'!$Q$3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'IMP_DE EE.UU_MES_USD'!$R$2:$AC$2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'IMP_DE EE.UU_MES_USD'!$R$3:$AC$3</c:f>
              <c:numCache>
                <c:formatCode>General</c:formatCode>
                <c:ptCount val="12"/>
                <c:pt idx="0">
                  <c:v>8510</c:v>
                </c:pt>
                <c:pt idx="1">
                  <c:v>4428</c:v>
                </c:pt>
                <c:pt idx="2">
                  <c:v>8232</c:v>
                </c:pt>
                <c:pt idx="3">
                  <c:v>8405</c:v>
                </c:pt>
                <c:pt idx="4">
                  <c:v>9916</c:v>
                </c:pt>
                <c:pt idx="5">
                  <c:v>9574</c:v>
                </c:pt>
                <c:pt idx="6">
                  <c:v>13318</c:v>
                </c:pt>
                <c:pt idx="7">
                  <c:v>8348</c:v>
                </c:pt>
                <c:pt idx="8">
                  <c:v>6869</c:v>
                </c:pt>
                <c:pt idx="9">
                  <c:v>8005</c:v>
                </c:pt>
                <c:pt idx="10">
                  <c:v>8190</c:v>
                </c:pt>
                <c:pt idx="11">
                  <c:v>7371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FA-4745-B58D-7AC82E740D0A}"/>
            </c:ext>
          </c:extLst>
        </c:ser>
        <c:ser>
          <c:idx val="1"/>
          <c:order val="1"/>
          <c:tx>
            <c:strRef>
              <c:f>'IMP_DE EE.UU_MES_USD'!$Q$4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'IMP_DE EE.UU_MES_USD'!$R$2:$AC$2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'IMP_DE EE.UU_MES_USD'!$R$4:$AC$4</c:f>
              <c:numCache>
                <c:formatCode>General</c:formatCode>
                <c:ptCount val="12"/>
                <c:pt idx="0">
                  <c:v>8510</c:v>
                </c:pt>
                <c:pt idx="1">
                  <c:v>4428</c:v>
                </c:pt>
                <c:pt idx="2">
                  <c:v>8232</c:v>
                </c:pt>
                <c:pt idx="3">
                  <c:v>8405</c:v>
                </c:pt>
                <c:pt idx="4">
                  <c:v>9916</c:v>
                </c:pt>
                <c:pt idx="5">
                  <c:v>9574</c:v>
                </c:pt>
                <c:pt idx="6">
                  <c:v>13318</c:v>
                </c:pt>
                <c:pt idx="7">
                  <c:v>8348</c:v>
                </c:pt>
                <c:pt idx="8">
                  <c:v>6869</c:v>
                </c:pt>
                <c:pt idx="9">
                  <c:v>8005</c:v>
                </c:pt>
                <c:pt idx="10">
                  <c:v>8190</c:v>
                </c:pt>
                <c:pt idx="11">
                  <c:v>7371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FA-4745-B58D-7AC82E740D0A}"/>
            </c:ext>
          </c:extLst>
        </c:ser>
        <c:ser>
          <c:idx val="2"/>
          <c:order val="2"/>
          <c:tx>
            <c:strRef>
              <c:f>'IMP_DE EE.UU_MES_USD'!$Q$5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'IMP_DE EE.UU_MES_USD'!$R$2:$AC$2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'IMP_DE EE.UU_MES_USD'!$R$5:$AC$5</c:f>
              <c:numCache>
                <c:formatCode>General</c:formatCode>
                <c:ptCount val="12"/>
                <c:pt idx="0">
                  <c:v>9446</c:v>
                </c:pt>
                <c:pt idx="1">
                  <c:v>4801</c:v>
                </c:pt>
                <c:pt idx="2">
                  <c:v>6209</c:v>
                </c:pt>
                <c:pt idx="3">
                  <c:v>5312</c:v>
                </c:pt>
                <c:pt idx="4">
                  <c:v>5889</c:v>
                </c:pt>
                <c:pt idx="5">
                  <c:v>5586</c:v>
                </c:pt>
                <c:pt idx="6">
                  <c:v>6094</c:v>
                </c:pt>
                <c:pt idx="7">
                  <c:v>5883</c:v>
                </c:pt>
                <c:pt idx="8">
                  <c:v>4747</c:v>
                </c:pt>
                <c:pt idx="9">
                  <c:v>7104</c:v>
                </c:pt>
                <c:pt idx="10">
                  <c:v>7064</c:v>
                </c:pt>
                <c:pt idx="11">
                  <c:v>6752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FA-4745-B58D-7AC82E740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4205296"/>
        <c:axId val="2084205712"/>
      </c:lineChart>
      <c:catAx>
        <c:axId val="208420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4205712"/>
        <c:crosses val="autoZero"/>
        <c:auto val="1"/>
        <c:lblAlgn val="ctr"/>
        <c:lblOffset val="100"/>
        <c:noMultiLvlLbl val="0"/>
      </c:catAx>
      <c:valAx>
        <c:axId val="208420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420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00B050"/>
                </a:solidFill>
                <a:effectLst/>
              </a:rPr>
              <a:t>IMPORTACIONES DE QUINUA DE ESTADOS UNIDOS POR MESES (VOLUMEN)</a:t>
            </a:r>
            <a:endParaRPr lang="es-PE">
              <a:solidFill>
                <a:srgbClr val="00B050"/>
              </a:solidFill>
            </a:endParaRPr>
          </a:p>
        </c:rich>
      </c:tx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'IMP_DE EE.UU_MES_TONELADA'!$Q$3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'IMP_DE EE.UU_MES_TONELADA'!$R$2:$AC$2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'IMP_DE EE.UU_MES_TONELADA'!$R$3:$AC$3</c:f>
              <c:numCache>
                <c:formatCode>General</c:formatCode>
                <c:ptCount val="12"/>
                <c:pt idx="0">
                  <c:v>2943570</c:v>
                </c:pt>
                <c:pt idx="1">
                  <c:v>1478888</c:v>
                </c:pt>
                <c:pt idx="2">
                  <c:v>2793614</c:v>
                </c:pt>
                <c:pt idx="3">
                  <c:v>3061986</c:v>
                </c:pt>
                <c:pt idx="4">
                  <c:v>3607548</c:v>
                </c:pt>
                <c:pt idx="5">
                  <c:v>3537074</c:v>
                </c:pt>
                <c:pt idx="6">
                  <c:v>4865874</c:v>
                </c:pt>
                <c:pt idx="7">
                  <c:v>3024051</c:v>
                </c:pt>
                <c:pt idx="8">
                  <c:v>2511456</c:v>
                </c:pt>
                <c:pt idx="9">
                  <c:v>3073208</c:v>
                </c:pt>
                <c:pt idx="10">
                  <c:v>3101543</c:v>
                </c:pt>
                <c:pt idx="11">
                  <c:v>2784620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CE-4BDD-A95D-3888FAF02DF4}"/>
            </c:ext>
          </c:extLst>
        </c:ser>
        <c:ser>
          <c:idx val="1"/>
          <c:order val="1"/>
          <c:tx>
            <c:strRef>
              <c:f>'IMP_DE EE.UU_MES_TONELADA'!$Q$4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'IMP_DE EE.UU_MES_TONELADA'!$R$2:$AC$2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'IMP_DE EE.UU_MES_TONELADA'!$R$4:$AC$4</c:f>
              <c:numCache>
                <c:formatCode>General</c:formatCode>
                <c:ptCount val="12"/>
                <c:pt idx="0">
                  <c:v>2132652</c:v>
                </c:pt>
                <c:pt idx="1">
                  <c:v>2145061</c:v>
                </c:pt>
                <c:pt idx="2">
                  <c:v>2549006</c:v>
                </c:pt>
                <c:pt idx="3">
                  <c:v>3403258</c:v>
                </c:pt>
                <c:pt idx="4">
                  <c:v>1843359</c:v>
                </c:pt>
                <c:pt idx="5">
                  <c:v>2526616</c:v>
                </c:pt>
                <c:pt idx="6">
                  <c:v>2581011</c:v>
                </c:pt>
                <c:pt idx="7">
                  <c:v>2963562</c:v>
                </c:pt>
                <c:pt idx="8">
                  <c:v>2033855</c:v>
                </c:pt>
                <c:pt idx="9">
                  <c:v>2216895</c:v>
                </c:pt>
                <c:pt idx="10">
                  <c:v>2333047</c:v>
                </c:pt>
                <c:pt idx="11">
                  <c:v>1602475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CE-4BDD-A95D-3888FAF02DF4}"/>
            </c:ext>
          </c:extLst>
        </c:ser>
        <c:ser>
          <c:idx val="2"/>
          <c:order val="2"/>
          <c:tx>
            <c:strRef>
              <c:f>'IMP_DE EE.UU_MES_TONELADA'!$Q$5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'IMP_DE EE.UU_MES_TONELADA'!$R$2:$AC$2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'IMP_DE EE.UU_MES_TONELADA'!$R$5:$AC$5</c:f>
              <c:numCache>
                <c:formatCode>0</c:formatCode>
                <c:ptCount val="12"/>
                <c:pt idx="0">
                  <c:v>3974882</c:v>
                </c:pt>
                <c:pt idx="1">
                  <c:v>2119840</c:v>
                </c:pt>
                <c:pt idx="2">
                  <c:v>2633627</c:v>
                </c:pt>
                <c:pt idx="3">
                  <c:v>2154815</c:v>
                </c:pt>
                <c:pt idx="4">
                  <c:v>2377710</c:v>
                </c:pt>
                <c:pt idx="5">
                  <c:v>2138429</c:v>
                </c:pt>
                <c:pt idx="6">
                  <c:v>2424063</c:v>
                </c:pt>
                <c:pt idx="7">
                  <c:v>2392974</c:v>
                </c:pt>
                <c:pt idx="8">
                  <c:v>1844987</c:v>
                </c:pt>
                <c:pt idx="9">
                  <c:v>2790486</c:v>
                </c:pt>
                <c:pt idx="10">
                  <c:v>2772120</c:v>
                </c:pt>
                <c:pt idx="11">
                  <c:v>2629619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CE-4BDD-A95D-3888FAF02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8055103"/>
        <c:axId val="1248049279"/>
      </c:lineChart>
      <c:catAx>
        <c:axId val="124805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48049279"/>
        <c:crosses val="autoZero"/>
        <c:auto val="1"/>
        <c:lblAlgn val="ctr"/>
        <c:lblOffset val="100"/>
        <c:noMultiLvlLbl val="0"/>
      </c:catAx>
      <c:valAx>
        <c:axId val="124804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4805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019962111937316"/>
          <c:y val="0.87729841061533975"/>
          <c:w val="0.43852038953395955"/>
          <c:h val="9.49238116068824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s-PE">
                <a:solidFill>
                  <a:srgbClr val="00B050"/>
                </a:solidFill>
              </a:rPr>
              <a:t>IMPORTACIONES DE ESTADOS</a:t>
            </a:r>
            <a:r>
              <a:rPr lang="es-PE" baseline="0">
                <a:solidFill>
                  <a:srgbClr val="00B050"/>
                </a:solidFill>
              </a:rPr>
              <a:t> UNIDOS DESDE PERÚ</a:t>
            </a:r>
            <a:endParaRPr lang="es-PE">
              <a:solidFill>
                <a:srgbClr val="00B050"/>
              </a:solidFill>
            </a:endParaRPr>
          </a:p>
        </c:rich>
      </c:tx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produc_total!$L$3</c:f>
              <c:strCache>
                <c:ptCount val="1"/>
                <c:pt idx="0">
                  <c:v>1008500010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produc_total!$M$2:$Q$2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produc_total!$M$3:$Q$3</c:f>
              <c:numCache>
                <c:formatCode>General</c:formatCode>
                <c:ptCount val="5"/>
                <c:pt idx="0">
                  <c:v>16389</c:v>
                </c:pt>
                <c:pt idx="1">
                  <c:v>16603</c:v>
                </c:pt>
                <c:pt idx="2">
                  <c:v>24097</c:v>
                </c:pt>
                <c:pt idx="3">
                  <c:v>20694</c:v>
                </c:pt>
                <c:pt idx="4">
                  <c:v>19876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4-400E-81FC-728722E0253B}"/>
            </c:ext>
          </c:extLst>
        </c:ser>
        <c:ser>
          <c:idx val="1"/>
          <c:order val="1"/>
          <c:tx>
            <c:strRef>
              <c:f>produc_total!$L$4</c:f>
              <c:strCache>
                <c:ptCount val="1"/>
                <c:pt idx="0">
                  <c:v>1008500090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produc_total!$M$2:$Q$2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produc_total!$M$4:$Q$4</c:f>
              <c:numCache>
                <c:formatCode>General</c:formatCode>
                <c:ptCount val="5"/>
                <c:pt idx="0">
                  <c:v>26420</c:v>
                </c:pt>
                <c:pt idx="1">
                  <c:v>28310</c:v>
                </c:pt>
                <c:pt idx="2">
                  <c:v>18515</c:v>
                </c:pt>
                <c:pt idx="3">
                  <c:v>12614</c:v>
                </c:pt>
                <c:pt idx="4">
                  <c:v>15261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E4-400E-81FC-728722E0253B}"/>
            </c:ext>
          </c:extLst>
        </c:ser>
        <c:ser>
          <c:idx val="2"/>
          <c:order val="2"/>
          <c:tx>
            <c:strRef>
              <c:f>produc_total!$L$5</c:f>
              <c:strCache>
                <c:ptCount val="1"/>
                <c:pt idx="0">
                  <c:v>1008900140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produc_total!$M$2:$Q$2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produc_total!$M$5:$Q$5</c:f>
              <c:numCache>
                <c:formatCode>General</c:formatCode>
                <c:ptCount val="5"/>
                <c:pt idx="0">
                  <c:v>3455</c:v>
                </c:pt>
                <c:pt idx="1">
                  <c:v>3965</c:v>
                </c:pt>
                <c:pt idx="2">
                  <c:v>3439</c:v>
                </c:pt>
                <c:pt idx="3">
                  <c:v>2485</c:v>
                </c:pt>
                <c:pt idx="4">
                  <c:v>2553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E4-400E-81FC-728722E02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5048575"/>
        <c:axId val="1785052735"/>
      </c:barChart>
      <c:catAx>
        <c:axId val="1785048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85052735"/>
        <c:crosses val="autoZero"/>
        <c:auto val="1"/>
        <c:lblAlgn val="ctr"/>
        <c:lblOffset val="100"/>
        <c:noMultiLvlLbl val="0"/>
      </c:catAx>
      <c:valAx>
        <c:axId val="178505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8504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2919013589105454E-2"/>
          <c:y val="0.87729841061533975"/>
          <c:w val="0.85113035547081572"/>
          <c:h val="9.49238116068824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rgbClr val="00B050"/>
                </a:solidFill>
              </a:rPr>
              <a:t>TENDENCIA DE IMPORTACION DE QUINUA DE ESTADOS UNIDOS</a:t>
            </a:r>
          </a:p>
        </c:rich>
      </c:tx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'[1]Trade_Map_-_Lista_de_los_mercad'!$N$2</c:f>
              <c:strCache>
                <c:ptCount val="1"/>
                <c:pt idx="0">
                  <c:v>Mundo</c:v>
                </c:pt>
              </c:strCache>
            </c:strRef>
          </c:tx>
          <c:spPr>
            <a:pattFill prst="ltUp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  <a:sp3d/>
          </c:spPr>
          <c:cat>
            <c:numRef>
              <c:f>'[1]Trade_Map_-_Lista_de_los_mercad'!$O$1:$Y$1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'[1]Trade_Map_-_Lista_de_los_mercad'!$O$2:$Y$2</c:f>
              <c:numCache>
                <c:formatCode>General</c:formatCode>
                <c:ptCount val="11"/>
                <c:pt idx="0">
                  <c:v>41741</c:v>
                </c:pt>
                <c:pt idx="1">
                  <c:v>93254</c:v>
                </c:pt>
                <c:pt idx="2">
                  <c:v>159180</c:v>
                </c:pt>
                <c:pt idx="3">
                  <c:v>114505</c:v>
                </c:pt>
                <c:pt idx="4">
                  <c:v>89928</c:v>
                </c:pt>
                <c:pt idx="5">
                  <c:v>86787</c:v>
                </c:pt>
                <c:pt idx="6">
                  <c:v>87638</c:v>
                </c:pt>
                <c:pt idx="7">
                  <c:v>93454</c:v>
                </c:pt>
                <c:pt idx="8">
                  <c:v>101167</c:v>
                </c:pt>
                <c:pt idx="9">
                  <c:v>68774</c:v>
                </c:pt>
                <c:pt idx="10">
                  <c:v>74887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1-45D6-B44C-6D2AD2D2F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493647"/>
        <c:axId val="490491983"/>
        <c:axId val="0"/>
      </c:area3DChart>
      <c:catAx>
        <c:axId val="490493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spc="120" normalizeH="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90491983"/>
        <c:crosses val="autoZero"/>
        <c:auto val="1"/>
        <c:lblAlgn val="ctr"/>
        <c:lblOffset val="100"/>
        <c:noMultiLvlLbl val="0"/>
      </c:catAx>
      <c:valAx>
        <c:axId val="49049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90493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rgbClr val="00B050"/>
                </a:solidFill>
              </a:rPr>
              <a:t>PRODUCTOS IMPORTADOS DESDE PERÚ</a:t>
            </a:r>
          </a:p>
        </c:rich>
      </c:tx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'PRODUC_+ IMP_DESDE PERU'!$K$2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'PRODUC_+ IMP_DESDE PERU'!$J$3:$J$12</c:f>
              <c:strCache>
                <c:ptCount val="10"/>
                <c:pt idx="0">
                  <c:v>"Arándanos rojos, mirtilos y demás</c:v>
                </c:pt>
                <c:pt idx="1">
                  <c:v>Uvas frescas</c:v>
                </c:pt>
                <c:pt idx="2">
                  <c:v>Cobre refinado</c:v>
                </c:pt>
                <c:pt idx="3">
                  <c:v>Minerales de molibdeno </c:v>
                </c:pt>
                <c:pt idx="4">
                  <c:v>Café sin tostar ni descafeinar</c:v>
                </c:pt>
                <c:pt idx="5">
                  <c:v>Fosfatos de calcio naturales</c:v>
                </c:pt>
                <c:pt idx="6">
                  <c:v>Estaño en bruto, sin alear</c:v>
                </c:pt>
                <c:pt idx="7">
                  <c:v>Espárragos, frescos o refrigerados</c:v>
                </c:pt>
                <c:pt idx="8">
                  <c:v>"paltas"", frescos o secos"</c:v>
                </c:pt>
                <c:pt idx="9">
                  <c:v>camisetas, de punto, de algodón</c:v>
                </c:pt>
              </c:strCache>
            </c:strRef>
          </c:cat>
          <c:val>
            <c:numRef>
              <c:f>'PRODUC_+ IMP_DESDE PERU'!$K$3:$K$12</c:f>
              <c:numCache>
                <c:formatCode>General</c:formatCode>
                <c:ptCount val="10"/>
                <c:pt idx="0">
                  <c:v>307273</c:v>
                </c:pt>
                <c:pt idx="1">
                  <c:v>402850</c:v>
                </c:pt>
                <c:pt idx="2">
                  <c:v>125783</c:v>
                </c:pt>
                <c:pt idx="3">
                  <c:v>363937</c:v>
                </c:pt>
                <c:pt idx="4">
                  <c:v>202929</c:v>
                </c:pt>
                <c:pt idx="5">
                  <c:v>171915</c:v>
                </c:pt>
                <c:pt idx="6">
                  <c:v>138262</c:v>
                </c:pt>
                <c:pt idx="7">
                  <c:v>321037</c:v>
                </c:pt>
                <c:pt idx="8">
                  <c:v>197852</c:v>
                </c:pt>
                <c:pt idx="9">
                  <c:v>196257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8E-4AEE-8FC3-BADC2C85BDC1}"/>
            </c:ext>
          </c:extLst>
        </c:ser>
        <c:ser>
          <c:idx val="1"/>
          <c:order val="1"/>
          <c:tx>
            <c:strRef>
              <c:f>'PRODUC_+ IMP_DESDE PERU'!$L$2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'PRODUC_+ IMP_DESDE PERU'!$J$3:$J$12</c:f>
              <c:strCache>
                <c:ptCount val="10"/>
                <c:pt idx="0">
                  <c:v>"Arándanos rojos, mirtilos y demás</c:v>
                </c:pt>
                <c:pt idx="1">
                  <c:v>Uvas frescas</c:v>
                </c:pt>
                <c:pt idx="2">
                  <c:v>Cobre refinado</c:v>
                </c:pt>
                <c:pt idx="3">
                  <c:v>Minerales de molibdeno </c:v>
                </c:pt>
                <c:pt idx="4">
                  <c:v>Café sin tostar ni descafeinar</c:v>
                </c:pt>
                <c:pt idx="5">
                  <c:v>Fosfatos de calcio naturales</c:v>
                </c:pt>
                <c:pt idx="6">
                  <c:v>Estaño en bruto, sin alear</c:v>
                </c:pt>
                <c:pt idx="7">
                  <c:v>Espárragos, frescos o refrigerados</c:v>
                </c:pt>
                <c:pt idx="8">
                  <c:v>"paltas"", frescos o secos"</c:v>
                </c:pt>
                <c:pt idx="9">
                  <c:v>camisetas, de punto, de algodón</c:v>
                </c:pt>
              </c:strCache>
            </c:strRef>
          </c:cat>
          <c:val>
            <c:numRef>
              <c:f>'PRODUC_+ IMP_DESDE PERU'!$L$3:$L$12</c:f>
              <c:numCache>
                <c:formatCode>General</c:formatCode>
                <c:ptCount val="10"/>
                <c:pt idx="0">
                  <c:v>518618</c:v>
                </c:pt>
                <c:pt idx="1">
                  <c:v>422716</c:v>
                </c:pt>
                <c:pt idx="2">
                  <c:v>60047</c:v>
                </c:pt>
                <c:pt idx="3">
                  <c:v>331153</c:v>
                </c:pt>
                <c:pt idx="4">
                  <c:v>208333</c:v>
                </c:pt>
                <c:pt idx="5">
                  <c:v>155854</c:v>
                </c:pt>
                <c:pt idx="6">
                  <c:v>154669</c:v>
                </c:pt>
                <c:pt idx="7">
                  <c:v>315693</c:v>
                </c:pt>
                <c:pt idx="8">
                  <c:v>246422</c:v>
                </c:pt>
                <c:pt idx="9">
                  <c:v>199252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8E-4AEE-8FC3-BADC2C85BDC1}"/>
            </c:ext>
          </c:extLst>
        </c:ser>
        <c:ser>
          <c:idx val="2"/>
          <c:order val="2"/>
          <c:tx>
            <c:strRef>
              <c:f>'PRODUC_+ IMP_DESDE PERU'!$M$2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'PRODUC_+ IMP_DESDE PERU'!$J$3:$J$12</c:f>
              <c:strCache>
                <c:ptCount val="10"/>
                <c:pt idx="0">
                  <c:v>"Arándanos rojos, mirtilos y demás</c:v>
                </c:pt>
                <c:pt idx="1">
                  <c:v>Uvas frescas</c:v>
                </c:pt>
                <c:pt idx="2">
                  <c:v>Cobre refinado</c:v>
                </c:pt>
                <c:pt idx="3">
                  <c:v>Minerales de molibdeno </c:v>
                </c:pt>
                <c:pt idx="4">
                  <c:v>Café sin tostar ni descafeinar</c:v>
                </c:pt>
                <c:pt idx="5">
                  <c:v>Fosfatos de calcio naturales</c:v>
                </c:pt>
                <c:pt idx="6">
                  <c:v>Estaño en bruto, sin alear</c:v>
                </c:pt>
                <c:pt idx="7">
                  <c:v>Espárragos, frescos o refrigerados</c:v>
                </c:pt>
                <c:pt idx="8">
                  <c:v>"paltas"", frescos o secos"</c:v>
                </c:pt>
                <c:pt idx="9">
                  <c:v>camisetas, de punto, de algodón</c:v>
                </c:pt>
              </c:strCache>
            </c:strRef>
          </c:cat>
          <c:val>
            <c:numRef>
              <c:f>'PRODUC_+ IMP_DESDE PERU'!$M$3:$M$12</c:f>
              <c:numCache>
                <c:formatCode>General</c:formatCode>
                <c:ptCount val="10"/>
                <c:pt idx="0">
                  <c:v>553787</c:v>
                </c:pt>
                <c:pt idx="1">
                  <c:v>598119</c:v>
                </c:pt>
                <c:pt idx="2">
                  <c:v>100628</c:v>
                </c:pt>
                <c:pt idx="3">
                  <c:v>159241</c:v>
                </c:pt>
                <c:pt idx="4">
                  <c:v>203098</c:v>
                </c:pt>
                <c:pt idx="5">
                  <c:v>171571</c:v>
                </c:pt>
                <c:pt idx="6">
                  <c:v>156515</c:v>
                </c:pt>
                <c:pt idx="7">
                  <c:v>327654</c:v>
                </c:pt>
                <c:pt idx="8">
                  <c:v>190553</c:v>
                </c:pt>
                <c:pt idx="9">
                  <c:v>149749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8E-4AEE-8FC3-BADC2C85BDC1}"/>
            </c:ext>
          </c:extLst>
        </c:ser>
        <c:ser>
          <c:idx val="3"/>
          <c:order val="3"/>
          <c:tx>
            <c:strRef>
              <c:f>'PRODUC_+ IMP_DESDE PERU'!$N$2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'PRODUC_+ IMP_DESDE PERU'!$J$3:$J$12</c:f>
              <c:strCache>
                <c:ptCount val="10"/>
                <c:pt idx="0">
                  <c:v>"Arándanos rojos, mirtilos y demás</c:v>
                </c:pt>
                <c:pt idx="1">
                  <c:v>Uvas frescas</c:v>
                </c:pt>
                <c:pt idx="2">
                  <c:v>Cobre refinado</c:v>
                </c:pt>
                <c:pt idx="3">
                  <c:v>Minerales de molibdeno </c:v>
                </c:pt>
                <c:pt idx="4">
                  <c:v>Café sin tostar ni descafeinar</c:v>
                </c:pt>
                <c:pt idx="5">
                  <c:v>Fosfatos de calcio naturales</c:v>
                </c:pt>
                <c:pt idx="6">
                  <c:v>Estaño en bruto, sin alear</c:v>
                </c:pt>
                <c:pt idx="7">
                  <c:v>Espárragos, frescos o refrigerados</c:v>
                </c:pt>
                <c:pt idx="8">
                  <c:v>"paltas"", frescos o secos"</c:v>
                </c:pt>
                <c:pt idx="9">
                  <c:v>camisetas, de punto, de algodón</c:v>
                </c:pt>
              </c:strCache>
            </c:strRef>
          </c:cat>
          <c:val>
            <c:numRef>
              <c:f>'PRODUC_+ IMP_DESDE PERU'!$N$3:$N$12</c:f>
              <c:numCache>
                <c:formatCode>General</c:formatCode>
                <c:ptCount val="10"/>
                <c:pt idx="0">
                  <c:v>727323</c:v>
                </c:pt>
                <c:pt idx="1">
                  <c:v>616451</c:v>
                </c:pt>
                <c:pt idx="2">
                  <c:v>266133</c:v>
                </c:pt>
                <c:pt idx="3">
                  <c:v>285183</c:v>
                </c:pt>
                <c:pt idx="4">
                  <c:v>171411</c:v>
                </c:pt>
                <c:pt idx="5">
                  <c:v>208940</c:v>
                </c:pt>
                <c:pt idx="6">
                  <c:v>352261</c:v>
                </c:pt>
                <c:pt idx="7">
                  <c:v>332915</c:v>
                </c:pt>
                <c:pt idx="8">
                  <c:v>201275</c:v>
                </c:pt>
                <c:pt idx="9">
                  <c:v>228327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8E-4AEE-8FC3-BADC2C85BDC1}"/>
            </c:ext>
          </c:extLst>
        </c:ser>
        <c:ser>
          <c:idx val="4"/>
          <c:order val="4"/>
          <c:tx>
            <c:strRef>
              <c:f>'PRODUC_+ IMP_DESDE PERU'!$O$2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'PRODUC_+ IMP_DESDE PERU'!$J$3:$J$12</c:f>
              <c:strCache>
                <c:ptCount val="10"/>
                <c:pt idx="0">
                  <c:v>"Arándanos rojos, mirtilos y demás</c:v>
                </c:pt>
                <c:pt idx="1">
                  <c:v>Uvas frescas</c:v>
                </c:pt>
                <c:pt idx="2">
                  <c:v>Cobre refinado</c:v>
                </c:pt>
                <c:pt idx="3">
                  <c:v>Minerales de molibdeno </c:v>
                </c:pt>
                <c:pt idx="4">
                  <c:v>Café sin tostar ni descafeinar</c:v>
                </c:pt>
                <c:pt idx="5">
                  <c:v>Fosfatos de calcio naturales</c:v>
                </c:pt>
                <c:pt idx="6">
                  <c:v>Estaño en bruto, sin alear</c:v>
                </c:pt>
                <c:pt idx="7">
                  <c:v>Espárragos, frescos o refrigerados</c:v>
                </c:pt>
                <c:pt idx="8">
                  <c:v>"paltas"", frescos o secos"</c:v>
                </c:pt>
                <c:pt idx="9">
                  <c:v>camisetas, de punto, de algodón</c:v>
                </c:pt>
              </c:strCache>
            </c:strRef>
          </c:cat>
          <c:val>
            <c:numRef>
              <c:f>'PRODUC_+ IMP_DESDE PERU'!$O$3:$O$12</c:f>
              <c:numCache>
                <c:formatCode>General</c:formatCode>
                <c:ptCount val="10"/>
                <c:pt idx="0">
                  <c:v>857881</c:v>
                </c:pt>
                <c:pt idx="1">
                  <c:v>847511</c:v>
                </c:pt>
                <c:pt idx="2">
                  <c:v>472102</c:v>
                </c:pt>
                <c:pt idx="3">
                  <c:v>409680</c:v>
                </c:pt>
                <c:pt idx="4">
                  <c:v>341423</c:v>
                </c:pt>
                <c:pt idx="5">
                  <c:v>339464</c:v>
                </c:pt>
                <c:pt idx="6">
                  <c:v>323791</c:v>
                </c:pt>
                <c:pt idx="7">
                  <c:v>309959</c:v>
                </c:pt>
                <c:pt idx="8">
                  <c:v>301565</c:v>
                </c:pt>
                <c:pt idx="9">
                  <c:v>262615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8E-4AEE-8FC3-BADC2C85B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8904847"/>
        <c:axId val="2098901103"/>
      </c:barChart>
      <c:catAx>
        <c:axId val="20989048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98901103"/>
        <c:crosses val="autoZero"/>
        <c:auto val="1"/>
        <c:lblAlgn val="ctr"/>
        <c:lblOffset val="100"/>
        <c:noMultiLvlLbl val="0"/>
      </c:catAx>
      <c:valAx>
        <c:axId val="209890110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9890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baseline="0">
                <a:solidFill>
                  <a:srgbClr val="00B050"/>
                </a:solidFill>
                <a:effectLst/>
              </a:rPr>
              <a:t>EMPRESAS PERUANAS EXPORTADORAS DE QUINUA </a:t>
            </a:r>
            <a:endParaRPr lang="es-PE">
              <a:solidFill>
                <a:srgbClr val="00B050"/>
              </a:solidFill>
            </a:endParaRPr>
          </a:p>
        </c:rich>
      </c:tx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6655022754669239"/>
          <c:y val="0.13316653150627114"/>
          <c:w val="0.66322159443053863"/>
          <c:h val="0.765506783406671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'EMP_EX_DE PERU'!$M$2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'EMP_EX_DE PERU'!$L$3:$L$23</c:f>
              <c:strCache>
                <c:ptCount val="21"/>
                <c:pt idx="0">
                  <c:v>ALISUR S.A.C.</c:v>
                </c:pt>
                <c:pt idx="1">
                  <c:v>COLOREXA SOCIEDAD ANONIMA CERRADA</c:v>
                </c:pt>
                <c:pt idx="2">
                  <c:v>AGRONEGOCIOS WIRACCOCHA DEL PERÚ S.A.C.</c:v>
                </c:pt>
                <c:pt idx="3">
                  <c:v>GLOBENATURAL INTERNACIONAL S.A.</c:v>
                </c:pt>
                <c:pt idx="4">
                  <c:v>OLAM ANDINA PERU S.A.C.</c:v>
                </c:pt>
                <c:pt idx="5">
                  <c:v>AGRO FERGI S.A.C.</c:v>
                </c:pt>
                <c:pt idx="6">
                  <c:v>APLEX TRADING S.A.C.</c:v>
                </c:pt>
                <c:pt idx="7">
                  <c:v>INTERLOOM S.A.C.</c:v>
                </c:pt>
                <c:pt idx="8">
                  <c:v>VINCULOS AGRICOLAS S.A.C.</c:v>
                </c:pt>
                <c:pt idx="9">
                  <c:v>NATURKOST PERU S.A.C.</c:v>
                </c:pt>
                <c:pt idx="10">
                  <c:v>ANDES ALIMENTOS &amp; BEBIDAS S.A.C.</c:v>
                </c:pt>
                <c:pt idx="11">
                  <c:v>VILLA ANDINA</c:v>
                </c:pt>
                <c:pt idx="12">
                  <c:v>AVENDAñO TRADING COMPANY SAC</c:v>
                </c:pt>
                <c:pt idx="13">
                  <c:v>OLAM AGRO PERÚ S.A.C.</c:v>
                </c:pt>
                <c:pt idx="14">
                  <c:v>PRODUCTOS ORGANICOS DE LOS ANDES S.A.</c:v>
                </c:pt>
                <c:pt idx="15">
                  <c:v>AGRITRADE S.A.C.</c:v>
                </c:pt>
                <c:pt idx="16">
                  <c:v>INTERAMSA  AGROINDUSTRIAL S.A.C.</c:v>
                </c:pt>
                <c:pt idx="17">
                  <c:v>OLAM GLOBAL AGRI PERU S.A.C.</c:v>
                </c:pt>
                <c:pt idx="18">
                  <c:v>XPODEKA S.A.C.</c:v>
                </c:pt>
                <c:pt idx="19">
                  <c:v>AGROFINO FOODS S.A.C.</c:v>
                </c:pt>
                <c:pt idx="20">
                  <c:v>OTROS</c:v>
                </c:pt>
              </c:strCache>
            </c:strRef>
          </c:cat>
          <c:val>
            <c:numRef>
              <c:f>'EMP_EX_DE PERU'!$M$3:$M$23</c:f>
              <c:numCache>
                <c:formatCode>General</c:formatCode>
                <c:ptCount val="21"/>
                <c:pt idx="0">
                  <c:v>15377910</c:v>
                </c:pt>
                <c:pt idx="1">
                  <c:v>8379706</c:v>
                </c:pt>
                <c:pt idx="2">
                  <c:v>8115097</c:v>
                </c:pt>
                <c:pt idx="3">
                  <c:v>7363116</c:v>
                </c:pt>
                <c:pt idx="4">
                  <c:v>8356930</c:v>
                </c:pt>
                <c:pt idx="5">
                  <c:v>6465747</c:v>
                </c:pt>
                <c:pt idx="6">
                  <c:v>4507721</c:v>
                </c:pt>
                <c:pt idx="7">
                  <c:v>4285603</c:v>
                </c:pt>
                <c:pt idx="8">
                  <c:v>4000025</c:v>
                </c:pt>
                <c:pt idx="9">
                  <c:v>3470180</c:v>
                </c:pt>
                <c:pt idx="10">
                  <c:v>2995335</c:v>
                </c:pt>
                <c:pt idx="11">
                  <c:v>6081467</c:v>
                </c:pt>
                <c:pt idx="12">
                  <c:v>2869705</c:v>
                </c:pt>
                <c:pt idx="13">
                  <c:v>2362222</c:v>
                </c:pt>
                <c:pt idx="14">
                  <c:v>3514542</c:v>
                </c:pt>
                <c:pt idx="15">
                  <c:v>3134034</c:v>
                </c:pt>
                <c:pt idx="16">
                  <c:v>2995577</c:v>
                </c:pt>
                <c:pt idx="17">
                  <c:v>1</c:v>
                </c:pt>
                <c:pt idx="18">
                  <c:v>991836</c:v>
                </c:pt>
                <c:pt idx="19">
                  <c:v>1307566</c:v>
                </c:pt>
                <c:pt idx="20">
                  <c:v>28742256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83-470F-848A-1660DC9B4ACE}"/>
            </c:ext>
          </c:extLst>
        </c:ser>
        <c:ser>
          <c:idx val="1"/>
          <c:order val="1"/>
          <c:tx>
            <c:strRef>
              <c:f>'EMP_EX_DE PERU'!$N$2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'EMP_EX_DE PERU'!$L$3:$L$23</c:f>
              <c:strCache>
                <c:ptCount val="21"/>
                <c:pt idx="0">
                  <c:v>ALISUR S.A.C.</c:v>
                </c:pt>
                <c:pt idx="1">
                  <c:v>COLOREXA SOCIEDAD ANONIMA CERRADA</c:v>
                </c:pt>
                <c:pt idx="2">
                  <c:v>AGRONEGOCIOS WIRACCOCHA DEL PERÚ S.A.C.</c:v>
                </c:pt>
                <c:pt idx="3">
                  <c:v>GLOBENATURAL INTERNACIONAL S.A.</c:v>
                </c:pt>
                <c:pt idx="4">
                  <c:v>OLAM ANDINA PERU S.A.C.</c:v>
                </c:pt>
                <c:pt idx="5">
                  <c:v>AGRO FERGI S.A.C.</c:v>
                </c:pt>
                <c:pt idx="6">
                  <c:v>APLEX TRADING S.A.C.</c:v>
                </c:pt>
                <c:pt idx="7">
                  <c:v>INTERLOOM S.A.C.</c:v>
                </c:pt>
                <c:pt idx="8">
                  <c:v>VINCULOS AGRICOLAS S.A.C.</c:v>
                </c:pt>
                <c:pt idx="9">
                  <c:v>NATURKOST PERU S.A.C.</c:v>
                </c:pt>
                <c:pt idx="10">
                  <c:v>ANDES ALIMENTOS &amp; BEBIDAS S.A.C.</c:v>
                </c:pt>
                <c:pt idx="11">
                  <c:v>VILLA ANDINA</c:v>
                </c:pt>
                <c:pt idx="12">
                  <c:v>AVENDAñO TRADING COMPANY SAC</c:v>
                </c:pt>
                <c:pt idx="13">
                  <c:v>OLAM AGRO PERÚ S.A.C.</c:v>
                </c:pt>
                <c:pt idx="14">
                  <c:v>PRODUCTOS ORGANICOS DE LOS ANDES S.A.</c:v>
                </c:pt>
                <c:pt idx="15">
                  <c:v>AGRITRADE S.A.C.</c:v>
                </c:pt>
                <c:pt idx="16">
                  <c:v>INTERAMSA  AGROINDUSTRIAL S.A.C.</c:v>
                </c:pt>
                <c:pt idx="17">
                  <c:v>OLAM GLOBAL AGRI PERU S.A.C.</c:v>
                </c:pt>
                <c:pt idx="18">
                  <c:v>XPODEKA S.A.C.</c:v>
                </c:pt>
                <c:pt idx="19">
                  <c:v>AGROFINO FOODS S.A.C.</c:v>
                </c:pt>
                <c:pt idx="20">
                  <c:v>OTROS</c:v>
                </c:pt>
              </c:strCache>
            </c:strRef>
          </c:cat>
          <c:val>
            <c:numRef>
              <c:f>'EMP_EX_DE PERU'!$N$3:$N$23</c:f>
              <c:numCache>
                <c:formatCode>General</c:formatCode>
                <c:ptCount val="21"/>
                <c:pt idx="0">
                  <c:v>20037484</c:v>
                </c:pt>
                <c:pt idx="1">
                  <c:v>9295653</c:v>
                </c:pt>
                <c:pt idx="2">
                  <c:v>8424043</c:v>
                </c:pt>
                <c:pt idx="3">
                  <c:v>5739153</c:v>
                </c:pt>
                <c:pt idx="4">
                  <c:v>14494870</c:v>
                </c:pt>
                <c:pt idx="5">
                  <c:v>6635136</c:v>
                </c:pt>
                <c:pt idx="6">
                  <c:v>5715961</c:v>
                </c:pt>
                <c:pt idx="7">
                  <c:v>4001360</c:v>
                </c:pt>
                <c:pt idx="8">
                  <c:v>5414936</c:v>
                </c:pt>
                <c:pt idx="9">
                  <c:v>4767013</c:v>
                </c:pt>
                <c:pt idx="10">
                  <c:v>4485280</c:v>
                </c:pt>
                <c:pt idx="11">
                  <c:v>1708165</c:v>
                </c:pt>
                <c:pt idx="12">
                  <c:v>4218106</c:v>
                </c:pt>
                <c:pt idx="13">
                  <c:v>1</c:v>
                </c:pt>
                <c:pt idx="14">
                  <c:v>3146841</c:v>
                </c:pt>
                <c:pt idx="15">
                  <c:v>3071641</c:v>
                </c:pt>
                <c:pt idx="16">
                  <c:v>3636578</c:v>
                </c:pt>
                <c:pt idx="17">
                  <c:v>1</c:v>
                </c:pt>
                <c:pt idx="18">
                  <c:v>363394</c:v>
                </c:pt>
                <c:pt idx="19">
                  <c:v>2577659</c:v>
                </c:pt>
                <c:pt idx="20">
                  <c:v>28071811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83-470F-848A-1660DC9B4ACE}"/>
            </c:ext>
          </c:extLst>
        </c:ser>
        <c:ser>
          <c:idx val="2"/>
          <c:order val="2"/>
          <c:tx>
            <c:strRef>
              <c:f>'EMP_EX_DE PERU'!$O$2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'EMP_EX_DE PERU'!$L$3:$L$23</c:f>
              <c:strCache>
                <c:ptCount val="21"/>
                <c:pt idx="0">
                  <c:v>ALISUR S.A.C.</c:v>
                </c:pt>
                <c:pt idx="1">
                  <c:v>COLOREXA SOCIEDAD ANONIMA CERRADA</c:v>
                </c:pt>
                <c:pt idx="2">
                  <c:v>AGRONEGOCIOS WIRACCOCHA DEL PERÚ S.A.C.</c:v>
                </c:pt>
                <c:pt idx="3">
                  <c:v>GLOBENATURAL INTERNACIONAL S.A.</c:v>
                </c:pt>
                <c:pt idx="4">
                  <c:v>OLAM ANDINA PERU S.A.C.</c:v>
                </c:pt>
                <c:pt idx="5">
                  <c:v>AGRO FERGI S.A.C.</c:v>
                </c:pt>
                <c:pt idx="6">
                  <c:v>APLEX TRADING S.A.C.</c:v>
                </c:pt>
                <c:pt idx="7">
                  <c:v>INTERLOOM S.A.C.</c:v>
                </c:pt>
                <c:pt idx="8">
                  <c:v>VINCULOS AGRICOLAS S.A.C.</c:v>
                </c:pt>
                <c:pt idx="9">
                  <c:v>NATURKOST PERU S.A.C.</c:v>
                </c:pt>
                <c:pt idx="10">
                  <c:v>ANDES ALIMENTOS &amp; BEBIDAS S.A.C.</c:v>
                </c:pt>
                <c:pt idx="11">
                  <c:v>VILLA ANDINA</c:v>
                </c:pt>
                <c:pt idx="12">
                  <c:v>AVENDAñO TRADING COMPANY SAC</c:v>
                </c:pt>
                <c:pt idx="13">
                  <c:v>OLAM AGRO PERÚ S.A.C.</c:v>
                </c:pt>
                <c:pt idx="14">
                  <c:v>PRODUCTOS ORGANICOS DE LOS ANDES S.A.</c:v>
                </c:pt>
                <c:pt idx="15">
                  <c:v>AGRITRADE S.A.C.</c:v>
                </c:pt>
                <c:pt idx="16">
                  <c:v>INTERAMSA  AGROINDUSTRIAL S.A.C.</c:v>
                </c:pt>
                <c:pt idx="17">
                  <c:v>OLAM GLOBAL AGRI PERU S.A.C.</c:v>
                </c:pt>
                <c:pt idx="18">
                  <c:v>XPODEKA S.A.C.</c:v>
                </c:pt>
                <c:pt idx="19">
                  <c:v>AGROFINO FOODS S.A.C.</c:v>
                </c:pt>
                <c:pt idx="20">
                  <c:v>OTROS</c:v>
                </c:pt>
              </c:strCache>
            </c:strRef>
          </c:cat>
          <c:val>
            <c:numRef>
              <c:f>'EMP_EX_DE PERU'!$O$3:$O$23</c:f>
              <c:numCache>
                <c:formatCode>General</c:formatCode>
                <c:ptCount val="21"/>
                <c:pt idx="0">
                  <c:v>16453483</c:v>
                </c:pt>
                <c:pt idx="1">
                  <c:v>9207606</c:v>
                </c:pt>
                <c:pt idx="2">
                  <c:v>8933820</c:v>
                </c:pt>
                <c:pt idx="3">
                  <c:v>6727246</c:v>
                </c:pt>
                <c:pt idx="4">
                  <c:v>6244149</c:v>
                </c:pt>
                <c:pt idx="5">
                  <c:v>4779792</c:v>
                </c:pt>
                <c:pt idx="6">
                  <c:v>5773545</c:v>
                </c:pt>
                <c:pt idx="7">
                  <c:v>5686179</c:v>
                </c:pt>
                <c:pt idx="8">
                  <c:v>3807874</c:v>
                </c:pt>
                <c:pt idx="9">
                  <c:v>4416838</c:v>
                </c:pt>
                <c:pt idx="10">
                  <c:v>3998840</c:v>
                </c:pt>
                <c:pt idx="11">
                  <c:v>3942419</c:v>
                </c:pt>
                <c:pt idx="12">
                  <c:v>3510506</c:v>
                </c:pt>
                <c:pt idx="13">
                  <c:v>5014773</c:v>
                </c:pt>
                <c:pt idx="14">
                  <c:v>4219997</c:v>
                </c:pt>
                <c:pt idx="15">
                  <c:v>2423170</c:v>
                </c:pt>
                <c:pt idx="16">
                  <c:v>2615784</c:v>
                </c:pt>
                <c:pt idx="17">
                  <c:v>1</c:v>
                </c:pt>
                <c:pt idx="18">
                  <c:v>3583196</c:v>
                </c:pt>
                <c:pt idx="19">
                  <c:v>2671168</c:v>
                </c:pt>
                <c:pt idx="20">
                  <c:v>22457063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83-470F-848A-1660DC9B4ACE}"/>
            </c:ext>
          </c:extLst>
        </c:ser>
        <c:ser>
          <c:idx val="3"/>
          <c:order val="3"/>
          <c:tx>
            <c:strRef>
              <c:f>'EMP_EX_DE PERU'!$P$2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'EMP_EX_DE PERU'!$L$3:$L$23</c:f>
              <c:strCache>
                <c:ptCount val="21"/>
                <c:pt idx="0">
                  <c:v>ALISUR S.A.C.</c:v>
                </c:pt>
                <c:pt idx="1">
                  <c:v>COLOREXA SOCIEDAD ANONIMA CERRADA</c:v>
                </c:pt>
                <c:pt idx="2">
                  <c:v>AGRONEGOCIOS WIRACCOCHA DEL PERÚ S.A.C.</c:v>
                </c:pt>
                <c:pt idx="3">
                  <c:v>GLOBENATURAL INTERNACIONAL S.A.</c:v>
                </c:pt>
                <c:pt idx="4">
                  <c:v>OLAM ANDINA PERU S.A.C.</c:v>
                </c:pt>
                <c:pt idx="5">
                  <c:v>AGRO FERGI S.A.C.</c:v>
                </c:pt>
                <c:pt idx="6">
                  <c:v>APLEX TRADING S.A.C.</c:v>
                </c:pt>
                <c:pt idx="7">
                  <c:v>INTERLOOM S.A.C.</c:v>
                </c:pt>
                <c:pt idx="8">
                  <c:v>VINCULOS AGRICOLAS S.A.C.</c:v>
                </c:pt>
                <c:pt idx="9">
                  <c:v>NATURKOST PERU S.A.C.</c:v>
                </c:pt>
                <c:pt idx="10">
                  <c:v>ANDES ALIMENTOS &amp; BEBIDAS S.A.C.</c:v>
                </c:pt>
                <c:pt idx="11">
                  <c:v>VILLA ANDINA</c:v>
                </c:pt>
                <c:pt idx="12">
                  <c:v>AVENDAñO TRADING COMPANY SAC</c:v>
                </c:pt>
                <c:pt idx="13">
                  <c:v>OLAM AGRO PERÚ S.A.C.</c:v>
                </c:pt>
                <c:pt idx="14">
                  <c:v>PRODUCTOS ORGANICOS DE LOS ANDES S.A.</c:v>
                </c:pt>
                <c:pt idx="15">
                  <c:v>AGRITRADE S.A.C.</c:v>
                </c:pt>
                <c:pt idx="16">
                  <c:v>INTERAMSA  AGROINDUSTRIAL S.A.C.</c:v>
                </c:pt>
                <c:pt idx="17">
                  <c:v>OLAM GLOBAL AGRI PERU S.A.C.</c:v>
                </c:pt>
                <c:pt idx="18">
                  <c:v>XPODEKA S.A.C.</c:v>
                </c:pt>
                <c:pt idx="19">
                  <c:v>AGROFINO FOODS S.A.C.</c:v>
                </c:pt>
                <c:pt idx="20">
                  <c:v>OTROS</c:v>
                </c:pt>
              </c:strCache>
            </c:strRef>
          </c:cat>
          <c:val>
            <c:numRef>
              <c:f>'EMP_EX_DE PERU'!$P$3:$P$23</c:f>
              <c:numCache>
                <c:formatCode>General</c:formatCode>
                <c:ptCount val="21"/>
                <c:pt idx="0">
                  <c:v>12856066.799999997</c:v>
                </c:pt>
                <c:pt idx="1">
                  <c:v>8910892.3200000059</c:v>
                </c:pt>
                <c:pt idx="2">
                  <c:v>6446444.4899999993</c:v>
                </c:pt>
                <c:pt idx="3">
                  <c:v>5905731.8500000006</c:v>
                </c:pt>
                <c:pt idx="4">
                  <c:v>0</c:v>
                </c:pt>
                <c:pt idx="5">
                  <c:v>4006393.7900000014</c:v>
                </c:pt>
                <c:pt idx="6">
                  <c:v>5823399.4199999999</c:v>
                </c:pt>
                <c:pt idx="7">
                  <c:v>4422672.0299999993</c:v>
                </c:pt>
                <c:pt idx="8">
                  <c:v>3646430.3200000003</c:v>
                </c:pt>
                <c:pt idx="9">
                  <c:v>3974225.4399999995</c:v>
                </c:pt>
                <c:pt idx="10">
                  <c:v>3101266.6900000009</c:v>
                </c:pt>
                <c:pt idx="11">
                  <c:v>3565754.9299999997</c:v>
                </c:pt>
                <c:pt idx="12">
                  <c:v>2930129.6099999994</c:v>
                </c:pt>
                <c:pt idx="13">
                  <c:v>8214534.9700000007</c:v>
                </c:pt>
                <c:pt idx="14">
                  <c:v>2264205.04</c:v>
                </c:pt>
                <c:pt idx="15">
                  <c:v>2484198.7399999998</c:v>
                </c:pt>
                <c:pt idx="16">
                  <c:v>2082571.46</c:v>
                </c:pt>
                <c:pt idx="17">
                  <c:v>3516219.2</c:v>
                </c:pt>
                <c:pt idx="18">
                  <c:v>2728013.43</c:v>
                </c:pt>
                <c:pt idx="19">
                  <c:v>2376363.3200000003</c:v>
                </c:pt>
                <c:pt idx="20">
                  <c:v>16743745.480000006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83-470F-848A-1660DC9B4ACE}"/>
            </c:ext>
          </c:extLst>
        </c:ser>
        <c:ser>
          <c:idx val="4"/>
          <c:order val="4"/>
          <c:tx>
            <c:strRef>
              <c:f>'EMP_EX_DE PERU'!$Q$2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'EMP_EX_DE PERU'!$L$3:$L$23</c:f>
              <c:strCache>
                <c:ptCount val="21"/>
                <c:pt idx="0">
                  <c:v>ALISUR S.A.C.</c:v>
                </c:pt>
                <c:pt idx="1">
                  <c:v>COLOREXA SOCIEDAD ANONIMA CERRADA</c:v>
                </c:pt>
                <c:pt idx="2">
                  <c:v>AGRONEGOCIOS WIRACCOCHA DEL PERÚ S.A.C.</c:v>
                </c:pt>
                <c:pt idx="3">
                  <c:v>GLOBENATURAL INTERNACIONAL S.A.</c:v>
                </c:pt>
                <c:pt idx="4">
                  <c:v>OLAM ANDINA PERU S.A.C.</c:v>
                </c:pt>
                <c:pt idx="5">
                  <c:v>AGRO FERGI S.A.C.</c:v>
                </c:pt>
                <c:pt idx="6">
                  <c:v>APLEX TRADING S.A.C.</c:v>
                </c:pt>
                <c:pt idx="7">
                  <c:v>INTERLOOM S.A.C.</c:v>
                </c:pt>
                <c:pt idx="8">
                  <c:v>VINCULOS AGRICOLAS S.A.C.</c:v>
                </c:pt>
                <c:pt idx="9">
                  <c:v>NATURKOST PERU S.A.C.</c:v>
                </c:pt>
                <c:pt idx="10">
                  <c:v>ANDES ALIMENTOS &amp; BEBIDAS S.A.C.</c:v>
                </c:pt>
                <c:pt idx="11">
                  <c:v>VILLA ANDINA</c:v>
                </c:pt>
                <c:pt idx="12">
                  <c:v>AVENDAñO TRADING COMPANY SAC</c:v>
                </c:pt>
                <c:pt idx="13">
                  <c:v>OLAM AGRO PERÚ S.A.C.</c:v>
                </c:pt>
                <c:pt idx="14">
                  <c:v>PRODUCTOS ORGANICOS DE LOS ANDES S.A.</c:v>
                </c:pt>
                <c:pt idx="15">
                  <c:v>AGRITRADE S.A.C.</c:v>
                </c:pt>
                <c:pt idx="16">
                  <c:v>INTERAMSA  AGROINDUSTRIAL S.A.C.</c:v>
                </c:pt>
                <c:pt idx="17">
                  <c:v>OLAM GLOBAL AGRI PERU S.A.C.</c:v>
                </c:pt>
                <c:pt idx="18">
                  <c:v>XPODEKA S.A.C.</c:v>
                </c:pt>
                <c:pt idx="19">
                  <c:v>AGROFINO FOODS S.A.C.</c:v>
                </c:pt>
                <c:pt idx="20">
                  <c:v>OTROS</c:v>
                </c:pt>
              </c:strCache>
            </c:strRef>
          </c:cat>
          <c:val>
            <c:numRef>
              <c:f>'EMP_EX_DE PERU'!$Q$3:$Q$23</c:f>
              <c:numCache>
                <c:formatCode>General</c:formatCode>
                <c:ptCount val="21"/>
                <c:pt idx="0">
                  <c:v>12246459.129999992</c:v>
                </c:pt>
                <c:pt idx="1">
                  <c:v>7968733.8300000001</c:v>
                </c:pt>
                <c:pt idx="2">
                  <c:v>3984831.5300000003</c:v>
                </c:pt>
                <c:pt idx="3">
                  <c:v>4258944.7899999991</c:v>
                </c:pt>
                <c:pt idx="4">
                  <c:v>0</c:v>
                </c:pt>
                <c:pt idx="5">
                  <c:v>3954101.3699999996</c:v>
                </c:pt>
                <c:pt idx="6">
                  <c:v>3428857.67</c:v>
                </c:pt>
                <c:pt idx="7">
                  <c:v>3225574.0600000015</c:v>
                </c:pt>
                <c:pt idx="8">
                  <c:v>2896193.2800000012</c:v>
                </c:pt>
                <c:pt idx="9">
                  <c:v>2791169.73</c:v>
                </c:pt>
                <c:pt idx="10">
                  <c:v>3106207.3200000003</c:v>
                </c:pt>
                <c:pt idx="11">
                  <c:v>1025004.3899999999</c:v>
                </c:pt>
                <c:pt idx="12">
                  <c:v>2359066.1199999992</c:v>
                </c:pt>
                <c:pt idx="13">
                  <c:v>1</c:v>
                </c:pt>
                <c:pt idx="14">
                  <c:v>1449629.2600000002</c:v>
                </c:pt>
                <c:pt idx="15">
                  <c:v>2127981.54</c:v>
                </c:pt>
                <c:pt idx="16">
                  <c:v>1542254.7199999997</c:v>
                </c:pt>
                <c:pt idx="17">
                  <c:v>9294082.1000000015</c:v>
                </c:pt>
                <c:pt idx="18">
                  <c:v>4554320.5999999996</c:v>
                </c:pt>
                <c:pt idx="19">
                  <c:v>2929306.9000000004</c:v>
                </c:pt>
                <c:pt idx="20">
                  <c:v>17363399.750000004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83-470F-848A-1660DC9B4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7076431"/>
        <c:axId val="2097077263"/>
      </c:barChart>
      <c:catAx>
        <c:axId val="209707643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97077263"/>
        <c:crosses val="autoZero"/>
        <c:auto val="1"/>
        <c:lblAlgn val="ctr"/>
        <c:lblOffset val="100"/>
        <c:noMultiLvlLbl val="0"/>
      </c:catAx>
      <c:valAx>
        <c:axId val="209707726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9707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B050"/>
                </a:solidFill>
              </a:rPr>
              <a:t>PRODUCCION DE QUINUA DE ESTADOS UNIDOS  </a:t>
            </a:r>
          </a:p>
        </c:rich>
      </c:tx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PRODUCCION_EE.UU!$K$3</c:f>
              <c:strCache>
                <c:ptCount val="1"/>
                <c:pt idx="0">
                  <c:v>QUINUA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PRODUCCION_EE.UU!$L$2:$O$2</c:f>
              <c:numCache>
                <c:formatCode>General</c:formatCode>
                <c:ptCount val="4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</c:numCache>
            </c:numRef>
          </c:cat>
          <c:val>
            <c:numRef>
              <c:f>PRODUCCION_EE.UU!$L$3:$O$3</c:f>
              <c:numCache>
                <c:formatCode>General</c:formatCode>
                <c:ptCount val="4"/>
                <c:pt idx="0">
                  <c:v>169284</c:v>
                </c:pt>
                <c:pt idx="1">
                  <c:v>190628</c:v>
                </c:pt>
                <c:pt idx="2">
                  <c:v>202765</c:v>
                </c:pt>
                <c:pt idx="3">
                  <c:v>147840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C-4B0D-9310-61EBF7F02DA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81636751"/>
        <c:axId val="681627183"/>
      </c:lineChart>
      <c:catAx>
        <c:axId val="68163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81627183"/>
        <c:crosses val="autoZero"/>
        <c:auto val="1"/>
        <c:lblAlgn val="ctr"/>
        <c:lblOffset val="100"/>
        <c:noMultiLvlLbl val="0"/>
      </c:catAx>
      <c:valAx>
        <c:axId val="68162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8163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3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cap="all" spc="12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lt1">
            <a:lumMod val="85000"/>
          </a:schemeClr>
        </a:solidFill>
      </a:ln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spPr>
      <a:ln w="6350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504825</xdr:colOff>
      <xdr:row>11</xdr:row>
      <xdr:rowOff>42862</xdr:rowOff>
    </xdr:from>
    <xdr:to>
      <xdr:col>17</xdr:col>
      <xdr:colOff>676275</xdr:colOff>
      <xdr:row>25</xdr:row>
      <xdr:rowOff>119062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E0788AC-0543-4369-BD1C-9EA483D3C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495300</xdr:colOff>
      <xdr:row>6</xdr:row>
      <xdr:rowOff>147637</xdr:rowOff>
    </xdr:from>
    <xdr:to>
      <xdr:col>22</xdr:col>
      <xdr:colOff>457200</xdr:colOff>
      <xdr:row>21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A6D5443-C99F-4CDF-AEE4-D47D47C3D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723900</xdr:colOff>
      <xdr:row>9</xdr:row>
      <xdr:rowOff>33337</xdr:rowOff>
    </xdr:from>
    <xdr:to>
      <xdr:col>17</xdr:col>
      <xdr:colOff>685800</xdr:colOff>
      <xdr:row>23</xdr:row>
      <xdr:rowOff>109537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BB5AC4F-D859-4AC6-8EBB-0C789C6B9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523875</xdr:colOff>
      <xdr:row>13</xdr:row>
      <xdr:rowOff>119060</xdr:rowOff>
    </xdr:from>
    <xdr:to>
      <xdr:col>19</xdr:col>
      <xdr:colOff>38100</xdr:colOff>
      <xdr:row>38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76ED384-6D46-4474-B6A9-C691FC2CBB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685799</xdr:colOff>
      <xdr:row>9</xdr:row>
      <xdr:rowOff>14287</xdr:rowOff>
    </xdr:from>
    <xdr:to>
      <xdr:col>18</xdr:col>
      <xdr:colOff>152400</xdr:colOff>
      <xdr:row>24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80E1D6-92CC-4488-A03A-76E26217E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733425</xdr:colOff>
      <xdr:row>8</xdr:row>
      <xdr:rowOff>166687</xdr:rowOff>
    </xdr:from>
    <xdr:to>
      <xdr:col>17</xdr:col>
      <xdr:colOff>676275</xdr:colOff>
      <xdr:row>22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C8BD59-2E8F-4A5E-9E8B-7922D2110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752474</xdr:colOff>
      <xdr:row>9</xdr:row>
      <xdr:rowOff>33336</xdr:rowOff>
    </xdr:from>
    <xdr:to>
      <xdr:col>18</xdr:col>
      <xdr:colOff>552449</xdr:colOff>
      <xdr:row>25</xdr:row>
      <xdr:rowOff>142874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6AA6D1-33A9-4A5A-8EE9-F66694902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520065</xdr:colOff>
      <xdr:row>9</xdr:row>
      <xdr:rowOff>115252</xdr:rowOff>
    </xdr:from>
    <xdr:to>
      <xdr:col>19</xdr:col>
      <xdr:colOff>432435</xdr:colOff>
      <xdr:row>23</xdr:row>
      <xdr:rowOff>86677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D6F66E-F1D6-4B62-873A-B890C4248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742949</xdr:colOff>
      <xdr:row>6</xdr:row>
      <xdr:rowOff>4762</xdr:rowOff>
    </xdr:from>
    <xdr:to>
      <xdr:col>30</xdr:col>
      <xdr:colOff>180975</xdr:colOff>
      <xdr:row>15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CF03BC-D3D8-4A5D-95FA-0D1CC22DB5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114299</xdr:colOff>
      <xdr:row>5</xdr:row>
      <xdr:rowOff>100011</xdr:rowOff>
    </xdr:from>
    <xdr:to>
      <xdr:col>27</xdr:col>
      <xdr:colOff>304800</xdr:colOff>
      <xdr:row>21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A368A76-8DF4-45A2-9504-8F89FE2FF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638174</xdr:colOff>
      <xdr:row>6</xdr:row>
      <xdr:rowOff>4762</xdr:rowOff>
    </xdr:from>
    <xdr:to>
      <xdr:col>17</xdr:col>
      <xdr:colOff>457199</xdr:colOff>
      <xdr:row>19</xdr:row>
      <xdr:rowOff>42862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57389B-3DE5-48C4-8AE5-BCD1114D9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723900</xdr:colOff>
      <xdr:row>3</xdr:row>
      <xdr:rowOff>109536</xdr:rowOff>
    </xdr:from>
    <xdr:to>
      <xdr:col>26</xdr:col>
      <xdr:colOff>695326</xdr:colOff>
      <xdr:row>21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BD95E7-A326-4113-8F4D-845385354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628650</xdr:colOff>
      <xdr:row>12</xdr:row>
      <xdr:rowOff>80961</xdr:rowOff>
    </xdr:from>
    <xdr:to>
      <xdr:col>16</xdr:col>
      <xdr:colOff>152400</xdr:colOff>
      <xdr:row>32</xdr:row>
      <xdr:rowOff>47624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62B6BD-89DC-4286-B2F3-0776122A7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85725</xdr:colOff>
      <xdr:row>3</xdr:row>
      <xdr:rowOff>9524</xdr:rowOff>
    </xdr:from>
    <xdr:to>
      <xdr:col>14</xdr:col>
      <xdr:colOff>0</xdr:colOff>
      <xdr:row>5</xdr:row>
      <xdr:rowOff>47625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8E16E22-508B-4582-89C4-BD352D2E3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0850" y="800099"/>
          <a:ext cx="2381250" cy="41910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847725</xdr:colOff>
      <xdr:row>23</xdr:row>
      <xdr:rowOff>176212</xdr:rowOff>
    </xdr:from>
    <xdr:to>
      <xdr:col>18</xdr:col>
      <xdr:colOff>114300</xdr:colOff>
      <xdr:row>48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D001A0C-6B2A-4C7C-923B-0BA67E019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142874</xdr:colOff>
      <xdr:row>4</xdr:row>
      <xdr:rowOff>61912</xdr:rowOff>
    </xdr:from>
    <xdr:to>
      <xdr:col>10</xdr:col>
      <xdr:colOff>76199</xdr:colOff>
      <xdr:row>18</xdr:row>
      <xdr:rowOff>138112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9378448-5D60-4743-B0E2-13C79AD05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NTEL\Downloads\Trade_Map_-_Lista_de_los_mercados_proveedores_para_un_producto_importado_por_Estados_Unidos_de_Am&#233;rica%20(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de_Map_-_Lista_de_los_mercad"/>
    </sheetNames>
    <sheetDataSet>
      <sheetData sheetId="0">
        <row r="1">
          <cell r="O1">
            <v>2012</v>
          </cell>
          <cell r="P1">
            <v>2013</v>
          </cell>
          <cell r="Q1">
            <v>2014</v>
          </cell>
          <cell r="R1">
            <v>2015</v>
          </cell>
          <cell r="S1">
            <v>2016</v>
          </cell>
          <cell r="T1">
            <v>2017</v>
          </cell>
          <cell r="U1">
            <v>2018</v>
          </cell>
          <cell r="V1">
            <v>2019</v>
          </cell>
          <cell r="W1">
            <v>2020</v>
          </cell>
          <cell r="X1">
            <v>2021</v>
          </cell>
          <cell r="Y1">
            <v>2022</v>
          </cell>
        </row>
        <row r="2">
          <cell r="N2" t="str">
            <v>Mundo</v>
          </cell>
          <cell r="O2">
            <v>41741</v>
          </cell>
          <cell r="P2">
            <v>93254</v>
          </cell>
          <cell r="Q2">
            <v>159180</v>
          </cell>
          <cell r="R2">
            <v>114505</v>
          </cell>
          <cell r="S2">
            <v>89928</v>
          </cell>
          <cell r="T2">
            <v>86787</v>
          </cell>
          <cell r="U2">
            <v>87638</v>
          </cell>
          <cell r="V2">
            <v>93454</v>
          </cell>
          <cell r="W2">
            <v>101167</v>
          </cell>
          <cell r="X2">
            <v>68774</v>
          </cell>
          <cell r="Y2">
            <v>74887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E8902-27F5-4EEF-8023-03E9B0996061}">
  <dimension ref="B1:H9"/>
  <sheetViews>
    <sheetView workbookViewId="0">
      <selection activeCell="C14" sqref="C14"/>
    </sheetView>
  </sheetViews>
  <sheetFormatPr baseColWidth="10" defaultRowHeight="14.4"/>
  <cols>
    <col min="2" max="2" width="35.6640625" customWidth="1"/>
  </cols>
  <sheetData>
    <row r="1" spans="2:8" ht="18.75" customHeight="1">
      <c r="B1" s="78" t="s">
        <v>228</v>
      </c>
      <c r="C1" s="78">
        <v>2017</v>
      </c>
      <c r="D1" s="78">
        <v>2018</v>
      </c>
      <c r="E1" s="78">
        <v>2019</v>
      </c>
      <c r="F1" s="78">
        <v>2020</v>
      </c>
      <c r="G1" s="78">
        <v>2021</v>
      </c>
      <c r="H1" s="78">
        <v>2022</v>
      </c>
    </row>
    <row r="2" spans="2:8" ht="18.75" customHeight="1">
      <c r="B2" s="79" t="s">
        <v>229</v>
      </c>
      <c r="C2" s="80">
        <v>2.2000000000000002</v>
      </c>
      <c r="D2" s="80">
        <v>2.9</v>
      </c>
      <c r="E2" s="80">
        <v>2.2999999999999998</v>
      </c>
      <c r="F2" s="80">
        <v>-2.8</v>
      </c>
      <c r="G2" s="80">
        <v>5.9</v>
      </c>
      <c r="H2" s="80">
        <v>2.1</v>
      </c>
    </row>
    <row r="3" spans="2:8" ht="18.75" customHeight="1">
      <c r="B3" s="79" t="s">
        <v>230</v>
      </c>
      <c r="C3" s="80">
        <v>2.1</v>
      </c>
      <c r="D3" s="80">
        <v>2.4</v>
      </c>
      <c r="E3" s="80">
        <v>1.8</v>
      </c>
      <c r="F3" s="80">
        <v>1.2</v>
      </c>
      <c r="G3" s="80">
        <v>4.7</v>
      </c>
      <c r="H3" s="80">
        <v>8</v>
      </c>
    </row>
    <row r="4" spans="2:8" ht="18.75" customHeight="1">
      <c r="B4" s="79" t="s">
        <v>231</v>
      </c>
      <c r="C4" s="80">
        <v>4.4000000000000004</v>
      </c>
      <c r="D4" s="80">
        <v>3.9</v>
      </c>
      <c r="E4" s="80">
        <v>3.7</v>
      </c>
      <c r="F4" s="80">
        <v>8.1</v>
      </c>
      <c r="G4" s="80">
        <v>5.3</v>
      </c>
      <c r="H4" s="80">
        <v>3.6</v>
      </c>
    </row>
    <row r="5" spans="2:8" ht="18.75" customHeight="1">
      <c r="B5" s="79" t="s">
        <v>232</v>
      </c>
      <c r="C5" s="80">
        <v>0.6</v>
      </c>
      <c r="D5" s="80">
        <v>0.5</v>
      </c>
      <c r="E5" s="80">
        <v>0.5</v>
      </c>
      <c r="F5" s="80">
        <v>1</v>
      </c>
      <c r="G5" s="80">
        <v>0.1</v>
      </c>
      <c r="H5" s="80">
        <v>0.4</v>
      </c>
    </row>
    <row r="6" spans="2:8" ht="18.75" customHeight="1">
      <c r="B6" s="79" t="s">
        <v>233</v>
      </c>
      <c r="C6" s="80" t="s">
        <v>234</v>
      </c>
      <c r="D6" s="80" t="s">
        <v>235</v>
      </c>
      <c r="E6" s="80" t="s">
        <v>236</v>
      </c>
      <c r="F6" s="80" t="s">
        <v>237</v>
      </c>
      <c r="G6" s="80" t="s">
        <v>238</v>
      </c>
      <c r="H6" s="80" t="s">
        <v>239</v>
      </c>
    </row>
    <row r="7" spans="2:8" ht="18.75" customHeight="1">
      <c r="B7" s="79" t="s">
        <v>240</v>
      </c>
      <c r="C7" s="80" t="s">
        <v>234</v>
      </c>
      <c r="D7" s="80" t="s">
        <v>241</v>
      </c>
      <c r="E7" s="80" t="s">
        <v>242</v>
      </c>
      <c r="F7" s="80" t="s">
        <v>243</v>
      </c>
      <c r="G7" s="80" t="s">
        <v>244</v>
      </c>
      <c r="H7" s="80" t="s">
        <v>245</v>
      </c>
    </row>
    <row r="8" spans="2:8" ht="18.75" customHeight="1">
      <c r="B8" s="79" t="s">
        <v>246</v>
      </c>
      <c r="C8" s="80">
        <v>325.12</v>
      </c>
      <c r="D8" s="80">
        <v>326.8</v>
      </c>
      <c r="E8" s="80">
        <v>328.3</v>
      </c>
      <c r="F8" s="80">
        <v>331.5</v>
      </c>
      <c r="G8" s="80">
        <v>331.8</v>
      </c>
      <c r="H8" s="80">
        <v>333.3</v>
      </c>
    </row>
    <row r="9" spans="2:8" ht="18.75" customHeight="1">
      <c r="B9" s="79" t="s">
        <v>247</v>
      </c>
      <c r="C9" s="81">
        <v>59907.8</v>
      </c>
      <c r="D9" s="81">
        <v>62823.3</v>
      </c>
      <c r="E9" s="81">
        <v>65120.5</v>
      </c>
      <c r="F9" s="81">
        <v>63530.6</v>
      </c>
      <c r="G9" s="81">
        <v>70248.600000000006</v>
      </c>
      <c r="H9" s="82">
        <v>72710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BA287-EB77-45EA-A9BA-804D7B40F4BA}">
  <dimension ref="B2:P31"/>
  <sheetViews>
    <sheetView workbookViewId="0">
      <selection activeCell="D16" sqref="D16"/>
    </sheetView>
  </sheetViews>
  <sheetFormatPr baseColWidth="10" defaultRowHeight="14.4"/>
  <cols>
    <col min="2" max="2" width="6.88671875" customWidth="1"/>
    <col min="3" max="3" width="12.33203125" customWidth="1"/>
    <col min="4" max="6" width="9.44140625" customWidth="1"/>
    <col min="7" max="7" width="9.33203125" customWidth="1"/>
    <col min="8" max="10" width="6.88671875" customWidth="1"/>
  </cols>
  <sheetData>
    <row r="2" spans="2:16">
      <c r="C2" s="88"/>
      <c r="D2" s="91"/>
      <c r="E2" s="92"/>
      <c r="F2" s="92"/>
      <c r="G2" s="92"/>
    </row>
    <row r="3" spans="2:16" ht="24" customHeight="1">
      <c r="B3" s="42" t="s">
        <v>206</v>
      </c>
      <c r="C3" s="94" t="s">
        <v>98</v>
      </c>
      <c r="D3" s="94">
        <v>2019</v>
      </c>
      <c r="E3" s="94">
        <v>2020</v>
      </c>
      <c r="F3" s="94">
        <v>2021</v>
      </c>
      <c r="G3" s="158">
        <v>2022</v>
      </c>
      <c r="H3" s="161" t="s">
        <v>90</v>
      </c>
      <c r="I3" s="161" t="s">
        <v>208</v>
      </c>
      <c r="J3" s="161" t="s">
        <v>209</v>
      </c>
      <c r="L3" s="94"/>
      <c r="M3" s="94">
        <v>2019</v>
      </c>
      <c r="N3" s="94">
        <v>2020</v>
      </c>
      <c r="O3" s="94">
        <v>2021</v>
      </c>
      <c r="P3" s="94">
        <v>2022</v>
      </c>
    </row>
    <row r="4" spans="2:16" ht="17.25" customHeight="1">
      <c r="B4" s="6"/>
      <c r="C4" s="95" t="s">
        <v>89</v>
      </c>
      <c r="D4" s="96">
        <v>89413.593999999983</v>
      </c>
      <c r="E4" s="96">
        <v>100207.035</v>
      </c>
      <c r="F4" s="96">
        <v>106761.837</v>
      </c>
      <c r="G4" s="159">
        <v>113376.48399999998</v>
      </c>
      <c r="H4" s="162">
        <f t="shared" ref="H4:H31" si="0">G4/$G$4</f>
        <v>1</v>
      </c>
      <c r="I4" s="162">
        <f>(G4/F4)-1</f>
        <v>6.1957036201990334E-2</v>
      </c>
      <c r="J4" s="162">
        <f>((G4/D4)^(1/4))-1</f>
        <v>6.1157525190912887E-2</v>
      </c>
      <c r="L4" s="6" t="s">
        <v>128</v>
      </c>
      <c r="M4" s="6">
        <v>39539.368999999992</v>
      </c>
      <c r="N4" s="6">
        <v>39618.129999999997</v>
      </c>
      <c r="O4" s="6">
        <v>41336.708999999995</v>
      </c>
      <c r="P4" s="6">
        <v>45188</v>
      </c>
    </row>
    <row r="5" spans="2:16">
      <c r="B5" s="97">
        <v>1</v>
      </c>
      <c r="C5" s="98" t="s">
        <v>128</v>
      </c>
      <c r="D5" s="96">
        <v>39539.368999999992</v>
      </c>
      <c r="E5" s="96">
        <v>39618.129999999997</v>
      </c>
      <c r="F5" s="96">
        <v>41336.708999999995</v>
      </c>
      <c r="G5" s="159">
        <v>45188</v>
      </c>
      <c r="H5" s="163">
        <f t="shared" si="0"/>
        <v>0.39856589661044706</v>
      </c>
      <c r="I5" s="163">
        <f t="shared" ref="I5:I31" si="1">(G5/F5)-1</f>
        <v>9.3168786126636371E-2</v>
      </c>
      <c r="J5" s="163">
        <f t="shared" ref="J5:J31" si="2">((G5/D5)^(1/4))-1</f>
        <v>3.3947164318992362E-2</v>
      </c>
      <c r="L5" s="6" t="s">
        <v>116</v>
      </c>
      <c r="M5" s="6">
        <v>15832</v>
      </c>
      <c r="N5" s="6">
        <v>23449</v>
      </c>
      <c r="O5" s="6">
        <v>22432</v>
      </c>
      <c r="P5" s="6">
        <v>27147</v>
      </c>
    </row>
    <row r="6" spans="2:16">
      <c r="B6" s="97">
        <v>2</v>
      </c>
      <c r="C6" s="98" t="s">
        <v>116</v>
      </c>
      <c r="D6" s="96">
        <v>15832</v>
      </c>
      <c r="E6" s="96">
        <v>23449</v>
      </c>
      <c r="F6" s="96">
        <v>22432</v>
      </c>
      <c r="G6" s="159">
        <v>27147</v>
      </c>
      <c r="H6" s="162">
        <f t="shared" si="0"/>
        <v>0.23944118782162979</v>
      </c>
      <c r="I6" s="162">
        <f t="shared" si="1"/>
        <v>0.21019079885877323</v>
      </c>
      <c r="J6" s="162">
        <f t="shared" si="2"/>
        <v>0.14431743622406734</v>
      </c>
      <c r="L6" s="6" t="s">
        <v>114</v>
      </c>
      <c r="M6" s="6">
        <v>11307.95</v>
      </c>
      <c r="N6" s="6">
        <v>11887.939999999999</v>
      </c>
      <c r="O6" s="6">
        <v>10857.05</v>
      </c>
      <c r="P6" s="6">
        <v>12824.989999999998</v>
      </c>
    </row>
    <row r="7" spans="2:16">
      <c r="B7" s="97">
        <v>3</v>
      </c>
      <c r="C7" s="98" t="s">
        <v>114</v>
      </c>
      <c r="D7" s="96">
        <v>11307.95</v>
      </c>
      <c r="E7" s="96">
        <v>11887.939999999999</v>
      </c>
      <c r="F7" s="96">
        <v>10857.05</v>
      </c>
      <c r="G7" s="159">
        <v>12824.989999999998</v>
      </c>
      <c r="H7" s="163">
        <f t="shared" si="0"/>
        <v>0.11311860755886556</v>
      </c>
      <c r="I7" s="163">
        <f t="shared" si="1"/>
        <v>0.18125918182194978</v>
      </c>
      <c r="J7" s="163">
        <f t="shared" si="2"/>
        <v>3.1972890985104918E-2</v>
      </c>
      <c r="L7" s="6" t="s">
        <v>118</v>
      </c>
      <c r="M7" s="6">
        <v>4218</v>
      </c>
      <c r="N7" s="6">
        <v>6767.2000000000007</v>
      </c>
      <c r="O7" s="6">
        <v>13019.5</v>
      </c>
      <c r="P7" s="6">
        <v>10312.950000000001</v>
      </c>
    </row>
    <row r="8" spans="2:16">
      <c r="B8" s="97">
        <v>4</v>
      </c>
      <c r="C8" s="98" t="s">
        <v>118</v>
      </c>
      <c r="D8" s="96">
        <v>4218</v>
      </c>
      <c r="E8" s="96">
        <v>6767.2000000000007</v>
      </c>
      <c r="F8" s="96">
        <v>13019.5</v>
      </c>
      <c r="G8" s="159">
        <v>10312.950000000001</v>
      </c>
      <c r="H8" s="162">
        <f t="shared" si="0"/>
        <v>9.0961984673999963E-2</v>
      </c>
      <c r="I8" s="162">
        <f t="shared" si="1"/>
        <v>-0.20788432735512108</v>
      </c>
      <c r="J8" s="162">
        <f t="shared" si="2"/>
        <v>0.25045792753325014</v>
      </c>
      <c r="L8" s="6" t="s">
        <v>122</v>
      </c>
      <c r="M8" s="6">
        <v>3469.5690000000013</v>
      </c>
      <c r="N8" s="6">
        <v>4233.3</v>
      </c>
      <c r="O8" s="6">
        <v>5442.1499999999987</v>
      </c>
      <c r="P8" s="6">
        <v>6196.1999999999989</v>
      </c>
    </row>
    <row r="9" spans="2:16">
      <c r="B9" s="97">
        <v>5</v>
      </c>
      <c r="C9" s="98" t="s">
        <v>122</v>
      </c>
      <c r="D9" s="96">
        <v>3469.5690000000013</v>
      </c>
      <c r="E9" s="96">
        <v>4233.3</v>
      </c>
      <c r="F9" s="96">
        <v>5442.1499999999987</v>
      </c>
      <c r="G9" s="159">
        <v>6196.1999999999989</v>
      </c>
      <c r="H9" s="163">
        <f t="shared" si="0"/>
        <v>5.4651544847695223E-2</v>
      </c>
      <c r="I9" s="163">
        <f t="shared" si="1"/>
        <v>0.13855737162702253</v>
      </c>
      <c r="J9" s="163">
        <f t="shared" si="2"/>
        <v>0.15601235226439814</v>
      </c>
      <c r="L9" t="s">
        <v>203</v>
      </c>
      <c r="M9">
        <v>15046.706000000002</v>
      </c>
      <c r="N9">
        <v>14251.464999999998</v>
      </c>
      <c r="O9">
        <v>13674.428000000002</v>
      </c>
      <c r="P9">
        <v>11707.344000000001</v>
      </c>
    </row>
    <row r="10" spans="2:16">
      <c r="B10" s="97"/>
      <c r="C10" s="99" t="s">
        <v>203</v>
      </c>
      <c r="D10" s="96">
        <f>SUM(D11:D31)</f>
        <v>15046.706000000002</v>
      </c>
      <c r="E10" s="96">
        <f t="shared" ref="E10:G10" si="3">SUM(E11:E31)</f>
        <v>14251.464999999998</v>
      </c>
      <c r="F10" s="96">
        <f t="shared" si="3"/>
        <v>13674.428000000002</v>
      </c>
      <c r="G10" s="159">
        <f t="shared" si="3"/>
        <v>11707.344000000001</v>
      </c>
      <c r="H10" s="162">
        <f t="shared" si="0"/>
        <v>0.10326077848736254</v>
      </c>
      <c r="I10" s="162">
        <f t="shared" si="1"/>
        <v>-0.14385128211578579</v>
      </c>
      <c r="J10" s="162">
        <f t="shared" si="2"/>
        <v>-6.080832127024316E-2</v>
      </c>
    </row>
    <row r="11" spans="2:16">
      <c r="B11" s="97">
        <v>6</v>
      </c>
      <c r="C11" s="98" t="s">
        <v>115</v>
      </c>
      <c r="D11" s="96">
        <v>8460.7669999999998</v>
      </c>
      <c r="E11" s="96">
        <v>8643.5869999999995</v>
      </c>
      <c r="F11" s="96">
        <v>7254.2750000000015</v>
      </c>
      <c r="G11" s="96">
        <v>5527.2760000000007</v>
      </c>
      <c r="H11" s="160">
        <f t="shared" si="0"/>
        <v>4.875152064161737E-2</v>
      </c>
      <c r="I11" s="160">
        <f t="shared" si="1"/>
        <v>-0.23806638154743243</v>
      </c>
      <c r="J11" s="160">
        <f t="shared" si="2"/>
        <v>-0.1009675781324938</v>
      </c>
    </row>
    <row r="12" spans="2:16">
      <c r="B12" s="97">
        <v>7</v>
      </c>
      <c r="C12" s="98" t="s">
        <v>119</v>
      </c>
      <c r="D12" s="96">
        <v>1934.0890000000004</v>
      </c>
      <c r="E12" s="96">
        <v>2021.75</v>
      </c>
      <c r="F12" s="96">
        <v>2444.9499999999998</v>
      </c>
      <c r="G12" s="96">
        <v>2497.8999999999996</v>
      </c>
      <c r="H12" s="7">
        <f t="shared" si="0"/>
        <v>2.2031905663964672E-2</v>
      </c>
      <c r="I12" s="7">
        <f t="shared" si="1"/>
        <v>2.1656884598866943E-2</v>
      </c>
      <c r="J12" s="7">
        <f t="shared" si="2"/>
        <v>6.6042817100403495E-2</v>
      </c>
    </row>
    <row r="13" spans="2:16">
      <c r="B13" s="97">
        <v>8</v>
      </c>
      <c r="C13" s="98" t="s">
        <v>123</v>
      </c>
      <c r="D13" s="96">
        <v>1489.08</v>
      </c>
      <c r="E13" s="96">
        <v>1303.6499999999999</v>
      </c>
      <c r="F13" s="96">
        <v>1447.4</v>
      </c>
      <c r="G13" s="96">
        <v>1485.8999999999999</v>
      </c>
      <c r="H13" s="7">
        <f t="shared" si="0"/>
        <v>1.3105892400050086E-2</v>
      </c>
      <c r="I13" s="7">
        <f t="shared" si="1"/>
        <v>2.6599419649025791E-2</v>
      </c>
      <c r="J13" s="7">
        <f t="shared" si="2"/>
        <v>-5.3431478104615238E-4</v>
      </c>
    </row>
    <row r="14" spans="2:16">
      <c r="B14" s="97">
        <v>9</v>
      </c>
      <c r="C14" s="98" t="s">
        <v>120</v>
      </c>
      <c r="D14" s="96">
        <v>553</v>
      </c>
      <c r="E14" s="96">
        <v>626.00000000000011</v>
      </c>
      <c r="F14" s="96">
        <v>797.5</v>
      </c>
      <c r="G14" s="96">
        <v>885.5</v>
      </c>
      <c r="H14" s="7">
        <f t="shared" si="0"/>
        <v>7.8102616059252655E-3</v>
      </c>
      <c r="I14" s="7">
        <f t="shared" si="1"/>
        <v>0.1103448275862069</v>
      </c>
      <c r="J14" s="7">
        <f t="shared" si="2"/>
        <v>0.12490502956119021</v>
      </c>
    </row>
    <row r="15" spans="2:16">
      <c r="B15" s="97">
        <v>10</v>
      </c>
      <c r="C15" s="98" t="s">
        <v>117</v>
      </c>
      <c r="D15" s="96">
        <v>1059.2800000000002</v>
      </c>
      <c r="E15" s="96">
        <v>538.05800000000011</v>
      </c>
      <c r="F15" s="96">
        <v>779.2299999999999</v>
      </c>
      <c r="G15" s="96">
        <v>611.92999999999995</v>
      </c>
      <c r="H15" s="7">
        <f t="shared" si="0"/>
        <v>5.3973273681692229E-3</v>
      </c>
      <c r="I15" s="7">
        <f t="shared" si="1"/>
        <v>-0.21469912606034158</v>
      </c>
      <c r="J15" s="7">
        <f t="shared" si="2"/>
        <v>-0.12818819954799698</v>
      </c>
    </row>
    <row r="16" spans="2:16">
      <c r="B16" s="6"/>
      <c r="C16" s="95" t="s">
        <v>129</v>
      </c>
      <c r="D16" s="96">
        <v>1086</v>
      </c>
      <c r="E16" s="96">
        <v>824</v>
      </c>
      <c r="F16" s="96">
        <v>695</v>
      </c>
      <c r="G16" s="96">
        <v>502</v>
      </c>
      <c r="H16" s="7">
        <f t="shared" si="0"/>
        <v>4.4277259471196878E-3</v>
      </c>
      <c r="I16" s="7">
        <f t="shared" si="1"/>
        <v>-0.27769784172661871</v>
      </c>
      <c r="J16" s="7">
        <f t="shared" si="2"/>
        <v>-0.17544719585996837</v>
      </c>
    </row>
    <row r="17" spans="2:10">
      <c r="B17" s="6"/>
      <c r="C17" s="95" t="s">
        <v>124</v>
      </c>
      <c r="D17" s="96">
        <v>123</v>
      </c>
      <c r="E17" s="96">
        <v>18</v>
      </c>
      <c r="F17" s="96">
        <v>0</v>
      </c>
      <c r="G17" s="96">
        <v>92</v>
      </c>
      <c r="H17" s="7">
        <f t="shared" si="0"/>
        <v>8.1145575126496266E-4</v>
      </c>
      <c r="I17" s="7" t="e">
        <f>(G17/F17)-1</f>
        <v>#DIV/0!</v>
      </c>
      <c r="J17" s="7">
        <f t="shared" si="2"/>
        <v>-7.0026273752646806E-2</v>
      </c>
    </row>
    <row r="18" spans="2:10">
      <c r="B18" s="6"/>
      <c r="C18" s="95" t="s">
        <v>127</v>
      </c>
      <c r="D18" s="96">
        <v>39.919999999999995</v>
      </c>
      <c r="E18" s="96">
        <v>28.8</v>
      </c>
      <c r="F18" s="96">
        <v>30.96</v>
      </c>
      <c r="G18" s="96">
        <v>36.949999999999996</v>
      </c>
      <c r="H18" s="7">
        <f t="shared" si="0"/>
        <v>3.2590532618739527E-4</v>
      </c>
      <c r="I18" s="7">
        <f t="shared" si="1"/>
        <v>0.19347545219638218</v>
      </c>
      <c r="J18" s="7">
        <f t="shared" si="2"/>
        <v>-1.9142363764184878E-2</v>
      </c>
    </row>
    <row r="19" spans="2:10">
      <c r="C19" s="89" t="s">
        <v>113</v>
      </c>
      <c r="D19" s="90">
        <v>224.7</v>
      </c>
      <c r="E19" s="90">
        <v>161.55000000000001</v>
      </c>
      <c r="F19" s="90">
        <v>170</v>
      </c>
      <c r="G19" s="90">
        <v>34.799999999999997</v>
      </c>
      <c r="H19" s="7">
        <f t="shared" si="0"/>
        <v>3.069419580871815E-4</v>
      </c>
      <c r="I19" s="7">
        <f t="shared" si="1"/>
        <v>-0.79529411764705882</v>
      </c>
      <c r="J19" s="7">
        <f t="shared" si="2"/>
        <v>-0.37267290897729066</v>
      </c>
    </row>
    <row r="20" spans="2:10">
      <c r="C20" s="89" t="s">
        <v>121</v>
      </c>
      <c r="D20" s="90">
        <v>52.2</v>
      </c>
      <c r="E20" s="90">
        <v>37.799999999999997</v>
      </c>
      <c r="F20" s="90">
        <v>46.698999999999998</v>
      </c>
      <c r="G20" s="90">
        <v>24.459999999999997</v>
      </c>
      <c r="H20" s="7">
        <f t="shared" si="0"/>
        <v>2.1574138778196722E-4</v>
      </c>
      <c r="I20" s="7">
        <f t="shared" si="1"/>
        <v>-0.47622004753849123</v>
      </c>
      <c r="J20" s="7">
        <f t="shared" si="2"/>
        <v>-0.17263625273176864</v>
      </c>
    </row>
    <row r="21" spans="2:10">
      <c r="C21" s="89" t="s">
        <v>126</v>
      </c>
      <c r="D21" s="90">
        <v>14.57</v>
      </c>
      <c r="E21" s="90">
        <v>2.0699999999999998</v>
      </c>
      <c r="F21" s="90">
        <v>6.3140000000000001</v>
      </c>
      <c r="G21" s="90">
        <v>8.6280000000000001</v>
      </c>
      <c r="H21" s="7">
        <f t="shared" si="0"/>
        <v>7.610043719471845E-5</v>
      </c>
      <c r="I21" s="7">
        <f t="shared" si="1"/>
        <v>0.36648717136522024</v>
      </c>
      <c r="J21" s="7">
        <f t="shared" si="2"/>
        <v>-0.12277167517720577</v>
      </c>
    </row>
    <row r="22" spans="2:10">
      <c r="C22" s="89" t="s">
        <v>112</v>
      </c>
      <c r="D22" s="90">
        <v>0</v>
      </c>
      <c r="E22" s="90">
        <v>0</v>
      </c>
      <c r="F22" s="90">
        <v>2.1</v>
      </c>
      <c r="G22" s="90">
        <v>0</v>
      </c>
      <c r="H22" s="7">
        <f t="shared" si="0"/>
        <v>0</v>
      </c>
      <c r="I22" s="7">
        <f t="shared" si="1"/>
        <v>-1</v>
      </c>
      <c r="J22" s="7" t="e">
        <f t="shared" si="2"/>
        <v>#DIV/0!</v>
      </c>
    </row>
    <row r="23" spans="2:10">
      <c r="C23" s="89" t="s">
        <v>606</v>
      </c>
      <c r="D23" s="90">
        <v>0</v>
      </c>
      <c r="E23" s="90">
        <v>0</v>
      </c>
      <c r="F23" s="90">
        <v>0</v>
      </c>
      <c r="G23" s="90">
        <v>0</v>
      </c>
      <c r="H23" s="7">
        <f t="shared" si="0"/>
        <v>0</v>
      </c>
      <c r="I23" s="7" t="e">
        <f t="shared" si="1"/>
        <v>#DIV/0!</v>
      </c>
      <c r="J23" s="7" t="e">
        <f t="shared" si="2"/>
        <v>#DIV/0!</v>
      </c>
    </row>
    <row r="24" spans="2:10">
      <c r="C24" s="89" t="s">
        <v>125</v>
      </c>
      <c r="D24" s="90">
        <v>10.1</v>
      </c>
      <c r="E24" s="90">
        <v>46.2</v>
      </c>
      <c r="F24" s="90">
        <v>0</v>
      </c>
      <c r="G24" s="90">
        <v>0</v>
      </c>
      <c r="H24" s="7">
        <f t="shared" si="0"/>
        <v>0</v>
      </c>
      <c r="I24" s="7" t="e">
        <f t="shared" si="1"/>
        <v>#DIV/0!</v>
      </c>
      <c r="J24" s="7">
        <f t="shared" si="2"/>
        <v>-1</v>
      </c>
    </row>
    <row r="25" spans="2:10">
      <c r="C25" s="89" t="s">
        <v>607</v>
      </c>
      <c r="D25" s="90">
        <v>0</v>
      </c>
      <c r="E25" s="90">
        <v>0</v>
      </c>
      <c r="F25" s="90">
        <v>0</v>
      </c>
      <c r="G25" s="90">
        <v>0</v>
      </c>
      <c r="H25" s="7">
        <f t="shared" si="0"/>
        <v>0</v>
      </c>
      <c r="I25" s="7" t="e">
        <f t="shared" si="1"/>
        <v>#DIV/0!</v>
      </c>
      <c r="J25" s="7" t="e">
        <f t="shared" si="2"/>
        <v>#DIV/0!</v>
      </c>
    </row>
    <row r="26" spans="2:10">
      <c r="C26" s="89" t="s">
        <v>608</v>
      </c>
      <c r="D26" s="90">
        <v>0</v>
      </c>
      <c r="E26" s="90">
        <v>0</v>
      </c>
      <c r="F26" s="90">
        <v>0</v>
      </c>
      <c r="G26" s="90">
        <v>0</v>
      </c>
      <c r="H26" s="7">
        <f t="shared" si="0"/>
        <v>0</v>
      </c>
      <c r="I26" s="7" t="e">
        <f t="shared" si="1"/>
        <v>#DIV/0!</v>
      </c>
      <c r="J26" s="7" t="e">
        <f t="shared" si="2"/>
        <v>#DIV/0!</v>
      </c>
    </row>
    <row r="27" spans="2:10">
      <c r="C27" s="89" t="s">
        <v>609</v>
      </c>
      <c r="D27" s="90">
        <v>0</v>
      </c>
      <c r="E27" s="90">
        <v>0</v>
      </c>
      <c r="F27" s="90">
        <v>0</v>
      </c>
      <c r="G27" s="90">
        <v>0</v>
      </c>
      <c r="H27" s="7">
        <f t="shared" si="0"/>
        <v>0</v>
      </c>
      <c r="I27" s="7" t="e">
        <f t="shared" si="1"/>
        <v>#DIV/0!</v>
      </c>
      <c r="J27" s="7" t="e">
        <f t="shared" si="2"/>
        <v>#DIV/0!</v>
      </c>
    </row>
    <row r="28" spans="2:10">
      <c r="C28" s="89" t="s">
        <v>610</v>
      </c>
      <c r="D28" s="90">
        <v>0</v>
      </c>
      <c r="E28" s="90">
        <v>0</v>
      </c>
      <c r="F28" s="90">
        <v>0</v>
      </c>
      <c r="G28" s="90">
        <v>0</v>
      </c>
      <c r="H28" s="7">
        <f t="shared" si="0"/>
        <v>0</v>
      </c>
      <c r="I28" s="7" t="e">
        <f t="shared" si="1"/>
        <v>#DIV/0!</v>
      </c>
      <c r="J28" s="6" t="e">
        <f t="shared" si="2"/>
        <v>#DIV/0!</v>
      </c>
    </row>
    <row r="29" spans="2:10">
      <c r="C29" s="89" t="s">
        <v>611</v>
      </c>
      <c r="D29" s="90">
        <v>0</v>
      </c>
      <c r="E29" s="90">
        <v>0</v>
      </c>
      <c r="F29" s="90">
        <v>0</v>
      </c>
      <c r="G29" s="90">
        <v>0</v>
      </c>
      <c r="H29" s="7">
        <f t="shared" si="0"/>
        <v>0</v>
      </c>
      <c r="I29" s="7" t="e">
        <f t="shared" si="1"/>
        <v>#DIV/0!</v>
      </c>
      <c r="J29" s="6" t="e">
        <f t="shared" si="2"/>
        <v>#DIV/0!</v>
      </c>
    </row>
    <row r="30" spans="2:10">
      <c r="C30" s="89" t="s">
        <v>612</v>
      </c>
      <c r="D30" s="90">
        <v>0</v>
      </c>
      <c r="E30" s="90">
        <v>0</v>
      </c>
      <c r="F30" s="90">
        <v>0</v>
      </c>
      <c r="G30" s="90">
        <v>0</v>
      </c>
      <c r="H30" s="7">
        <f t="shared" si="0"/>
        <v>0</v>
      </c>
      <c r="I30" s="7" t="e">
        <f t="shared" si="1"/>
        <v>#DIV/0!</v>
      </c>
      <c r="J30" s="6" t="e">
        <f t="shared" si="2"/>
        <v>#DIV/0!</v>
      </c>
    </row>
    <row r="31" spans="2:10">
      <c r="C31" s="89" t="s">
        <v>613</v>
      </c>
      <c r="D31" s="90">
        <v>0</v>
      </c>
      <c r="E31" s="90">
        <v>0</v>
      </c>
      <c r="F31" s="90">
        <v>0</v>
      </c>
      <c r="G31" s="90">
        <v>0</v>
      </c>
      <c r="H31" s="7">
        <f t="shared" si="0"/>
        <v>0</v>
      </c>
      <c r="I31" s="7" t="e">
        <f t="shared" si="1"/>
        <v>#DIV/0!</v>
      </c>
      <c r="J31" s="6" t="e">
        <f t="shared" si="2"/>
        <v>#DIV/0!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61"/>
  <sheetViews>
    <sheetView topLeftCell="B4" workbookViewId="0">
      <selection activeCell="A30" sqref="A30:O37"/>
    </sheetView>
  </sheetViews>
  <sheetFormatPr baseColWidth="10" defaultRowHeight="14.4"/>
  <cols>
    <col min="1" max="1" width="6.109375" customWidth="1"/>
    <col min="2" max="2" width="12.44140625" customWidth="1"/>
    <col min="3" max="5" width="6.88671875" customWidth="1"/>
    <col min="6" max="6" width="8.44140625" customWidth="1"/>
    <col min="7" max="7" width="8.33203125" customWidth="1"/>
    <col min="8" max="8" width="7.6640625" customWidth="1"/>
    <col min="9" max="14" width="6.88671875" customWidth="1"/>
    <col min="15" max="15" width="10.109375" customWidth="1"/>
  </cols>
  <sheetData>
    <row r="1" spans="1:31">
      <c r="B1" t="s">
        <v>132</v>
      </c>
      <c r="O1">
        <v>278</v>
      </c>
    </row>
    <row r="2" spans="1:31">
      <c r="C2" s="261">
        <v>2020</v>
      </c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</row>
    <row r="3" spans="1:31">
      <c r="A3" s="260" t="s">
        <v>206</v>
      </c>
      <c r="B3" s="57" t="s">
        <v>98</v>
      </c>
      <c r="C3" s="39" t="s">
        <v>105</v>
      </c>
      <c r="D3" s="39" t="s">
        <v>106</v>
      </c>
      <c r="E3" s="39" t="s">
        <v>107</v>
      </c>
      <c r="F3" s="39" t="s">
        <v>108</v>
      </c>
      <c r="G3" s="39" t="s">
        <v>109</v>
      </c>
      <c r="H3" s="39" t="s">
        <v>110</v>
      </c>
      <c r="I3" s="39" t="s">
        <v>111</v>
      </c>
      <c r="J3" s="39" t="s">
        <v>100</v>
      </c>
      <c r="K3" s="39" t="s">
        <v>101</v>
      </c>
      <c r="L3" s="39" t="s">
        <v>102</v>
      </c>
      <c r="M3" s="39" t="s">
        <v>103</v>
      </c>
      <c r="N3" s="39" t="s">
        <v>104</v>
      </c>
      <c r="O3" s="39" t="s">
        <v>99</v>
      </c>
      <c r="Q3" s="260"/>
      <c r="R3" s="57"/>
      <c r="S3" s="39" t="s">
        <v>105</v>
      </c>
      <c r="T3" s="39" t="s">
        <v>106</v>
      </c>
      <c r="U3" s="39" t="s">
        <v>107</v>
      </c>
      <c r="V3" s="39" t="s">
        <v>108</v>
      </c>
      <c r="W3" s="39" t="s">
        <v>109</v>
      </c>
      <c r="X3" s="39" t="s">
        <v>110</v>
      </c>
      <c r="Y3" s="39" t="s">
        <v>111</v>
      </c>
      <c r="Z3" s="39" t="s">
        <v>100</v>
      </c>
      <c r="AA3" s="39" t="s">
        <v>101</v>
      </c>
      <c r="AB3" s="39" t="s">
        <v>102</v>
      </c>
      <c r="AC3" s="39" t="s">
        <v>103</v>
      </c>
      <c r="AD3" s="39" t="s">
        <v>104</v>
      </c>
      <c r="AE3" s="39" t="s">
        <v>99</v>
      </c>
    </row>
    <row r="4" spans="1:31">
      <c r="A4" s="260"/>
      <c r="B4" s="6" t="s">
        <v>89</v>
      </c>
      <c r="C4" s="72">
        <v>1555.885</v>
      </c>
      <c r="D4" s="72">
        <v>1520.9889999999998</v>
      </c>
      <c r="E4" s="72">
        <v>3107.3599999999997</v>
      </c>
      <c r="F4" s="72">
        <v>31600.067999999996</v>
      </c>
      <c r="G4" s="72">
        <v>29639.596000000001</v>
      </c>
      <c r="H4" s="72">
        <v>23704.940999999999</v>
      </c>
      <c r="I4" s="72">
        <v>8482.2999999999993</v>
      </c>
      <c r="J4" s="72">
        <v>1163.499</v>
      </c>
      <c r="K4" s="72">
        <v>1635.27</v>
      </c>
      <c r="L4" s="72">
        <v>1314.8</v>
      </c>
      <c r="M4" s="72">
        <v>1516.2299999999998</v>
      </c>
      <c r="N4" s="72">
        <v>1477.2089999999998</v>
      </c>
      <c r="O4" s="72">
        <f>SUM(C4:N4)</f>
        <v>106718.14700000001</v>
      </c>
      <c r="Q4" s="260"/>
      <c r="R4" s="6">
        <v>2020</v>
      </c>
      <c r="S4" s="115">
        <v>863.47</v>
      </c>
      <c r="T4" s="115">
        <v>2556.5</v>
      </c>
      <c r="U4" s="115">
        <v>7448.9000000000005</v>
      </c>
      <c r="V4" s="115">
        <v>36038.99</v>
      </c>
      <c r="W4" s="115">
        <v>27786.546999999999</v>
      </c>
      <c r="X4" s="115">
        <v>13462.83</v>
      </c>
      <c r="Y4" s="115">
        <v>4525.1689999999999</v>
      </c>
      <c r="Z4" s="115">
        <v>1752.2089999999996</v>
      </c>
      <c r="AA4" s="115">
        <v>1891.7499999999998</v>
      </c>
      <c r="AB4" s="115">
        <v>1282.75</v>
      </c>
      <c r="AC4" s="115">
        <v>1250.53</v>
      </c>
      <c r="AD4" s="115">
        <v>1347.39</v>
      </c>
      <c r="AE4" s="115">
        <v>100207.035</v>
      </c>
    </row>
    <row r="5" spans="1:31">
      <c r="A5" s="55">
        <v>1</v>
      </c>
      <c r="B5" s="6" t="s">
        <v>128</v>
      </c>
      <c r="C5" s="12">
        <v>0</v>
      </c>
      <c r="D5" s="12">
        <v>0</v>
      </c>
      <c r="E5" s="12">
        <v>1529</v>
      </c>
      <c r="F5" s="12">
        <v>28681.599999999995</v>
      </c>
      <c r="G5" s="12">
        <v>11007.109</v>
      </c>
      <c r="H5" s="12">
        <v>119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72">
        <f t="shared" ref="O5:O16" si="0">SUM(C5:N5)</f>
        <v>41336.708999999995</v>
      </c>
      <c r="R5" s="6">
        <v>2021</v>
      </c>
      <c r="S5" s="72">
        <v>1555.885</v>
      </c>
      <c r="T5" s="72">
        <v>1520.9889999999998</v>
      </c>
      <c r="U5" s="72">
        <v>3107.3599999999997</v>
      </c>
      <c r="V5" s="72">
        <v>31600.067999999996</v>
      </c>
      <c r="W5" s="72">
        <v>29639.596000000001</v>
      </c>
      <c r="X5" s="72">
        <v>23704.940999999999</v>
      </c>
      <c r="Y5" s="72">
        <v>8482.2999999999993</v>
      </c>
      <c r="Z5" s="72">
        <v>1163.499</v>
      </c>
      <c r="AA5" s="72">
        <v>1635.27</v>
      </c>
      <c r="AB5" s="72">
        <v>1314.8</v>
      </c>
      <c r="AC5" s="72">
        <v>1516.2299999999998</v>
      </c>
      <c r="AD5" s="72">
        <v>1477.2089999999998</v>
      </c>
      <c r="AE5" s="72">
        <f>SUM(S5:AD5)</f>
        <v>106718.14700000001</v>
      </c>
    </row>
    <row r="6" spans="1:31">
      <c r="A6" s="55">
        <v>2</v>
      </c>
      <c r="B6" s="9" t="s">
        <v>116</v>
      </c>
      <c r="C6" s="9">
        <v>955</v>
      </c>
      <c r="D6" s="9">
        <v>1144</v>
      </c>
      <c r="E6" s="9">
        <v>1366</v>
      </c>
      <c r="F6" s="9">
        <v>2401</v>
      </c>
      <c r="G6" s="9">
        <v>7333</v>
      </c>
      <c r="H6" s="9">
        <v>6839</v>
      </c>
      <c r="I6" s="9">
        <v>1549</v>
      </c>
      <c r="J6" s="9">
        <v>0</v>
      </c>
      <c r="K6" s="9">
        <v>0</v>
      </c>
      <c r="L6" s="9">
        <v>44</v>
      </c>
      <c r="M6" s="9">
        <v>55</v>
      </c>
      <c r="N6" s="9">
        <v>746</v>
      </c>
      <c r="O6" s="72">
        <f t="shared" si="0"/>
        <v>22432</v>
      </c>
      <c r="R6" s="6">
        <v>2022</v>
      </c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63"/>
    </row>
    <row r="7" spans="1:31">
      <c r="A7" s="55">
        <v>3</v>
      </c>
      <c r="B7" s="6" t="s">
        <v>118</v>
      </c>
      <c r="C7" s="12">
        <v>0</v>
      </c>
      <c r="D7" s="12">
        <v>0</v>
      </c>
      <c r="E7" s="12">
        <v>0</v>
      </c>
      <c r="F7" s="12">
        <v>211.9</v>
      </c>
      <c r="G7" s="12">
        <v>5503.4999999999991</v>
      </c>
      <c r="H7" s="12">
        <v>5468.5</v>
      </c>
      <c r="I7" s="12">
        <v>1835.6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72">
        <f t="shared" si="0"/>
        <v>13019.499999999998</v>
      </c>
    </row>
    <row r="8" spans="1:31">
      <c r="A8" s="55">
        <v>4</v>
      </c>
      <c r="B8" s="6" t="s">
        <v>114</v>
      </c>
      <c r="C8" s="12">
        <v>0</v>
      </c>
      <c r="D8" s="12">
        <v>0</v>
      </c>
      <c r="E8" s="12">
        <v>0</v>
      </c>
      <c r="F8" s="12">
        <v>89.2</v>
      </c>
      <c r="G8" s="12">
        <v>3736.7</v>
      </c>
      <c r="H8" s="12">
        <v>5461.1999999999989</v>
      </c>
      <c r="I8" s="12">
        <v>1391.75</v>
      </c>
      <c r="J8" s="12">
        <v>163</v>
      </c>
      <c r="K8" s="12">
        <v>80</v>
      </c>
      <c r="L8" s="12">
        <v>0</v>
      </c>
      <c r="M8" s="12">
        <v>0</v>
      </c>
      <c r="N8" s="12">
        <v>0</v>
      </c>
      <c r="O8" s="72">
        <f t="shared" si="0"/>
        <v>10921.849999999999</v>
      </c>
    </row>
    <row r="9" spans="1:31">
      <c r="A9" s="55">
        <v>5</v>
      </c>
      <c r="B9" s="6" t="s">
        <v>115</v>
      </c>
      <c r="C9" s="12">
        <v>489.79999999999995</v>
      </c>
      <c r="D9" s="12">
        <v>207.39</v>
      </c>
      <c r="E9" s="12">
        <v>107.26</v>
      </c>
      <c r="F9" s="12">
        <v>90.198999999999998</v>
      </c>
      <c r="G9" s="12">
        <v>323.64699999999999</v>
      </c>
      <c r="H9" s="12">
        <v>377.77099999999996</v>
      </c>
      <c r="I9" s="12">
        <v>450.79999999999995</v>
      </c>
      <c r="J9" s="12">
        <v>534.59900000000005</v>
      </c>
      <c r="K9" s="12">
        <v>1509.97</v>
      </c>
      <c r="L9" s="12">
        <v>1224.5</v>
      </c>
      <c r="M9" s="12">
        <v>1240.2299999999998</v>
      </c>
      <c r="N9" s="12">
        <v>698.10899999999992</v>
      </c>
      <c r="O9" s="72">
        <f t="shared" si="0"/>
        <v>7254.2749999999996</v>
      </c>
    </row>
    <row r="10" spans="1:31">
      <c r="A10" s="55"/>
      <c r="B10" s="6" t="s">
        <v>203</v>
      </c>
      <c r="C10" s="12">
        <f>SUM(C11:C21)</f>
        <v>111.08499999999999</v>
      </c>
      <c r="D10" s="12">
        <f t="shared" ref="D10:O10" si="1">SUM(D11:D21)</f>
        <v>169.59900000000002</v>
      </c>
      <c r="E10" s="12">
        <f t="shared" si="1"/>
        <v>105.10000000000001</v>
      </c>
      <c r="F10" s="12">
        <f t="shared" si="1"/>
        <v>126.16900000000001</v>
      </c>
      <c r="G10" s="12">
        <f t="shared" si="1"/>
        <v>1735.64</v>
      </c>
      <c r="H10" s="12">
        <f t="shared" si="1"/>
        <v>5439.4699999999984</v>
      </c>
      <c r="I10" s="12">
        <f t="shared" si="1"/>
        <v>3255.1499999999996</v>
      </c>
      <c r="J10" s="12">
        <f t="shared" si="1"/>
        <v>465.90000000000003</v>
      </c>
      <c r="K10" s="12">
        <f t="shared" si="1"/>
        <v>45.3</v>
      </c>
      <c r="L10" s="12">
        <f t="shared" si="1"/>
        <v>46.3</v>
      </c>
      <c r="M10" s="12">
        <f t="shared" si="1"/>
        <v>221</v>
      </c>
      <c r="N10" s="12">
        <f t="shared" si="1"/>
        <v>33.1</v>
      </c>
      <c r="O10" s="12">
        <f t="shared" si="1"/>
        <v>11753.813</v>
      </c>
    </row>
    <row r="11" spans="1:31">
      <c r="A11" s="55">
        <v>6</v>
      </c>
      <c r="B11" s="6" t="s">
        <v>122</v>
      </c>
      <c r="C11" s="12">
        <v>0</v>
      </c>
      <c r="D11" s="12">
        <v>0</v>
      </c>
      <c r="E11" s="12">
        <v>0</v>
      </c>
      <c r="F11" s="12">
        <v>0</v>
      </c>
      <c r="G11" s="12">
        <v>767.7</v>
      </c>
      <c r="H11" s="12">
        <v>2958.5999999999995</v>
      </c>
      <c r="I11" s="12">
        <v>1651.9499999999998</v>
      </c>
      <c r="J11" s="12">
        <v>63.9</v>
      </c>
      <c r="K11" s="12">
        <v>0</v>
      </c>
      <c r="L11" s="12">
        <v>0</v>
      </c>
      <c r="M11" s="12">
        <v>0</v>
      </c>
      <c r="N11" s="12">
        <v>0</v>
      </c>
      <c r="O11" s="72">
        <f t="shared" si="0"/>
        <v>5442.1499999999987</v>
      </c>
    </row>
    <row r="12" spans="1:31">
      <c r="A12" s="55">
        <v>7</v>
      </c>
      <c r="B12" s="6" t="s">
        <v>119</v>
      </c>
      <c r="C12" s="12">
        <v>0</v>
      </c>
      <c r="D12" s="12">
        <v>0</v>
      </c>
      <c r="E12" s="12">
        <v>0</v>
      </c>
      <c r="F12" s="12">
        <v>6.75</v>
      </c>
      <c r="G12" s="12">
        <v>650.90000000000009</v>
      </c>
      <c r="H12" s="12">
        <v>1234.5</v>
      </c>
      <c r="I12" s="12">
        <v>485.30000000000007</v>
      </c>
      <c r="J12" s="12">
        <v>2.4</v>
      </c>
      <c r="K12" s="12">
        <v>0</v>
      </c>
      <c r="L12" s="12">
        <v>0</v>
      </c>
      <c r="M12" s="12">
        <v>0</v>
      </c>
      <c r="N12" s="12">
        <v>0</v>
      </c>
      <c r="O12" s="72">
        <f t="shared" si="0"/>
        <v>2379.8500000000004</v>
      </c>
    </row>
    <row r="13" spans="1:31">
      <c r="A13" s="55">
        <v>8</v>
      </c>
      <c r="B13" s="6" t="s">
        <v>123</v>
      </c>
      <c r="C13" s="12">
        <v>0</v>
      </c>
      <c r="D13" s="12">
        <v>36</v>
      </c>
      <c r="E13" s="12">
        <v>0</v>
      </c>
      <c r="F13" s="12">
        <v>0</v>
      </c>
      <c r="G13" s="12">
        <v>0</v>
      </c>
      <c r="H13" s="12">
        <v>494.20000000000005</v>
      </c>
      <c r="I13" s="12">
        <v>495.6</v>
      </c>
      <c r="J13" s="12">
        <v>234.3</v>
      </c>
      <c r="K13" s="12">
        <v>1.3</v>
      </c>
      <c r="L13" s="12">
        <v>0</v>
      </c>
      <c r="M13" s="12">
        <v>186</v>
      </c>
      <c r="N13" s="12">
        <v>0</v>
      </c>
      <c r="O13" s="72">
        <f t="shared" si="0"/>
        <v>1447.4</v>
      </c>
    </row>
    <row r="14" spans="1:31">
      <c r="A14" s="55">
        <v>9</v>
      </c>
      <c r="B14" s="6" t="s">
        <v>120</v>
      </c>
      <c r="C14" s="12">
        <v>0</v>
      </c>
      <c r="D14" s="12">
        <v>1.6</v>
      </c>
      <c r="E14" s="12">
        <v>6</v>
      </c>
      <c r="F14" s="12">
        <v>5.4</v>
      </c>
      <c r="G14" s="12">
        <v>214.5</v>
      </c>
      <c r="H14" s="12">
        <v>401.5</v>
      </c>
      <c r="I14" s="12">
        <v>147</v>
      </c>
      <c r="J14" s="12">
        <v>21.5</v>
      </c>
      <c r="K14" s="12">
        <v>0</v>
      </c>
      <c r="L14" s="12">
        <v>0</v>
      </c>
      <c r="M14" s="12">
        <v>0</v>
      </c>
      <c r="N14" s="12">
        <v>0</v>
      </c>
      <c r="O14" s="72">
        <f t="shared" si="0"/>
        <v>797.5</v>
      </c>
    </row>
    <row r="15" spans="1:31">
      <c r="A15" s="55">
        <v>10</v>
      </c>
      <c r="B15" s="6" t="s">
        <v>117</v>
      </c>
      <c r="C15" s="12">
        <v>0</v>
      </c>
      <c r="D15" s="12">
        <v>0.89</v>
      </c>
      <c r="E15" s="12">
        <v>16.98</v>
      </c>
      <c r="F15" s="12">
        <v>39.97</v>
      </c>
      <c r="G15" s="12">
        <v>35</v>
      </c>
      <c r="H15" s="12">
        <v>249.70000000000002</v>
      </c>
      <c r="I15" s="12">
        <v>342.2</v>
      </c>
      <c r="J15" s="12">
        <v>40.799999999999997</v>
      </c>
      <c r="K15" s="12">
        <v>6</v>
      </c>
      <c r="L15" s="12">
        <v>4.3</v>
      </c>
      <c r="M15" s="12">
        <v>0</v>
      </c>
      <c r="N15" s="12">
        <v>0</v>
      </c>
      <c r="O15" s="72">
        <f t="shared" si="0"/>
        <v>735.83999999999992</v>
      </c>
    </row>
    <row r="16" spans="1:31">
      <c r="A16" s="55">
        <v>11</v>
      </c>
      <c r="B16" s="6" t="s">
        <v>129</v>
      </c>
      <c r="C16" s="12">
        <v>109</v>
      </c>
      <c r="D16" s="12">
        <v>129</v>
      </c>
      <c r="E16" s="12">
        <v>80</v>
      </c>
      <c r="F16" s="12">
        <v>57</v>
      </c>
      <c r="G16" s="12">
        <v>27</v>
      </c>
      <c r="H16" s="12">
        <v>43</v>
      </c>
      <c r="I16" s="12">
        <v>66</v>
      </c>
      <c r="J16" s="12">
        <v>68</v>
      </c>
      <c r="K16" s="12">
        <v>38</v>
      </c>
      <c r="L16" s="12">
        <v>42</v>
      </c>
      <c r="M16" s="12">
        <v>5</v>
      </c>
      <c r="N16" s="12">
        <v>31</v>
      </c>
      <c r="O16" s="72">
        <f t="shared" si="0"/>
        <v>695</v>
      </c>
    </row>
    <row r="17" spans="1:16">
      <c r="B17" s="6" t="s">
        <v>113</v>
      </c>
      <c r="C17" s="12">
        <v>0</v>
      </c>
      <c r="D17" s="12">
        <v>0</v>
      </c>
      <c r="E17" s="12">
        <v>0</v>
      </c>
      <c r="F17" s="12">
        <v>9.5</v>
      </c>
      <c r="G17" s="12">
        <v>9.1999999999999993</v>
      </c>
      <c r="H17" s="12">
        <v>49.2</v>
      </c>
      <c r="I17" s="12">
        <v>67.099999999999994</v>
      </c>
      <c r="J17" s="12">
        <v>35</v>
      </c>
      <c r="K17" s="12">
        <v>0</v>
      </c>
      <c r="L17" s="12">
        <v>0</v>
      </c>
      <c r="M17" s="12">
        <v>0</v>
      </c>
      <c r="N17" s="12">
        <v>0</v>
      </c>
      <c r="O17" s="63">
        <v>170</v>
      </c>
    </row>
    <row r="18" spans="1:16">
      <c r="B18" s="6" t="s">
        <v>121</v>
      </c>
      <c r="C18" s="12">
        <v>0</v>
      </c>
      <c r="D18" s="12">
        <v>0</v>
      </c>
      <c r="E18" s="12">
        <v>0</v>
      </c>
      <c r="F18" s="12">
        <v>6.569</v>
      </c>
      <c r="G18" s="12">
        <v>3.31</v>
      </c>
      <c r="H18" s="12">
        <v>6.82</v>
      </c>
      <c r="I18" s="12">
        <v>0</v>
      </c>
      <c r="J18" s="12">
        <v>0</v>
      </c>
      <c r="K18" s="12">
        <v>0</v>
      </c>
      <c r="L18" s="12">
        <v>0</v>
      </c>
      <c r="M18" s="12">
        <v>30</v>
      </c>
      <c r="N18" s="12">
        <v>0</v>
      </c>
      <c r="O18" s="63">
        <v>46.698999999999998</v>
      </c>
    </row>
    <row r="19" spans="1:16">
      <c r="B19" s="6" t="s">
        <v>127</v>
      </c>
      <c r="C19" s="12">
        <v>0</v>
      </c>
      <c r="D19" s="12">
        <v>0</v>
      </c>
      <c r="E19" s="12">
        <v>0</v>
      </c>
      <c r="F19" s="12">
        <v>0.98</v>
      </c>
      <c r="G19" s="12">
        <v>28.03</v>
      </c>
      <c r="H19" s="12">
        <v>1.95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63">
        <v>30.96</v>
      </c>
    </row>
    <row r="20" spans="1:16">
      <c r="B20" s="6" t="s">
        <v>126</v>
      </c>
      <c r="C20" s="12">
        <v>2.085</v>
      </c>
      <c r="D20" s="12">
        <v>2.109</v>
      </c>
      <c r="E20" s="12">
        <v>2.12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63">
        <v>6.3140000000000001</v>
      </c>
    </row>
    <row r="21" spans="1:16">
      <c r="B21" s="6" t="s">
        <v>112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2.1</v>
      </c>
      <c r="O21" s="63">
        <v>2.1</v>
      </c>
    </row>
    <row r="22" spans="1:16">
      <c r="C22">
        <f t="shared" ref="C22:N22" si="2">SUM(C5:C21)</f>
        <v>1666.97</v>
      </c>
      <c r="D22">
        <f t="shared" si="2"/>
        <v>1690.5879999999997</v>
      </c>
      <c r="E22">
        <f t="shared" si="2"/>
        <v>3212.46</v>
      </c>
      <c r="F22">
        <f t="shared" si="2"/>
        <v>31726.237000000001</v>
      </c>
      <c r="G22">
        <f t="shared" si="2"/>
        <v>31375.236000000004</v>
      </c>
      <c r="H22">
        <f t="shared" si="2"/>
        <v>29144.410999999996</v>
      </c>
      <c r="I22">
        <f t="shared" si="2"/>
        <v>11737.45</v>
      </c>
      <c r="J22">
        <f t="shared" si="2"/>
        <v>1629.3990000000001</v>
      </c>
      <c r="K22">
        <f t="shared" si="2"/>
        <v>1680.57</v>
      </c>
      <c r="L22">
        <f t="shared" si="2"/>
        <v>1361.1</v>
      </c>
      <c r="M22">
        <f t="shared" si="2"/>
        <v>1737.2299999999998</v>
      </c>
      <c r="N22">
        <f t="shared" si="2"/>
        <v>1510.3089999999997</v>
      </c>
    </row>
    <row r="24" spans="1:16">
      <c r="B24" t="s">
        <v>130</v>
      </c>
    </row>
    <row r="25" spans="1:16">
      <c r="B25" t="s">
        <v>131</v>
      </c>
    </row>
    <row r="28" spans="1:16">
      <c r="B28" s="100" t="s">
        <v>614</v>
      </c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</row>
    <row r="29" spans="1:16"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</row>
    <row r="30" spans="1:16">
      <c r="A30" s="262" t="s">
        <v>206</v>
      </c>
      <c r="B30" s="114" t="s">
        <v>98</v>
      </c>
      <c r="C30" s="114" t="s">
        <v>105</v>
      </c>
      <c r="D30" s="114" t="s">
        <v>106</v>
      </c>
      <c r="E30" s="114" t="s">
        <v>107</v>
      </c>
      <c r="F30" s="114" t="s">
        <v>108</v>
      </c>
      <c r="G30" s="114" t="s">
        <v>109</v>
      </c>
      <c r="H30" s="114" t="s">
        <v>110</v>
      </c>
      <c r="I30" s="114" t="s">
        <v>111</v>
      </c>
      <c r="J30" s="114" t="s">
        <v>100</v>
      </c>
      <c r="K30" s="114" t="s">
        <v>101</v>
      </c>
      <c r="L30" s="114" t="s">
        <v>102</v>
      </c>
      <c r="M30" s="114" t="s">
        <v>103</v>
      </c>
      <c r="N30" s="114" t="s">
        <v>104</v>
      </c>
      <c r="O30" s="114" t="s">
        <v>99</v>
      </c>
    </row>
    <row r="31" spans="1:16">
      <c r="A31" s="262"/>
      <c r="B31" s="110" t="s">
        <v>89</v>
      </c>
      <c r="C31" s="111">
        <v>863.47</v>
      </c>
      <c r="D31" s="111">
        <v>2556.5</v>
      </c>
      <c r="E31" s="111">
        <v>7448.9000000000005</v>
      </c>
      <c r="F31" s="111">
        <v>36038.99</v>
      </c>
      <c r="G31" s="111">
        <v>27786.546999999999</v>
      </c>
      <c r="H31" s="111">
        <v>13462.83</v>
      </c>
      <c r="I31" s="111">
        <v>4525.1689999999999</v>
      </c>
      <c r="J31" s="111">
        <v>1752.2089999999996</v>
      </c>
      <c r="K31" s="111">
        <v>1891.7499999999998</v>
      </c>
      <c r="L31" s="111">
        <v>1282.75</v>
      </c>
      <c r="M31" s="111">
        <v>1250.53</v>
      </c>
      <c r="N31" s="111">
        <v>1347.39</v>
      </c>
      <c r="O31" s="111">
        <v>100207.035</v>
      </c>
      <c r="P31" s="109"/>
    </row>
    <row r="32" spans="1:16">
      <c r="A32" s="55">
        <v>1</v>
      </c>
      <c r="B32" s="112" t="s">
        <v>128</v>
      </c>
      <c r="C32" s="113">
        <v>0</v>
      </c>
      <c r="D32" s="113">
        <v>0</v>
      </c>
      <c r="E32" s="113">
        <v>1649.3000000000004</v>
      </c>
      <c r="F32" s="113">
        <v>25832.6</v>
      </c>
      <c r="G32" s="113">
        <v>12136.23</v>
      </c>
      <c r="H32" s="113">
        <v>0</v>
      </c>
      <c r="I32" s="113">
        <v>0</v>
      </c>
      <c r="J32" s="113">
        <v>0</v>
      </c>
      <c r="K32" s="113">
        <v>0</v>
      </c>
      <c r="L32" s="113">
        <v>0</v>
      </c>
      <c r="M32" s="113">
        <v>0</v>
      </c>
      <c r="N32" s="113">
        <v>0</v>
      </c>
      <c r="O32" s="113">
        <v>39618.129999999997</v>
      </c>
    </row>
    <row r="33" spans="1:15">
      <c r="A33" s="55">
        <v>2</v>
      </c>
      <c r="B33" s="112" t="s">
        <v>116</v>
      </c>
      <c r="C33" s="113">
        <v>321</v>
      </c>
      <c r="D33" s="113">
        <v>2059</v>
      </c>
      <c r="E33" s="113">
        <v>5490</v>
      </c>
      <c r="F33" s="113">
        <v>6598</v>
      </c>
      <c r="G33" s="113">
        <v>5294</v>
      </c>
      <c r="H33" s="113">
        <v>3126</v>
      </c>
      <c r="I33" s="113">
        <v>219</v>
      </c>
      <c r="J33" s="113">
        <v>4</v>
      </c>
      <c r="K33" s="113">
        <v>0</v>
      </c>
      <c r="L33" s="113">
        <v>38</v>
      </c>
      <c r="M33" s="113">
        <v>53</v>
      </c>
      <c r="N33" s="113">
        <v>247</v>
      </c>
      <c r="O33" s="113">
        <v>23449</v>
      </c>
    </row>
    <row r="34" spans="1:15">
      <c r="A34" s="55">
        <v>3</v>
      </c>
      <c r="B34" s="112" t="s">
        <v>114</v>
      </c>
      <c r="C34" s="113">
        <v>0</v>
      </c>
      <c r="D34" s="113">
        <v>0</v>
      </c>
      <c r="E34" s="113">
        <v>37.5</v>
      </c>
      <c r="F34" s="113">
        <v>2841</v>
      </c>
      <c r="G34" s="113">
        <v>4738.8499999999995</v>
      </c>
      <c r="H34" s="113">
        <v>3301.63</v>
      </c>
      <c r="I34" s="113">
        <v>618.96</v>
      </c>
      <c r="J34" s="113">
        <v>350</v>
      </c>
      <c r="K34" s="113">
        <v>0</v>
      </c>
      <c r="L34" s="113">
        <v>0</v>
      </c>
      <c r="M34" s="113">
        <v>0</v>
      </c>
      <c r="N34" s="113">
        <v>0</v>
      </c>
      <c r="O34" s="113">
        <v>11887.939999999999</v>
      </c>
    </row>
    <row r="35" spans="1:15">
      <c r="A35" s="55">
        <v>4</v>
      </c>
      <c r="B35" s="112" t="s">
        <v>115</v>
      </c>
      <c r="C35" s="113">
        <v>457.4</v>
      </c>
      <c r="D35" s="113">
        <v>367.70000000000005</v>
      </c>
      <c r="E35" s="113">
        <v>152.1</v>
      </c>
      <c r="F35" s="113">
        <v>59.639999999999986</v>
      </c>
      <c r="G35" s="113">
        <v>431.10900000000009</v>
      </c>
      <c r="H35" s="113">
        <v>510.55</v>
      </c>
      <c r="I35" s="113">
        <v>577.55899999999997</v>
      </c>
      <c r="J35" s="113">
        <v>975.70899999999995</v>
      </c>
      <c r="K35" s="113">
        <v>1776.6499999999999</v>
      </c>
      <c r="L35" s="113">
        <v>1217.75</v>
      </c>
      <c r="M35" s="113">
        <v>1151.53</v>
      </c>
      <c r="N35" s="113">
        <v>965.8900000000001</v>
      </c>
      <c r="O35" s="113">
        <v>8643.5869999999995</v>
      </c>
    </row>
    <row r="36" spans="1:15">
      <c r="A36" s="55">
        <v>5</v>
      </c>
      <c r="B36" s="112" t="s">
        <v>118</v>
      </c>
      <c r="C36" s="113">
        <v>0</v>
      </c>
      <c r="D36" s="113">
        <v>0</v>
      </c>
      <c r="E36" s="113">
        <v>0</v>
      </c>
      <c r="F36" s="113">
        <v>518.70000000000005</v>
      </c>
      <c r="G36" s="113">
        <v>3678.0000000000005</v>
      </c>
      <c r="H36" s="113">
        <v>2195.9</v>
      </c>
      <c r="I36" s="113">
        <v>374.6</v>
      </c>
      <c r="J36" s="113">
        <v>0</v>
      </c>
      <c r="K36" s="113">
        <v>0</v>
      </c>
      <c r="L36" s="113">
        <v>0</v>
      </c>
      <c r="M36" s="113">
        <v>0</v>
      </c>
      <c r="N36" s="113">
        <v>0</v>
      </c>
      <c r="O36" s="113">
        <v>6767.2000000000007</v>
      </c>
    </row>
    <row r="37" spans="1:15">
      <c r="A37" s="116"/>
      <c r="B37" s="112" t="s">
        <v>203</v>
      </c>
      <c r="C37" s="113">
        <f>SUM(C38:C58)</f>
        <v>85.07</v>
      </c>
      <c r="D37" s="113">
        <f t="shared" ref="D37:O37" si="3">SUM(D38:D58)</f>
        <v>129.80000000000001</v>
      </c>
      <c r="E37" s="113">
        <f t="shared" si="3"/>
        <v>120</v>
      </c>
      <c r="F37" s="113">
        <f t="shared" si="3"/>
        <v>189.05</v>
      </c>
      <c r="G37" s="113">
        <f t="shared" si="3"/>
        <v>1508.3580000000002</v>
      </c>
      <c r="H37" s="113">
        <f t="shared" si="3"/>
        <v>4328.75</v>
      </c>
      <c r="I37" s="113">
        <f t="shared" si="3"/>
        <v>2735.0500000000006</v>
      </c>
      <c r="J37" s="113">
        <f t="shared" si="3"/>
        <v>422.5</v>
      </c>
      <c r="K37" s="113">
        <f t="shared" si="3"/>
        <v>115.1</v>
      </c>
      <c r="L37" s="113">
        <f t="shared" si="3"/>
        <v>27</v>
      </c>
      <c r="M37" s="113">
        <f t="shared" si="3"/>
        <v>46</v>
      </c>
      <c r="N37" s="113">
        <f t="shared" si="3"/>
        <v>134.5</v>
      </c>
      <c r="O37" s="113">
        <f t="shared" si="3"/>
        <v>9841.1779999999999</v>
      </c>
    </row>
    <row r="38" spans="1:15">
      <c r="B38" s="112" t="s">
        <v>122</v>
      </c>
      <c r="C38" s="113">
        <v>0</v>
      </c>
      <c r="D38" s="113">
        <v>0</v>
      </c>
      <c r="E38" s="113">
        <v>0</v>
      </c>
      <c r="F38" s="113">
        <v>0</v>
      </c>
      <c r="G38" s="113">
        <v>581.30000000000007</v>
      </c>
      <c r="H38" s="113">
        <v>2233.9</v>
      </c>
      <c r="I38" s="113">
        <v>1353.6000000000001</v>
      </c>
      <c r="J38" s="113">
        <v>64.5</v>
      </c>
      <c r="K38" s="113">
        <v>0</v>
      </c>
      <c r="L38" s="113">
        <v>0</v>
      </c>
      <c r="M38" s="113">
        <v>0</v>
      </c>
      <c r="N38" s="113">
        <v>0</v>
      </c>
      <c r="O38" s="113">
        <v>4233.3</v>
      </c>
    </row>
    <row r="39" spans="1:15">
      <c r="B39" s="102" t="s">
        <v>119</v>
      </c>
      <c r="C39" s="103">
        <v>0</v>
      </c>
      <c r="D39" s="103">
        <v>0</v>
      </c>
      <c r="E39" s="103">
        <v>0</v>
      </c>
      <c r="F39" s="103">
        <v>77.3</v>
      </c>
      <c r="G39" s="103">
        <v>571.15000000000009</v>
      </c>
      <c r="H39" s="103">
        <v>1044</v>
      </c>
      <c r="I39" s="103">
        <v>327.50000000000006</v>
      </c>
      <c r="J39" s="103">
        <v>1.8</v>
      </c>
      <c r="K39" s="103">
        <v>0</v>
      </c>
      <c r="L39" s="103">
        <v>0</v>
      </c>
      <c r="M39" s="103">
        <v>0</v>
      </c>
      <c r="N39" s="103">
        <v>0</v>
      </c>
      <c r="O39" s="103">
        <v>2021.75</v>
      </c>
    </row>
    <row r="40" spans="1:15">
      <c r="B40" s="102" t="s">
        <v>123</v>
      </c>
      <c r="C40" s="103">
        <v>0</v>
      </c>
      <c r="D40" s="103">
        <v>10</v>
      </c>
      <c r="E40" s="103">
        <v>0</v>
      </c>
      <c r="F40" s="103">
        <v>0</v>
      </c>
      <c r="G40" s="103">
        <v>0</v>
      </c>
      <c r="H40" s="103">
        <v>377.8</v>
      </c>
      <c r="I40" s="103">
        <v>679.75</v>
      </c>
      <c r="J40" s="103">
        <v>174.1</v>
      </c>
      <c r="K40" s="103">
        <v>20</v>
      </c>
      <c r="L40" s="103">
        <v>0</v>
      </c>
      <c r="M40" s="103">
        <v>0</v>
      </c>
      <c r="N40" s="103">
        <v>42</v>
      </c>
      <c r="O40" s="103">
        <v>1303.6499999999999</v>
      </c>
    </row>
    <row r="41" spans="1:15">
      <c r="B41" s="102" t="s">
        <v>129</v>
      </c>
      <c r="C41" s="103">
        <v>83</v>
      </c>
      <c r="D41" s="103">
        <v>119</v>
      </c>
      <c r="E41" s="103">
        <v>114</v>
      </c>
      <c r="F41" s="103">
        <v>60</v>
      </c>
      <c r="G41" s="103">
        <v>56</v>
      </c>
      <c r="H41" s="103">
        <v>18</v>
      </c>
      <c r="I41" s="103">
        <v>70</v>
      </c>
      <c r="J41" s="103">
        <v>98</v>
      </c>
      <c r="K41" s="103">
        <v>72</v>
      </c>
      <c r="L41" s="103">
        <v>27</v>
      </c>
      <c r="M41" s="103">
        <v>46</v>
      </c>
      <c r="N41" s="103">
        <v>61</v>
      </c>
      <c r="O41" s="103">
        <v>824</v>
      </c>
    </row>
    <row r="42" spans="1:15">
      <c r="B42" s="102" t="s">
        <v>120</v>
      </c>
      <c r="C42" s="103">
        <v>0</v>
      </c>
      <c r="D42" s="103">
        <v>0.8</v>
      </c>
      <c r="E42" s="103">
        <v>6</v>
      </c>
      <c r="F42" s="103">
        <v>13.2</v>
      </c>
      <c r="G42" s="103">
        <v>165</v>
      </c>
      <c r="H42" s="103">
        <v>328.1</v>
      </c>
      <c r="I42" s="103">
        <v>104.30000000000001</v>
      </c>
      <c r="J42" s="103">
        <v>8.6</v>
      </c>
      <c r="K42" s="103">
        <v>0</v>
      </c>
      <c r="L42" s="103">
        <v>0</v>
      </c>
      <c r="M42" s="103">
        <v>0</v>
      </c>
      <c r="N42" s="103">
        <v>0</v>
      </c>
      <c r="O42" s="103">
        <v>626.00000000000011</v>
      </c>
    </row>
    <row r="43" spans="1:15">
      <c r="B43" s="102" t="s">
        <v>117</v>
      </c>
      <c r="C43" s="103">
        <v>0</v>
      </c>
      <c r="D43" s="103">
        <v>0</v>
      </c>
      <c r="E43" s="103">
        <v>0</v>
      </c>
      <c r="F43" s="103">
        <v>24.15</v>
      </c>
      <c r="G43" s="103">
        <v>75.108000000000004</v>
      </c>
      <c r="H43" s="103">
        <v>244.45000000000002</v>
      </c>
      <c r="I43" s="103">
        <v>133.75</v>
      </c>
      <c r="J43" s="103">
        <v>43.5</v>
      </c>
      <c r="K43" s="103">
        <v>17.100000000000001</v>
      </c>
      <c r="L43" s="103">
        <v>0</v>
      </c>
      <c r="M43" s="103">
        <v>0</v>
      </c>
      <c r="N43" s="103">
        <v>0</v>
      </c>
      <c r="O43" s="103">
        <v>538.05800000000011</v>
      </c>
    </row>
    <row r="44" spans="1:15">
      <c r="B44" s="102" t="s">
        <v>113</v>
      </c>
      <c r="C44" s="104">
        <v>0</v>
      </c>
      <c r="D44" s="104">
        <v>0</v>
      </c>
      <c r="E44" s="104">
        <v>0</v>
      </c>
      <c r="F44" s="104">
        <v>0</v>
      </c>
      <c r="G44" s="104">
        <v>21.099999999999998</v>
      </c>
      <c r="H44" s="104">
        <v>36.299999999999997</v>
      </c>
      <c r="I44" s="104">
        <v>66.150000000000006</v>
      </c>
      <c r="J44" s="104">
        <v>32</v>
      </c>
      <c r="K44" s="104">
        <v>6</v>
      </c>
      <c r="L44" s="104">
        <v>0</v>
      </c>
      <c r="M44" s="104">
        <v>0</v>
      </c>
      <c r="N44" s="104">
        <v>0</v>
      </c>
      <c r="O44" s="103">
        <v>161.55000000000001</v>
      </c>
    </row>
    <row r="45" spans="1:15">
      <c r="B45" s="102" t="s">
        <v>125</v>
      </c>
      <c r="C45" s="103">
        <v>0</v>
      </c>
      <c r="D45" s="103">
        <v>0</v>
      </c>
      <c r="E45" s="103">
        <v>0</v>
      </c>
      <c r="F45" s="103">
        <v>0</v>
      </c>
      <c r="G45" s="103">
        <v>0</v>
      </c>
      <c r="H45" s="103">
        <v>46.2</v>
      </c>
      <c r="I45" s="103">
        <v>0</v>
      </c>
      <c r="J45" s="103">
        <v>0</v>
      </c>
      <c r="K45" s="103">
        <v>0</v>
      </c>
      <c r="L45" s="103">
        <v>0</v>
      </c>
      <c r="M45" s="103">
        <v>0</v>
      </c>
      <c r="N45" s="103">
        <v>0</v>
      </c>
      <c r="O45" s="103">
        <v>46.2</v>
      </c>
    </row>
    <row r="46" spans="1:15">
      <c r="B46" s="102" t="s">
        <v>121</v>
      </c>
      <c r="C46" s="103">
        <v>0</v>
      </c>
      <c r="D46" s="103">
        <v>0</v>
      </c>
      <c r="E46" s="103">
        <v>0</v>
      </c>
      <c r="F46" s="103">
        <v>6.3</v>
      </c>
      <c r="G46" s="103">
        <v>0</v>
      </c>
      <c r="H46" s="103">
        <v>0</v>
      </c>
      <c r="I46" s="103">
        <v>0</v>
      </c>
      <c r="J46" s="103">
        <v>0</v>
      </c>
      <c r="K46" s="103">
        <v>0</v>
      </c>
      <c r="L46" s="103">
        <v>0</v>
      </c>
      <c r="M46" s="103">
        <v>0</v>
      </c>
      <c r="N46" s="103">
        <v>31.5</v>
      </c>
      <c r="O46" s="103">
        <v>37.799999999999997</v>
      </c>
    </row>
    <row r="47" spans="1:15">
      <c r="B47" s="102" t="s">
        <v>127</v>
      </c>
      <c r="C47" s="103">
        <v>0</v>
      </c>
      <c r="D47" s="103">
        <v>0</v>
      </c>
      <c r="E47" s="103">
        <v>0</v>
      </c>
      <c r="F47" s="103">
        <v>3.1</v>
      </c>
      <c r="G47" s="103">
        <v>25.7</v>
      </c>
      <c r="H47" s="103">
        <v>0</v>
      </c>
      <c r="I47" s="103">
        <v>0</v>
      </c>
      <c r="J47" s="103">
        <v>0</v>
      </c>
      <c r="K47" s="103">
        <v>0</v>
      </c>
      <c r="L47" s="103">
        <v>0</v>
      </c>
      <c r="M47" s="103">
        <v>0</v>
      </c>
      <c r="N47" s="103">
        <v>0</v>
      </c>
      <c r="O47" s="103">
        <v>28.8</v>
      </c>
    </row>
    <row r="48" spans="1:15">
      <c r="B48" s="102" t="s">
        <v>124</v>
      </c>
      <c r="C48" s="103">
        <v>0</v>
      </c>
      <c r="D48" s="103">
        <v>0</v>
      </c>
      <c r="E48" s="103">
        <v>0</v>
      </c>
      <c r="F48" s="103">
        <v>5</v>
      </c>
      <c r="G48" s="103">
        <v>13</v>
      </c>
      <c r="H48" s="103">
        <v>0</v>
      </c>
      <c r="I48" s="103">
        <v>0</v>
      </c>
      <c r="J48" s="103">
        <v>0</v>
      </c>
      <c r="K48" s="103">
        <v>0</v>
      </c>
      <c r="L48" s="103">
        <v>0</v>
      </c>
      <c r="M48" s="103">
        <v>0</v>
      </c>
      <c r="N48" s="103">
        <v>0</v>
      </c>
      <c r="O48" s="103">
        <v>18</v>
      </c>
    </row>
    <row r="49" spans="2:15">
      <c r="B49" s="102" t="s">
        <v>126</v>
      </c>
      <c r="C49" s="103">
        <v>2.0699999999999998</v>
      </c>
      <c r="D49" s="103">
        <v>0</v>
      </c>
      <c r="E49" s="103">
        <v>0</v>
      </c>
      <c r="F49" s="103">
        <v>0</v>
      </c>
      <c r="G49" s="103">
        <v>0</v>
      </c>
      <c r="H49" s="103">
        <v>0</v>
      </c>
      <c r="I49" s="103">
        <v>0</v>
      </c>
      <c r="J49" s="103">
        <v>0</v>
      </c>
      <c r="K49" s="103">
        <v>0</v>
      </c>
      <c r="L49" s="103">
        <v>0</v>
      </c>
      <c r="M49" s="103">
        <v>0</v>
      </c>
      <c r="N49" s="103">
        <v>0</v>
      </c>
      <c r="O49" s="103">
        <v>2.0699999999999998</v>
      </c>
    </row>
    <row r="50" spans="2:15">
      <c r="B50" s="102" t="s">
        <v>112</v>
      </c>
      <c r="C50" s="104">
        <v>0</v>
      </c>
      <c r="D50" s="104">
        <v>0</v>
      </c>
      <c r="E50" s="104">
        <v>0</v>
      </c>
      <c r="F50" s="104">
        <v>0</v>
      </c>
      <c r="G50" s="104">
        <v>0</v>
      </c>
      <c r="H50" s="104">
        <v>0</v>
      </c>
      <c r="I50" s="104">
        <v>0</v>
      </c>
      <c r="J50" s="104">
        <v>0</v>
      </c>
      <c r="K50" s="104">
        <v>0</v>
      </c>
      <c r="L50" s="104">
        <v>0</v>
      </c>
      <c r="M50" s="104">
        <v>0</v>
      </c>
      <c r="N50" s="104">
        <v>0</v>
      </c>
      <c r="O50" s="103">
        <v>0</v>
      </c>
    </row>
    <row r="51" spans="2:15">
      <c r="B51" s="102" t="s">
        <v>606</v>
      </c>
      <c r="C51" s="103">
        <v>0</v>
      </c>
      <c r="D51" s="103">
        <v>0</v>
      </c>
      <c r="E51" s="103">
        <v>0</v>
      </c>
      <c r="F51" s="103">
        <v>0</v>
      </c>
      <c r="G51" s="103">
        <v>0</v>
      </c>
      <c r="H51" s="103">
        <v>0</v>
      </c>
      <c r="I51" s="103">
        <v>0</v>
      </c>
      <c r="J51" s="103">
        <v>0</v>
      </c>
      <c r="K51" s="103">
        <v>0</v>
      </c>
      <c r="L51" s="103">
        <v>0</v>
      </c>
      <c r="M51" s="103">
        <v>0</v>
      </c>
      <c r="N51" s="103">
        <v>0</v>
      </c>
      <c r="O51" s="103">
        <v>0</v>
      </c>
    </row>
    <row r="52" spans="2:15">
      <c r="B52" s="102" t="s">
        <v>607</v>
      </c>
      <c r="C52" s="103">
        <v>0</v>
      </c>
      <c r="D52" s="103">
        <v>0</v>
      </c>
      <c r="E52" s="103">
        <v>0</v>
      </c>
      <c r="F52" s="103">
        <v>0</v>
      </c>
      <c r="G52" s="103">
        <v>0</v>
      </c>
      <c r="H52" s="103">
        <v>0</v>
      </c>
      <c r="I52" s="103">
        <v>0</v>
      </c>
      <c r="J52" s="103">
        <v>0</v>
      </c>
      <c r="K52" s="103">
        <v>0</v>
      </c>
      <c r="L52" s="103">
        <v>0</v>
      </c>
      <c r="M52" s="103">
        <v>0</v>
      </c>
      <c r="N52" s="103">
        <v>0</v>
      </c>
      <c r="O52" s="103">
        <v>0</v>
      </c>
    </row>
    <row r="53" spans="2:15">
      <c r="B53" s="102" t="s">
        <v>615</v>
      </c>
      <c r="C53" s="103">
        <v>0</v>
      </c>
      <c r="D53" s="103">
        <v>0</v>
      </c>
      <c r="E53" s="103">
        <v>0</v>
      </c>
      <c r="F53" s="103">
        <v>0</v>
      </c>
      <c r="G53" s="103">
        <v>0</v>
      </c>
      <c r="H53" s="103">
        <v>0</v>
      </c>
      <c r="I53" s="103">
        <v>0</v>
      </c>
      <c r="J53" s="103">
        <v>0</v>
      </c>
      <c r="K53" s="103">
        <v>0</v>
      </c>
      <c r="L53" s="103">
        <v>0</v>
      </c>
      <c r="M53" s="103">
        <v>0</v>
      </c>
      <c r="N53" s="103">
        <v>0</v>
      </c>
      <c r="O53" s="103">
        <v>0</v>
      </c>
    </row>
    <row r="54" spans="2:15">
      <c r="B54" s="102" t="s">
        <v>609</v>
      </c>
      <c r="C54" s="103">
        <v>0</v>
      </c>
      <c r="D54" s="103">
        <v>0</v>
      </c>
      <c r="E54" s="103">
        <v>0</v>
      </c>
      <c r="F54" s="103">
        <v>0</v>
      </c>
      <c r="G54" s="103">
        <v>0</v>
      </c>
      <c r="H54" s="103">
        <v>0</v>
      </c>
      <c r="I54" s="103">
        <v>0</v>
      </c>
      <c r="J54" s="103">
        <v>0</v>
      </c>
      <c r="K54" s="103">
        <v>0</v>
      </c>
      <c r="L54" s="103">
        <v>0</v>
      </c>
      <c r="M54" s="103">
        <v>0</v>
      </c>
      <c r="N54" s="103">
        <v>0</v>
      </c>
      <c r="O54" s="103">
        <v>0</v>
      </c>
    </row>
    <row r="55" spans="2:15">
      <c r="B55" s="102" t="s">
        <v>610</v>
      </c>
      <c r="C55" s="103">
        <v>0</v>
      </c>
      <c r="D55" s="103">
        <v>0</v>
      </c>
      <c r="E55" s="103">
        <v>0</v>
      </c>
      <c r="F55" s="103">
        <v>0</v>
      </c>
      <c r="G55" s="103">
        <v>0</v>
      </c>
      <c r="H55" s="103">
        <v>0</v>
      </c>
      <c r="I55" s="103">
        <v>0</v>
      </c>
      <c r="J55" s="103">
        <v>0</v>
      </c>
      <c r="K55" s="103">
        <v>0</v>
      </c>
      <c r="L55" s="103">
        <v>0</v>
      </c>
      <c r="M55" s="103">
        <v>0</v>
      </c>
      <c r="N55" s="103">
        <v>0</v>
      </c>
      <c r="O55" s="103">
        <v>0</v>
      </c>
    </row>
    <row r="56" spans="2:15">
      <c r="B56" s="102" t="s">
        <v>611</v>
      </c>
      <c r="C56" s="103">
        <v>0</v>
      </c>
      <c r="D56" s="103">
        <v>0</v>
      </c>
      <c r="E56" s="103">
        <v>0</v>
      </c>
      <c r="F56" s="103">
        <v>0</v>
      </c>
      <c r="G56" s="103">
        <v>0</v>
      </c>
      <c r="H56" s="103">
        <v>0</v>
      </c>
      <c r="I56" s="103">
        <v>0</v>
      </c>
      <c r="J56" s="103">
        <v>0</v>
      </c>
      <c r="K56" s="103">
        <v>0</v>
      </c>
      <c r="L56" s="103">
        <v>0</v>
      </c>
      <c r="M56" s="103">
        <v>0</v>
      </c>
      <c r="N56" s="103">
        <v>0</v>
      </c>
      <c r="O56" s="103">
        <v>0</v>
      </c>
    </row>
    <row r="57" spans="2:15">
      <c r="B57" s="102" t="s">
        <v>612</v>
      </c>
      <c r="C57" s="103">
        <v>0</v>
      </c>
      <c r="D57" s="103">
        <v>0</v>
      </c>
      <c r="E57" s="103">
        <v>0</v>
      </c>
      <c r="F57" s="103">
        <v>0</v>
      </c>
      <c r="G57" s="103">
        <v>0</v>
      </c>
      <c r="H57" s="103">
        <v>0</v>
      </c>
      <c r="I57" s="103">
        <v>0</v>
      </c>
      <c r="J57" s="103">
        <v>0</v>
      </c>
      <c r="K57" s="103">
        <v>0</v>
      </c>
      <c r="L57" s="103">
        <v>0</v>
      </c>
      <c r="M57" s="103">
        <v>0</v>
      </c>
      <c r="N57" s="103">
        <v>0</v>
      </c>
      <c r="O57" s="103">
        <v>0</v>
      </c>
    </row>
    <row r="58" spans="2:15">
      <c r="B58" s="105" t="s">
        <v>613</v>
      </c>
      <c r="C58" s="106">
        <v>0</v>
      </c>
      <c r="D58" s="106">
        <v>0</v>
      </c>
      <c r="E58" s="106">
        <v>0</v>
      </c>
      <c r="F58" s="106">
        <v>0</v>
      </c>
      <c r="G58" s="106">
        <v>0</v>
      </c>
      <c r="H58" s="106">
        <v>0</v>
      </c>
      <c r="I58" s="106">
        <v>0</v>
      </c>
      <c r="J58" s="106">
        <v>0</v>
      </c>
      <c r="K58" s="106">
        <v>0</v>
      </c>
      <c r="L58" s="106">
        <v>0</v>
      </c>
      <c r="M58" s="106">
        <v>0</v>
      </c>
      <c r="N58" s="106">
        <v>0</v>
      </c>
      <c r="O58" s="106">
        <v>0</v>
      </c>
    </row>
    <row r="59" spans="2:15">
      <c r="B59" s="107" t="s">
        <v>130</v>
      </c>
      <c r="C59" s="108"/>
      <c r="D59" s="108"/>
      <c r="E59" s="108"/>
      <c r="F59" s="101"/>
      <c r="G59" s="101"/>
      <c r="H59" s="101"/>
      <c r="I59" s="101"/>
      <c r="J59" s="101"/>
      <c r="K59" s="101"/>
      <c r="L59" s="101"/>
      <c r="M59" s="101"/>
      <c r="N59" s="101"/>
      <c r="O59" s="101"/>
    </row>
    <row r="60" spans="2:15">
      <c r="B60" s="107" t="s">
        <v>131</v>
      </c>
      <c r="C60" s="108"/>
      <c r="D60" s="108"/>
      <c r="E60" s="108"/>
      <c r="F60" s="101"/>
      <c r="G60" s="101"/>
      <c r="H60" s="101"/>
      <c r="I60" s="101"/>
      <c r="J60" s="101"/>
      <c r="K60" s="101"/>
      <c r="L60" s="101"/>
      <c r="M60" s="101"/>
      <c r="N60" s="101"/>
      <c r="O60" s="101"/>
    </row>
    <row r="61" spans="2:15"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</row>
  </sheetData>
  <sortState xmlns:xlrd2="http://schemas.microsoft.com/office/spreadsheetml/2017/richdata2" ref="B31:O60">
    <sortCondition descending="1" ref="O32:O60"/>
  </sortState>
  <mergeCells count="4">
    <mergeCell ref="A3:A4"/>
    <mergeCell ref="Q3:Q4"/>
    <mergeCell ref="C2:O2"/>
    <mergeCell ref="A30:A31"/>
  </mergeCells>
  <phoneticPr fontId="19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56720-30E1-4C45-B8B4-BEF69B933318}">
  <dimension ref="A2:Q24"/>
  <sheetViews>
    <sheetView tabSelected="1" workbookViewId="0">
      <selection activeCell="H2" sqref="H2:J9"/>
    </sheetView>
  </sheetViews>
  <sheetFormatPr baseColWidth="10" defaultRowHeight="14.4"/>
  <cols>
    <col min="1" max="1" width="6.109375" customWidth="1"/>
    <col min="2" max="2" width="12.88671875" customWidth="1"/>
    <col min="3" max="7" width="9.88671875" customWidth="1"/>
    <col min="8" max="10" width="9.44140625" customWidth="1"/>
  </cols>
  <sheetData>
    <row r="2" spans="1:17" ht="31.2">
      <c r="A2" s="42" t="s">
        <v>206</v>
      </c>
      <c r="B2" s="57" t="s">
        <v>225</v>
      </c>
      <c r="C2" s="57" t="s">
        <v>601</v>
      </c>
      <c r="D2" s="57" t="s">
        <v>602</v>
      </c>
      <c r="E2" s="57" t="s">
        <v>603</v>
      </c>
      <c r="F2" s="57" t="s">
        <v>604</v>
      </c>
      <c r="G2" s="226" t="s">
        <v>605</v>
      </c>
      <c r="H2" s="161" t="s">
        <v>96</v>
      </c>
      <c r="I2" s="161" t="s">
        <v>208</v>
      </c>
      <c r="J2" s="161" t="s">
        <v>621</v>
      </c>
      <c r="L2" s="57"/>
      <c r="M2" s="57" t="s">
        <v>601</v>
      </c>
      <c r="N2" s="57" t="s">
        <v>602</v>
      </c>
      <c r="O2" s="57" t="s">
        <v>603</v>
      </c>
      <c r="P2" s="57" t="s">
        <v>604</v>
      </c>
      <c r="Q2" s="57" t="s">
        <v>605</v>
      </c>
    </row>
    <row r="3" spans="1:17" s="117" customFormat="1" ht="15.6">
      <c r="A3" s="119"/>
      <c r="B3" s="121" t="s">
        <v>89</v>
      </c>
      <c r="C3" s="124">
        <f>SUM(C4:C12)</f>
        <v>126908730</v>
      </c>
      <c r="D3" s="124">
        <f>SUM(D4:D12)</f>
        <v>136048014</v>
      </c>
      <c r="E3" s="124">
        <f>SUM(E4:E12)</f>
        <v>128951591</v>
      </c>
      <c r="F3" s="124">
        <f>SUM(F4:F12)</f>
        <v>107039675.98000003</v>
      </c>
      <c r="G3" s="227">
        <f>SUM(G4:G12)</f>
        <v>91485484.949999869</v>
      </c>
      <c r="H3" s="232">
        <f>G3/$G$3</f>
        <v>1</v>
      </c>
      <c r="I3" s="231">
        <f>(G3/F3)-1</f>
        <v>-0.14531238895852416</v>
      </c>
      <c r="J3" s="231">
        <f>((G3/C3)^(1/4))-1</f>
        <v>-7.8564003766458113E-2</v>
      </c>
      <c r="L3" s="6" t="s">
        <v>221</v>
      </c>
      <c r="M3" s="122">
        <v>99825811</v>
      </c>
      <c r="N3" s="122">
        <v>109103761</v>
      </c>
      <c r="O3" s="122">
        <v>92820127</v>
      </c>
      <c r="P3" s="122">
        <v>76524330.820000023</v>
      </c>
      <c r="Q3" s="123">
        <v>61838170.499999888</v>
      </c>
    </row>
    <row r="4" spans="1:17">
      <c r="A4" s="97">
        <v>1</v>
      </c>
      <c r="B4" s="6" t="s">
        <v>221</v>
      </c>
      <c r="C4" s="122">
        <v>99825811</v>
      </c>
      <c r="D4" s="122">
        <v>109103761</v>
      </c>
      <c r="E4" s="122">
        <v>92820127</v>
      </c>
      <c r="F4" s="122">
        <v>76524330.820000023</v>
      </c>
      <c r="G4" s="228">
        <v>61838170.499999888</v>
      </c>
      <c r="H4" s="230">
        <f t="shared" ref="H4:H12" si="0">G4/$G$3</f>
        <v>0.67593422643817969</v>
      </c>
      <c r="I4" s="230">
        <f t="shared" ref="I4:I24" si="1">(G4/F4)-1</f>
        <v>-0.19191491336977273</v>
      </c>
      <c r="J4" s="230">
        <f t="shared" ref="J4:J24" si="2">((G4/C4)^(1/4))-1</f>
        <v>-0.11283694798758337</v>
      </c>
      <c r="L4" s="6" t="s">
        <v>213</v>
      </c>
      <c r="M4" s="122">
        <v>6134873</v>
      </c>
      <c r="N4" s="122">
        <v>13666299</v>
      </c>
      <c r="O4" s="122">
        <v>15112506</v>
      </c>
      <c r="P4" s="122">
        <v>13266350.349999996</v>
      </c>
      <c r="Q4" s="123">
        <v>13101429.309999991</v>
      </c>
    </row>
    <row r="5" spans="1:17">
      <c r="A5" s="97">
        <v>2</v>
      </c>
      <c r="B5" s="6" t="s">
        <v>213</v>
      </c>
      <c r="C5" s="122">
        <v>6134873</v>
      </c>
      <c r="D5" s="122">
        <v>13666299</v>
      </c>
      <c r="E5" s="122">
        <v>15112506</v>
      </c>
      <c r="F5" s="122">
        <v>13266350.349999996</v>
      </c>
      <c r="G5" s="228">
        <v>13101429.309999991</v>
      </c>
      <c r="H5" s="231">
        <f t="shared" si="0"/>
        <v>0.14320773745868426</v>
      </c>
      <c r="I5" s="231">
        <f t="shared" si="1"/>
        <v>-1.2431530575400807E-2</v>
      </c>
      <c r="J5" s="231">
        <f t="shared" si="2"/>
        <v>0.2088663126374406</v>
      </c>
      <c r="L5" s="6" t="s">
        <v>214</v>
      </c>
      <c r="M5" s="122">
        <v>8668186</v>
      </c>
      <c r="N5" s="122">
        <v>5280232</v>
      </c>
      <c r="O5" s="122">
        <v>5953100</v>
      </c>
      <c r="P5" s="122">
        <v>4889813.8699999982</v>
      </c>
      <c r="Q5" s="123">
        <v>7664715.7499999963</v>
      </c>
    </row>
    <row r="6" spans="1:17">
      <c r="A6" s="97">
        <v>3</v>
      </c>
      <c r="B6" s="6" t="s">
        <v>214</v>
      </c>
      <c r="C6" s="122">
        <v>8668186</v>
      </c>
      <c r="D6" s="122">
        <v>5280232</v>
      </c>
      <c r="E6" s="122">
        <v>5953100</v>
      </c>
      <c r="F6" s="122">
        <v>4889813.8699999982</v>
      </c>
      <c r="G6" s="228">
        <v>7664715.7499999963</v>
      </c>
      <c r="H6" s="230">
        <f t="shared" si="0"/>
        <v>8.3780675745327701E-2</v>
      </c>
      <c r="I6" s="230">
        <f t="shared" si="1"/>
        <v>0.56748619758813001</v>
      </c>
      <c r="J6" s="230">
        <f t="shared" si="2"/>
        <v>-3.028981312850676E-2</v>
      </c>
      <c r="L6" s="6" t="s">
        <v>212</v>
      </c>
      <c r="M6" s="122">
        <v>2966815</v>
      </c>
      <c r="N6" s="122">
        <v>2564361</v>
      </c>
      <c r="O6" s="122">
        <v>7261752</v>
      </c>
      <c r="P6" s="122">
        <v>8126129.1699999981</v>
      </c>
      <c r="Q6" s="123">
        <v>4906256.93</v>
      </c>
    </row>
    <row r="7" spans="1:17">
      <c r="A7" s="97">
        <v>4</v>
      </c>
      <c r="B7" s="6" t="s">
        <v>212</v>
      </c>
      <c r="C7" s="122">
        <v>2966815</v>
      </c>
      <c r="D7" s="122">
        <v>2564361</v>
      </c>
      <c r="E7" s="122">
        <v>7261752</v>
      </c>
      <c r="F7" s="122">
        <v>8126129.1699999981</v>
      </c>
      <c r="G7" s="228">
        <v>4906256.93</v>
      </c>
      <c r="H7" s="231">
        <f t="shared" si="0"/>
        <v>5.3628801691125612E-2</v>
      </c>
      <c r="I7" s="231">
        <f t="shared" si="1"/>
        <v>-0.39623690106811327</v>
      </c>
      <c r="J7" s="231">
        <f t="shared" si="2"/>
        <v>0.13400496324235434</v>
      </c>
      <c r="L7" s="6" t="s">
        <v>223</v>
      </c>
      <c r="M7" s="122">
        <v>5257756</v>
      </c>
      <c r="N7" s="122">
        <v>3288568</v>
      </c>
      <c r="O7" s="122">
        <v>998685</v>
      </c>
      <c r="P7" s="122">
        <v>1963610.4699999997</v>
      </c>
      <c r="Q7" s="123">
        <v>1143191.27</v>
      </c>
    </row>
    <row r="8" spans="1:17">
      <c r="A8" s="97">
        <v>5</v>
      </c>
      <c r="B8" s="6" t="s">
        <v>223</v>
      </c>
      <c r="C8" s="122">
        <v>5257756</v>
      </c>
      <c r="D8" s="122">
        <v>3288568</v>
      </c>
      <c r="E8" s="122">
        <v>998685</v>
      </c>
      <c r="F8" s="122">
        <v>1963610.4699999997</v>
      </c>
      <c r="G8" s="228">
        <v>1143191.27</v>
      </c>
      <c r="H8" s="230">
        <f t="shared" si="0"/>
        <v>1.2495875937311754E-2</v>
      </c>
      <c r="I8" s="230">
        <f t="shared" si="1"/>
        <v>-0.41781158357746984</v>
      </c>
      <c r="J8" s="230">
        <f t="shared" si="2"/>
        <v>-0.31714323244111808</v>
      </c>
      <c r="L8" t="s">
        <v>203</v>
      </c>
      <c r="M8">
        <v>2463131</v>
      </c>
      <c r="N8">
        <v>1901853</v>
      </c>
      <c r="O8">
        <v>4321275</v>
      </c>
      <c r="P8">
        <v>1229024.6500000001</v>
      </c>
      <c r="Q8">
        <v>1143191.27</v>
      </c>
    </row>
    <row r="9" spans="1:17">
      <c r="A9" s="97"/>
      <c r="B9" s="6" t="s">
        <v>203</v>
      </c>
      <c r="C9" s="122">
        <v>2463131</v>
      </c>
      <c r="D9" s="122">
        <v>1901853</v>
      </c>
      <c r="E9" s="122">
        <v>4321275</v>
      </c>
      <c r="F9" s="122">
        <v>1229024.6500000001</v>
      </c>
      <c r="G9" s="228">
        <v>1143191.27</v>
      </c>
      <c r="H9" s="231">
        <f t="shared" si="0"/>
        <v>1.2495875937311754E-2</v>
      </c>
      <c r="I9" s="231">
        <f t="shared" si="1"/>
        <v>-6.983861552329329E-2</v>
      </c>
      <c r="J9" s="231">
        <f t="shared" si="2"/>
        <v>-0.17461257633707827</v>
      </c>
    </row>
    <row r="10" spans="1:17">
      <c r="A10" s="97">
        <v>6</v>
      </c>
      <c r="B10" s="6" t="s">
        <v>218</v>
      </c>
      <c r="C10" s="122">
        <v>229</v>
      </c>
      <c r="D10" s="122">
        <v>169480</v>
      </c>
      <c r="E10" s="122">
        <v>1303709</v>
      </c>
      <c r="F10" s="122">
        <v>748542.14</v>
      </c>
      <c r="G10" s="123">
        <v>1122990.6599999999</v>
      </c>
      <c r="H10" s="229">
        <f t="shared" si="0"/>
        <v>1.2275069215775104E-2</v>
      </c>
      <c r="I10" s="229">
        <f t="shared" si="1"/>
        <v>0.50023706080194752</v>
      </c>
      <c r="J10" s="229">
        <f t="shared" si="2"/>
        <v>7.368260005818918</v>
      </c>
    </row>
    <row r="11" spans="1:17">
      <c r="A11" s="97">
        <v>7</v>
      </c>
      <c r="B11" s="6" t="s">
        <v>222</v>
      </c>
      <c r="C11" s="122">
        <v>10547</v>
      </c>
      <c r="D11" s="122">
        <v>16879</v>
      </c>
      <c r="E11" s="122">
        <v>1082136</v>
      </c>
      <c r="F11" s="122">
        <v>86569.950000000012</v>
      </c>
      <c r="G11" s="123">
        <v>372363.1</v>
      </c>
      <c r="H11" s="125">
        <f t="shared" si="0"/>
        <v>4.070187748400852E-3</v>
      </c>
      <c r="I11" s="125">
        <f t="shared" si="1"/>
        <v>3.3012973901451943</v>
      </c>
      <c r="J11" s="125">
        <f t="shared" si="2"/>
        <v>1.4375830583965867</v>
      </c>
    </row>
    <row r="12" spans="1:17">
      <c r="A12" s="97">
        <v>8</v>
      </c>
      <c r="B12" s="6" t="s">
        <v>220</v>
      </c>
      <c r="C12" s="122">
        <v>1581382</v>
      </c>
      <c r="D12" s="122">
        <v>56581</v>
      </c>
      <c r="E12" s="122">
        <v>98301</v>
      </c>
      <c r="F12" s="122">
        <v>205304.56</v>
      </c>
      <c r="G12" s="123">
        <v>193176.15999999997</v>
      </c>
      <c r="H12" s="125">
        <f t="shared" si="0"/>
        <v>2.1115498278833824E-3</v>
      </c>
      <c r="I12" s="125">
        <f t="shared" si="1"/>
        <v>-5.907516131156576E-2</v>
      </c>
      <c r="J12" s="125">
        <f t="shared" si="2"/>
        <v>-0.40880713443152705</v>
      </c>
    </row>
    <row r="13" spans="1:17">
      <c r="B13" t="s">
        <v>620</v>
      </c>
      <c r="G13" s="118">
        <v>68549.460000000006</v>
      </c>
      <c r="I13" s="120" t="e">
        <f t="shared" si="1"/>
        <v>#DIV/0!</v>
      </c>
      <c r="J13" s="125" t="e">
        <f t="shared" si="2"/>
        <v>#DIV/0!</v>
      </c>
    </row>
    <row r="14" spans="1:17">
      <c r="B14" t="s">
        <v>224</v>
      </c>
      <c r="C14">
        <v>89982</v>
      </c>
      <c r="D14">
        <v>103827</v>
      </c>
      <c r="E14">
        <v>181941</v>
      </c>
      <c r="F14">
        <v>250</v>
      </c>
      <c r="G14" s="118">
        <v>36743</v>
      </c>
      <c r="I14" s="120">
        <f t="shared" si="1"/>
        <v>145.97200000000001</v>
      </c>
      <c r="J14" s="125">
        <f t="shared" si="2"/>
        <v>-0.20061730446097004</v>
      </c>
    </row>
    <row r="15" spans="1:17">
      <c r="A15">
        <v>5</v>
      </c>
      <c r="B15" t="s">
        <v>616</v>
      </c>
      <c r="G15" s="118">
        <v>17386.36</v>
      </c>
      <c r="I15" s="120" t="e">
        <f t="shared" si="1"/>
        <v>#DIV/0!</v>
      </c>
      <c r="J15" s="125" t="e">
        <f t="shared" si="2"/>
        <v>#DIV/0!</v>
      </c>
    </row>
    <row r="16" spans="1:17">
      <c r="B16" t="s">
        <v>219</v>
      </c>
      <c r="C16">
        <v>332046</v>
      </c>
      <c r="D16">
        <v>514983</v>
      </c>
      <c r="E16">
        <v>254803</v>
      </c>
      <c r="F16">
        <v>51538.360000000008</v>
      </c>
      <c r="G16" s="118">
        <v>13178</v>
      </c>
      <c r="I16" s="120">
        <f t="shared" si="1"/>
        <v>-0.74430695893311316</v>
      </c>
      <c r="J16" s="125">
        <f t="shared" si="2"/>
        <v>-0.5536630796060098</v>
      </c>
    </row>
    <row r="17" spans="1:10">
      <c r="B17" t="s">
        <v>217</v>
      </c>
      <c r="C17">
        <v>153858</v>
      </c>
      <c r="D17">
        <v>539896</v>
      </c>
      <c r="E17">
        <v>635599</v>
      </c>
      <c r="F17">
        <v>8086.89</v>
      </c>
      <c r="G17" s="118">
        <v>11282.59</v>
      </c>
      <c r="I17" s="120">
        <f t="shared" si="1"/>
        <v>0.39517045489675251</v>
      </c>
      <c r="J17" s="125">
        <f t="shared" si="2"/>
        <v>-0.47961810181196207</v>
      </c>
    </row>
    <row r="18" spans="1:10">
      <c r="B18" t="s">
        <v>215</v>
      </c>
      <c r="C18">
        <v>104171</v>
      </c>
      <c r="D18">
        <v>259852</v>
      </c>
      <c r="E18">
        <v>86409</v>
      </c>
      <c r="F18">
        <v>36426</v>
      </c>
      <c r="G18" s="118">
        <v>10855</v>
      </c>
      <c r="I18" s="120">
        <f t="shared" si="1"/>
        <v>-0.70199857244825126</v>
      </c>
      <c r="J18" s="125">
        <f t="shared" si="2"/>
        <v>-0.43183987744267582</v>
      </c>
    </row>
    <row r="19" spans="1:10">
      <c r="A19">
        <v>1</v>
      </c>
      <c r="B19" t="s">
        <v>210</v>
      </c>
      <c r="C19">
        <v>23348</v>
      </c>
      <c r="D19">
        <v>70540</v>
      </c>
      <c r="E19">
        <v>97054</v>
      </c>
      <c r="F19">
        <v>5299</v>
      </c>
      <c r="G19" s="118">
        <v>5830</v>
      </c>
      <c r="I19" s="120">
        <f t="shared" si="1"/>
        <v>0.10020758633704463</v>
      </c>
      <c r="J19" s="125">
        <f t="shared" si="2"/>
        <v>-0.29310531299770692</v>
      </c>
    </row>
    <row r="20" spans="1:10">
      <c r="A20">
        <v>2</v>
      </c>
      <c r="B20" t="s">
        <v>211</v>
      </c>
      <c r="C20">
        <v>123150</v>
      </c>
      <c r="D20">
        <v>86033</v>
      </c>
      <c r="E20">
        <v>579617</v>
      </c>
      <c r="F20">
        <v>8511.75</v>
      </c>
      <c r="I20" s="120">
        <f t="shared" si="1"/>
        <v>-1</v>
      </c>
      <c r="J20" s="125">
        <f t="shared" si="2"/>
        <v>-1</v>
      </c>
    </row>
    <row r="21" spans="1:10">
      <c r="B21" t="s">
        <v>216</v>
      </c>
      <c r="D21">
        <v>11000</v>
      </c>
      <c r="F21">
        <v>78496</v>
      </c>
      <c r="I21" s="120">
        <f t="shared" si="1"/>
        <v>-1</v>
      </c>
      <c r="J21" s="125" t="e">
        <f t="shared" si="2"/>
        <v>#DIV/0!</v>
      </c>
    </row>
    <row r="22" spans="1:10">
      <c r="B22" t="s">
        <v>617</v>
      </c>
      <c r="C22">
        <v>44418</v>
      </c>
      <c r="D22">
        <v>71750</v>
      </c>
      <c r="I22" s="120" t="e">
        <f t="shared" si="1"/>
        <v>#DIV/0!</v>
      </c>
      <c r="J22" s="125">
        <f t="shared" si="2"/>
        <v>-1</v>
      </c>
    </row>
    <row r="23" spans="1:10">
      <c r="B23" t="s">
        <v>618</v>
      </c>
      <c r="D23">
        <v>1032</v>
      </c>
      <c r="I23" s="120" t="e">
        <f t="shared" si="1"/>
        <v>#DIV/0!</v>
      </c>
      <c r="J23" s="125" t="e">
        <f t="shared" si="2"/>
        <v>#DIV/0!</v>
      </c>
    </row>
    <row r="24" spans="1:10">
      <c r="B24" t="s">
        <v>619</v>
      </c>
      <c r="E24">
        <v>1706</v>
      </c>
      <c r="I24" s="120" t="e">
        <f t="shared" si="1"/>
        <v>#DIV/0!</v>
      </c>
      <c r="J24" s="125" t="e">
        <f t="shared" si="2"/>
        <v>#DIV/0!</v>
      </c>
    </row>
  </sheetData>
  <sortState xmlns:xlrd2="http://schemas.microsoft.com/office/spreadsheetml/2017/richdata2" ref="A4:G24">
    <sortCondition descending="1" ref="G4:G24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3"/>
  <sheetViews>
    <sheetView workbookViewId="0">
      <selection activeCell="H2" sqref="H2:J14"/>
    </sheetView>
  </sheetViews>
  <sheetFormatPr baseColWidth="10" defaultRowHeight="14.4"/>
  <cols>
    <col min="1" max="1" width="6.44140625" customWidth="1"/>
    <col min="2" max="2" width="13.44140625" customWidth="1"/>
    <col min="3" max="5" width="9.88671875" customWidth="1"/>
    <col min="6" max="7" width="10.109375" customWidth="1"/>
    <col min="8" max="8" width="7.6640625" customWidth="1"/>
    <col min="9" max="9" width="7.44140625" customWidth="1"/>
    <col min="10" max="10" width="7.5546875" customWidth="1"/>
  </cols>
  <sheetData>
    <row r="1" spans="1:17">
      <c r="C1" s="13">
        <v>15358</v>
      </c>
      <c r="D1" s="13">
        <v>13996</v>
      </c>
      <c r="E1" s="13">
        <v>13829</v>
      </c>
      <c r="F1" s="13">
        <v>12122</v>
      </c>
      <c r="G1" s="13">
        <v>10486</v>
      </c>
    </row>
    <row r="2" spans="1:17" ht="29.25" customHeight="1">
      <c r="A2" s="42" t="s">
        <v>206</v>
      </c>
      <c r="B2" s="4" t="s">
        <v>0</v>
      </c>
      <c r="C2" s="4">
        <v>2018</v>
      </c>
      <c r="D2" s="4">
        <v>2019</v>
      </c>
      <c r="E2" s="4">
        <v>2020</v>
      </c>
      <c r="F2" s="4">
        <v>2021</v>
      </c>
      <c r="G2" s="233">
        <v>2022</v>
      </c>
      <c r="H2" s="161" t="s">
        <v>96</v>
      </c>
      <c r="I2" s="161" t="s">
        <v>95</v>
      </c>
      <c r="J2" s="161" t="s">
        <v>97</v>
      </c>
      <c r="L2" s="4"/>
      <c r="M2" s="4">
        <v>2018</v>
      </c>
      <c r="N2" s="4">
        <v>2019</v>
      </c>
      <c r="O2" s="4">
        <v>2020</v>
      </c>
      <c r="P2" s="4">
        <v>2021</v>
      </c>
      <c r="Q2" s="4">
        <v>2022</v>
      </c>
    </row>
    <row r="3" spans="1:17" ht="15.6">
      <c r="A3" s="119"/>
      <c r="B3" s="10" t="s">
        <v>89</v>
      </c>
      <c r="C3" s="10">
        <f>SUM(C4:C93)</f>
        <v>154829161</v>
      </c>
      <c r="D3" s="10">
        <f>SUM(D4:D93)</f>
        <v>171100427</v>
      </c>
      <c r="E3" s="10">
        <f>SUM(E4:E93)</f>
        <v>156644509</v>
      </c>
      <c r="F3" s="10">
        <f>SUM(F4:F93)</f>
        <v>133355803.09999999</v>
      </c>
      <c r="G3" s="234">
        <f>SUM(G4:G93)</f>
        <v>114065206.22999999</v>
      </c>
      <c r="H3" s="236">
        <f t="shared" ref="H3:H34" si="0">G3/$G$3</f>
        <v>1</v>
      </c>
      <c r="I3" s="162">
        <f t="shared" ref="I3:I34" si="1">(G3/F3)-1</f>
        <v>-0.14465509877762495</v>
      </c>
      <c r="J3" s="162">
        <f t="shared" ref="J3:J34" si="2">((G3/C3)^(1/4))-1</f>
        <v>-7.3543340562053139E-2</v>
      </c>
      <c r="L3" s="10" t="s">
        <v>624</v>
      </c>
      <c r="M3" s="10">
        <v>44859100</v>
      </c>
      <c r="N3" s="10">
        <v>49724063</v>
      </c>
      <c r="O3" s="10">
        <v>44920362</v>
      </c>
      <c r="P3" s="10">
        <v>36954114.559999995</v>
      </c>
      <c r="Q3" s="10">
        <v>31773319.289999992</v>
      </c>
    </row>
    <row r="4" spans="1:17">
      <c r="A4" s="97">
        <v>1</v>
      </c>
      <c r="B4" s="10" t="s">
        <v>1</v>
      </c>
      <c r="C4" s="10">
        <v>44859100</v>
      </c>
      <c r="D4" s="10">
        <v>49724063</v>
      </c>
      <c r="E4" s="10">
        <v>44920362</v>
      </c>
      <c r="F4" s="10">
        <v>36954114.559999995</v>
      </c>
      <c r="G4" s="234">
        <v>31773319.289999992</v>
      </c>
      <c r="H4" s="163">
        <f t="shared" si="0"/>
        <v>0.27855399854301383</v>
      </c>
      <c r="I4" s="163">
        <f t="shared" si="1"/>
        <v>-0.14019535663852212</v>
      </c>
      <c r="J4" s="163">
        <f t="shared" si="2"/>
        <v>-8.2612099880512324E-2</v>
      </c>
      <c r="K4" s="126">
        <f>SUM(H4:H13)</f>
        <v>0.58691894016312585</v>
      </c>
      <c r="L4" s="10" t="s">
        <v>2</v>
      </c>
      <c r="M4" s="10">
        <v>10287608</v>
      </c>
      <c r="N4" s="10">
        <v>9617532</v>
      </c>
      <c r="O4" s="10">
        <v>12064732</v>
      </c>
      <c r="P4" s="10">
        <v>9068304.3600000013</v>
      </c>
      <c r="Q4" s="10">
        <v>9013048.4199999962</v>
      </c>
    </row>
    <row r="5" spans="1:17">
      <c r="A5" s="97">
        <v>2</v>
      </c>
      <c r="B5" s="10" t="s">
        <v>2</v>
      </c>
      <c r="C5" s="10">
        <v>10287608</v>
      </c>
      <c r="D5" s="10">
        <v>9617532</v>
      </c>
      <c r="E5" s="10">
        <v>12064732</v>
      </c>
      <c r="F5" s="10">
        <v>9068304.3600000013</v>
      </c>
      <c r="G5" s="234">
        <v>9013048.4199999962</v>
      </c>
      <c r="H5" s="162">
        <f t="shared" si="0"/>
        <v>7.9016631958970657E-2</v>
      </c>
      <c r="I5" s="162">
        <f t="shared" si="1"/>
        <v>-6.09330452600787E-3</v>
      </c>
      <c r="J5" s="162">
        <f t="shared" si="2"/>
        <v>-3.2525951875013837E-2</v>
      </c>
      <c r="L5" s="10" t="s">
        <v>622</v>
      </c>
      <c r="M5" s="10">
        <v>7143905</v>
      </c>
      <c r="N5" s="10">
        <v>7058504</v>
      </c>
      <c r="O5" s="10">
        <v>9400498</v>
      </c>
      <c r="P5" s="10">
        <v>6928268.4500000002</v>
      </c>
      <c r="Q5" s="10">
        <v>4871862.4499999993</v>
      </c>
    </row>
    <row r="6" spans="1:17">
      <c r="A6" s="97">
        <v>3</v>
      </c>
      <c r="B6" s="10" t="s">
        <v>622</v>
      </c>
      <c r="C6" s="10">
        <v>7143905</v>
      </c>
      <c r="D6" s="10">
        <v>7058504</v>
      </c>
      <c r="E6" s="10">
        <v>9400498</v>
      </c>
      <c r="F6" s="10">
        <v>6928268.4500000002</v>
      </c>
      <c r="G6" s="234">
        <v>4871862.4499999993</v>
      </c>
      <c r="H6" s="163">
        <f t="shared" si="0"/>
        <v>4.27112053799861E-2</v>
      </c>
      <c r="I6" s="163">
        <f t="shared" si="1"/>
        <v>-0.29681384531224408</v>
      </c>
      <c r="J6" s="163">
        <f t="shared" si="2"/>
        <v>-9.1259598127142016E-2</v>
      </c>
      <c r="L6" s="10" t="s">
        <v>3</v>
      </c>
      <c r="M6" s="10">
        <v>5703124</v>
      </c>
      <c r="N6" s="10">
        <v>5428436</v>
      </c>
      <c r="O6" s="10">
        <v>6902766</v>
      </c>
      <c r="P6" s="10">
        <v>5196642.3</v>
      </c>
      <c r="Q6" s="10">
        <v>4779835.8</v>
      </c>
    </row>
    <row r="7" spans="1:17">
      <c r="A7" s="97">
        <v>4</v>
      </c>
      <c r="B7" s="10" t="s">
        <v>3</v>
      </c>
      <c r="C7" s="10">
        <v>5703124</v>
      </c>
      <c r="D7" s="10">
        <v>5428436</v>
      </c>
      <c r="E7" s="10">
        <v>6902766</v>
      </c>
      <c r="F7" s="10">
        <v>5196642.3</v>
      </c>
      <c r="G7" s="234">
        <v>4779835.8</v>
      </c>
      <c r="H7" s="162">
        <f t="shared" si="0"/>
        <v>4.1904415535461224E-2</v>
      </c>
      <c r="I7" s="162">
        <f t="shared" si="1"/>
        <v>-8.0206886666030486E-2</v>
      </c>
      <c r="J7" s="162">
        <f t="shared" si="2"/>
        <v>-4.3191464657304057E-2</v>
      </c>
      <c r="L7" s="10" t="s">
        <v>4</v>
      </c>
      <c r="M7" s="10">
        <v>6319298</v>
      </c>
      <c r="N7" s="10">
        <v>5896569</v>
      </c>
      <c r="O7" s="10">
        <v>3965351</v>
      </c>
      <c r="P7" s="10">
        <v>4457396.709999999</v>
      </c>
      <c r="Q7" s="10">
        <v>4025521.87</v>
      </c>
    </row>
    <row r="8" spans="1:17">
      <c r="A8" s="97">
        <v>5</v>
      </c>
      <c r="B8" s="10" t="s">
        <v>4</v>
      </c>
      <c r="C8" s="10">
        <v>6319298</v>
      </c>
      <c r="D8" s="10">
        <v>5896569</v>
      </c>
      <c r="E8" s="10">
        <v>3965351</v>
      </c>
      <c r="F8" s="10">
        <v>4457396.709999999</v>
      </c>
      <c r="G8" s="234">
        <v>4025521.87</v>
      </c>
      <c r="H8" s="163">
        <f t="shared" si="0"/>
        <v>3.5291409212753068E-2</v>
      </c>
      <c r="I8" s="163">
        <f t="shared" si="1"/>
        <v>-9.6889477894373743E-2</v>
      </c>
      <c r="J8" s="163">
        <f t="shared" si="2"/>
        <v>-0.10661565361002823</v>
      </c>
      <c r="L8" s="10" t="s">
        <v>7</v>
      </c>
      <c r="M8" s="10">
        <v>6089486</v>
      </c>
      <c r="N8" s="10">
        <v>7182263</v>
      </c>
      <c r="O8" s="10">
        <v>4778013</v>
      </c>
      <c r="P8" s="10">
        <v>3372232.1599999992</v>
      </c>
      <c r="Q8" s="10">
        <v>3942825.68</v>
      </c>
    </row>
    <row r="9" spans="1:17">
      <c r="A9" s="97">
        <v>6</v>
      </c>
      <c r="B9" s="10" t="s">
        <v>7</v>
      </c>
      <c r="C9" s="10">
        <v>6089486</v>
      </c>
      <c r="D9" s="10">
        <v>7182263</v>
      </c>
      <c r="E9" s="10">
        <v>4778013</v>
      </c>
      <c r="F9" s="10">
        <v>3372232.1599999992</v>
      </c>
      <c r="G9" s="234">
        <v>3942825.68</v>
      </c>
      <c r="H9" s="162">
        <f t="shared" si="0"/>
        <v>3.4566418720619538E-2</v>
      </c>
      <c r="I9" s="162">
        <f t="shared" si="1"/>
        <v>0.16920351059103855</v>
      </c>
      <c r="J9" s="162">
        <f t="shared" si="2"/>
        <v>-0.10297048056374292</v>
      </c>
      <c r="L9" s="10" t="s">
        <v>5</v>
      </c>
      <c r="M9" s="10">
        <v>5058413</v>
      </c>
      <c r="N9" s="10">
        <v>3385314</v>
      </c>
      <c r="O9" s="10">
        <v>2841831</v>
      </c>
      <c r="P9" s="10">
        <v>4768181.7700000005</v>
      </c>
      <c r="Q9" s="10">
        <v>2498939.25</v>
      </c>
    </row>
    <row r="10" spans="1:17">
      <c r="A10" s="97">
        <v>7</v>
      </c>
      <c r="B10" s="10" t="s">
        <v>5</v>
      </c>
      <c r="C10" s="10">
        <v>5058413</v>
      </c>
      <c r="D10" s="10">
        <v>3385314</v>
      </c>
      <c r="E10" s="10">
        <v>2841831</v>
      </c>
      <c r="F10" s="10">
        <v>4768181.7700000005</v>
      </c>
      <c r="G10" s="234">
        <v>2498939.25</v>
      </c>
      <c r="H10" s="163">
        <f t="shared" si="0"/>
        <v>2.1907988707451795E-2</v>
      </c>
      <c r="I10" s="163">
        <f t="shared" si="1"/>
        <v>-0.47591359336957495</v>
      </c>
      <c r="J10" s="163">
        <f t="shared" si="2"/>
        <v>-0.16163072559107849</v>
      </c>
      <c r="L10" s="10" t="s">
        <v>9</v>
      </c>
      <c r="M10" s="10">
        <v>3264380</v>
      </c>
      <c r="N10" s="10">
        <v>3668142</v>
      </c>
      <c r="O10" s="10">
        <v>4023706</v>
      </c>
      <c r="P10" s="10">
        <v>2879704.6299999994</v>
      </c>
      <c r="Q10" s="10">
        <v>2195177.7400000002</v>
      </c>
    </row>
    <row r="11" spans="1:17">
      <c r="A11" s="97">
        <v>8</v>
      </c>
      <c r="B11" s="10" t="s">
        <v>9</v>
      </c>
      <c r="C11" s="10">
        <v>3264380</v>
      </c>
      <c r="D11" s="10">
        <v>3668142</v>
      </c>
      <c r="E11" s="10">
        <v>4023706</v>
      </c>
      <c r="F11" s="10">
        <v>2879704.6299999994</v>
      </c>
      <c r="G11" s="234">
        <v>2195177.7400000002</v>
      </c>
      <c r="H11" s="162">
        <f t="shared" si="0"/>
        <v>1.9244937282396745E-2</v>
      </c>
      <c r="I11" s="162">
        <f t="shared" si="1"/>
        <v>-0.23770732694901398</v>
      </c>
      <c r="J11" s="162">
        <f t="shared" si="2"/>
        <v>-9.4439969487608466E-2</v>
      </c>
      <c r="L11" s="10" t="s">
        <v>6</v>
      </c>
      <c r="M11" s="10">
        <v>5132241</v>
      </c>
      <c r="N11" s="10">
        <v>5916196</v>
      </c>
      <c r="O11" s="10">
        <v>4715625</v>
      </c>
      <c r="P11" s="10">
        <v>2130976.1299999994</v>
      </c>
      <c r="Q11" s="10">
        <v>1947573.8900000001</v>
      </c>
    </row>
    <row r="12" spans="1:17">
      <c r="A12" s="97">
        <v>9</v>
      </c>
      <c r="B12" s="10" t="s">
        <v>6</v>
      </c>
      <c r="C12" s="10">
        <v>5132241</v>
      </c>
      <c r="D12" s="10">
        <v>5916196</v>
      </c>
      <c r="E12" s="10">
        <v>4715625</v>
      </c>
      <c r="F12" s="10">
        <v>2130976.1299999994</v>
      </c>
      <c r="G12" s="234">
        <v>1947573.8900000001</v>
      </c>
      <c r="H12" s="163">
        <f t="shared" si="0"/>
        <v>1.7074215305173172E-2</v>
      </c>
      <c r="I12" s="163">
        <f t="shared" si="1"/>
        <v>-8.6064896466015006E-2</v>
      </c>
      <c r="J12" s="163">
        <f t="shared" si="2"/>
        <v>-0.21513181439561957</v>
      </c>
      <c r="L12" s="10" t="s">
        <v>623</v>
      </c>
      <c r="M12" s="10">
        <v>1946422</v>
      </c>
      <c r="N12" s="10">
        <v>2632712</v>
      </c>
      <c r="O12" s="10">
        <v>2677497</v>
      </c>
      <c r="P12" s="10">
        <v>2886894.49</v>
      </c>
      <c r="Q12" s="10">
        <v>1898925.56</v>
      </c>
    </row>
    <row r="13" spans="1:17">
      <c r="A13" s="97">
        <v>10</v>
      </c>
      <c r="B13" s="10" t="s">
        <v>14</v>
      </c>
      <c r="C13" s="10">
        <v>1946422</v>
      </c>
      <c r="D13" s="10">
        <v>2632712</v>
      </c>
      <c r="E13" s="10">
        <v>2677497</v>
      </c>
      <c r="F13" s="10">
        <v>2886894.49</v>
      </c>
      <c r="G13" s="234">
        <v>1898925.56</v>
      </c>
      <c r="H13" s="162">
        <f t="shared" si="0"/>
        <v>1.6647719517299823E-2</v>
      </c>
      <c r="I13" s="162">
        <f t="shared" si="1"/>
        <v>-0.34222550682827346</v>
      </c>
      <c r="J13" s="162">
        <f t="shared" si="2"/>
        <v>-6.1571127791828495E-3</v>
      </c>
      <c r="L13" s="10" t="s">
        <v>203</v>
      </c>
      <c r="M13" s="10">
        <v>29512592</v>
      </c>
      <c r="N13" s="10">
        <v>35295348</v>
      </c>
      <c r="O13" s="10">
        <v>30177064</v>
      </c>
      <c r="P13" s="10">
        <v>27356543.770000003</v>
      </c>
      <c r="Q13" s="10">
        <v>23559088.140000004</v>
      </c>
    </row>
    <row r="14" spans="1:17">
      <c r="A14" s="97"/>
      <c r="B14" s="10" t="s">
        <v>203</v>
      </c>
      <c r="C14" s="10">
        <f>SUM(C15:C93)</f>
        <v>29512592</v>
      </c>
      <c r="D14" s="10">
        <f t="shared" ref="D14:G14" si="3">SUM(D15:D93)</f>
        <v>35295348</v>
      </c>
      <c r="E14" s="10">
        <f t="shared" si="3"/>
        <v>30177064</v>
      </c>
      <c r="F14" s="10">
        <f t="shared" si="3"/>
        <v>27356543.770000003</v>
      </c>
      <c r="G14" s="234">
        <f t="shared" si="3"/>
        <v>23559088.140000004</v>
      </c>
      <c r="H14" s="163">
        <f t="shared" si="0"/>
        <v>0.20654052991843705</v>
      </c>
      <c r="I14" s="163">
        <f t="shared" si="1"/>
        <v>-0.13881342840408084</v>
      </c>
      <c r="J14" s="163">
        <f t="shared" si="2"/>
        <v>-5.4769382291087632E-2</v>
      </c>
    </row>
    <row r="15" spans="1:17">
      <c r="A15" s="97">
        <v>11</v>
      </c>
      <c r="B15" s="10" t="s">
        <v>58</v>
      </c>
      <c r="C15" s="10">
        <v>185282</v>
      </c>
      <c r="D15" s="10">
        <v>111070</v>
      </c>
      <c r="E15" s="10">
        <v>1122416</v>
      </c>
      <c r="F15" s="10">
        <v>2944494.16</v>
      </c>
      <c r="G15" s="10">
        <v>1744124.3399999999</v>
      </c>
      <c r="H15" s="235">
        <f t="shared" si="0"/>
        <v>1.5290590335524087E-2</v>
      </c>
      <c r="I15" s="235">
        <f t="shared" si="1"/>
        <v>-0.40766588581041718</v>
      </c>
      <c r="J15" s="235">
        <f t="shared" si="2"/>
        <v>0.75160450390320355</v>
      </c>
    </row>
    <row r="16" spans="1:17">
      <c r="A16" s="97">
        <v>12</v>
      </c>
      <c r="B16" s="10" t="s">
        <v>11</v>
      </c>
      <c r="C16" s="10">
        <v>2183190</v>
      </c>
      <c r="D16" s="10">
        <v>2542055</v>
      </c>
      <c r="E16" s="10">
        <v>2918157</v>
      </c>
      <c r="F16" s="10">
        <v>2212075.3199999998</v>
      </c>
      <c r="G16" s="10">
        <v>1707442.33</v>
      </c>
      <c r="H16" s="11">
        <f t="shared" si="0"/>
        <v>1.4969002261365572E-2</v>
      </c>
      <c r="I16" s="11">
        <f t="shared" si="1"/>
        <v>-0.22812649525875994</v>
      </c>
      <c r="J16" s="11">
        <f t="shared" si="2"/>
        <v>-5.9597819053750611E-2</v>
      </c>
    </row>
    <row r="17" spans="1:10">
      <c r="A17" s="97">
        <v>13</v>
      </c>
      <c r="B17" s="10" t="s">
        <v>10</v>
      </c>
      <c r="C17" s="10">
        <v>4398532</v>
      </c>
      <c r="D17" s="10">
        <v>3773483</v>
      </c>
      <c r="E17" s="10">
        <v>2672490</v>
      </c>
      <c r="F17" s="10">
        <v>2153809.1700000004</v>
      </c>
      <c r="G17" s="10">
        <v>1681304.01</v>
      </c>
      <c r="H17" s="11">
        <f t="shared" si="0"/>
        <v>1.473984982422979E-2</v>
      </c>
      <c r="I17" s="11">
        <f t="shared" si="1"/>
        <v>-0.21938116272390107</v>
      </c>
      <c r="J17" s="11">
        <f t="shared" si="2"/>
        <v>-0.21370661279329639</v>
      </c>
    </row>
    <row r="18" spans="1:10">
      <c r="A18" s="97">
        <v>14</v>
      </c>
      <c r="B18" s="10" t="s">
        <v>12</v>
      </c>
      <c r="C18" s="10">
        <v>1891069</v>
      </c>
      <c r="D18" s="10">
        <v>4246765</v>
      </c>
      <c r="E18" s="10">
        <v>1999210</v>
      </c>
      <c r="F18" s="10">
        <v>1797701.6900000002</v>
      </c>
      <c r="G18" s="10">
        <v>1579943.51</v>
      </c>
      <c r="H18" s="11">
        <f t="shared" si="0"/>
        <v>1.3851230907470742E-2</v>
      </c>
      <c r="I18" s="11">
        <f t="shared" si="1"/>
        <v>-0.121131431989698</v>
      </c>
      <c r="J18" s="11">
        <f t="shared" si="2"/>
        <v>-4.3943527575316277E-2</v>
      </c>
    </row>
    <row r="19" spans="1:10">
      <c r="A19" s="97">
        <v>15</v>
      </c>
      <c r="B19" s="10" t="s">
        <v>22</v>
      </c>
      <c r="C19" s="6">
        <v>1062179</v>
      </c>
      <c r="D19" s="6">
        <v>1496040</v>
      </c>
      <c r="E19" s="6">
        <v>1540305</v>
      </c>
      <c r="F19" s="6">
        <v>1139069.8</v>
      </c>
      <c r="G19" s="6">
        <v>1535356.4900000005</v>
      </c>
      <c r="H19" s="7">
        <f t="shared" si="0"/>
        <v>1.3460340280314072E-2</v>
      </c>
      <c r="I19" s="11">
        <f t="shared" si="1"/>
        <v>0.347903780786744</v>
      </c>
      <c r="J19" s="11">
        <f t="shared" si="2"/>
        <v>9.6485466288126709E-2</v>
      </c>
    </row>
    <row r="20" spans="1:10">
      <c r="A20" s="97">
        <v>16</v>
      </c>
      <c r="B20" s="10" t="s">
        <v>8</v>
      </c>
      <c r="C20" s="10">
        <v>2445827</v>
      </c>
      <c r="D20" s="10">
        <v>2469575</v>
      </c>
      <c r="E20" s="10">
        <v>2327011</v>
      </c>
      <c r="F20" s="10">
        <v>1824320.8399999996</v>
      </c>
      <c r="G20" s="10">
        <v>1494543.2800000003</v>
      </c>
      <c r="H20" s="11">
        <f t="shared" si="0"/>
        <v>1.3102534325729597E-2</v>
      </c>
      <c r="I20" s="11">
        <f t="shared" si="1"/>
        <v>-0.18076730406697505</v>
      </c>
      <c r="J20" s="11">
        <f t="shared" si="2"/>
        <v>-0.11586071036898382</v>
      </c>
    </row>
    <row r="21" spans="1:10">
      <c r="A21" s="97">
        <v>17</v>
      </c>
      <c r="B21" s="6" t="s">
        <v>29</v>
      </c>
      <c r="C21" s="6">
        <v>527027</v>
      </c>
      <c r="D21" s="6">
        <v>722959</v>
      </c>
      <c r="E21" s="6">
        <v>1210962</v>
      </c>
      <c r="F21" s="6">
        <v>1040439.5399999999</v>
      </c>
      <c r="G21" s="6">
        <v>1210359.06</v>
      </c>
      <c r="H21" s="7">
        <f t="shared" si="0"/>
        <v>1.0611115343617085E-2</v>
      </c>
      <c r="I21" s="11">
        <f t="shared" si="1"/>
        <v>0.16331513121848507</v>
      </c>
      <c r="J21" s="11">
        <f t="shared" si="2"/>
        <v>0.23103482823331412</v>
      </c>
    </row>
    <row r="22" spans="1:10">
      <c r="A22" s="97">
        <v>18</v>
      </c>
      <c r="B22" s="10" t="s">
        <v>17</v>
      </c>
      <c r="C22" s="10">
        <v>1752239</v>
      </c>
      <c r="D22" s="10">
        <v>2228212</v>
      </c>
      <c r="E22" s="10">
        <v>1727046</v>
      </c>
      <c r="F22" s="10">
        <v>2048666.4399999995</v>
      </c>
      <c r="G22" s="10">
        <v>1135246.2600000002</v>
      </c>
      <c r="H22" s="11">
        <f t="shared" si="0"/>
        <v>9.9526077891877087E-3</v>
      </c>
      <c r="I22" s="11">
        <f t="shared" si="1"/>
        <v>-0.44586085961363209</v>
      </c>
      <c r="J22" s="11">
        <f t="shared" si="2"/>
        <v>-0.10283115401790288</v>
      </c>
    </row>
    <row r="23" spans="1:10">
      <c r="A23" s="97">
        <v>19</v>
      </c>
      <c r="B23" s="10" t="s">
        <v>16</v>
      </c>
      <c r="C23" s="10">
        <v>884801</v>
      </c>
      <c r="D23" s="10">
        <v>836548</v>
      </c>
      <c r="E23" s="10">
        <v>1034081</v>
      </c>
      <c r="F23" s="10">
        <v>956190.89000000013</v>
      </c>
      <c r="G23" s="10">
        <v>871179.02</v>
      </c>
      <c r="H23" s="11">
        <f t="shared" si="0"/>
        <v>7.6375526665279766E-3</v>
      </c>
      <c r="I23" s="11">
        <f t="shared" si="1"/>
        <v>-8.8906797679279448E-2</v>
      </c>
      <c r="J23" s="11">
        <f t="shared" si="2"/>
        <v>-3.8713049439169644E-3</v>
      </c>
    </row>
    <row r="24" spans="1:10">
      <c r="A24" s="97">
        <v>20</v>
      </c>
      <c r="B24" s="6" t="s">
        <v>55</v>
      </c>
      <c r="C24" s="6">
        <v>137500</v>
      </c>
      <c r="D24" s="6">
        <v>280</v>
      </c>
      <c r="E24" s="6">
        <v>179856</v>
      </c>
      <c r="F24" s="6">
        <v>212157.5</v>
      </c>
      <c r="G24" s="6">
        <v>717536</v>
      </c>
      <c r="H24" s="7">
        <f t="shared" si="0"/>
        <v>6.2905773260354897E-3</v>
      </c>
      <c r="I24" s="11">
        <f t="shared" si="1"/>
        <v>2.38209113512367</v>
      </c>
      <c r="J24" s="11">
        <f t="shared" si="2"/>
        <v>0.51142029410704826</v>
      </c>
    </row>
    <row r="25" spans="1:10">
      <c r="A25" s="97">
        <v>21</v>
      </c>
      <c r="B25" s="9" t="s">
        <v>25</v>
      </c>
      <c r="C25" s="6">
        <v>462698</v>
      </c>
      <c r="D25" s="6">
        <v>515136</v>
      </c>
      <c r="E25" s="6">
        <v>662844</v>
      </c>
      <c r="F25" s="6">
        <v>962788.91000000015</v>
      </c>
      <c r="G25" s="6">
        <v>715792.18</v>
      </c>
      <c r="H25" s="7">
        <f t="shared" si="0"/>
        <v>6.2752894038229637E-3</v>
      </c>
      <c r="I25" s="11">
        <f t="shared" si="1"/>
        <v>-0.25654297368256984</v>
      </c>
      <c r="J25" s="11">
        <f t="shared" si="2"/>
        <v>0.11525025647393328</v>
      </c>
    </row>
    <row r="26" spans="1:10">
      <c r="A26" s="97">
        <v>22</v>
      </c>
      <c r="B26" s="6" t="s">
        <v>30</v>
      </c>
      <c r="C26" s="6">
        <v>398040</v>
      </c>
      <c r="D26" s="6">
        <v>904733</v>
      </c>
      <c r="E26" s="6">
        <v>484543</v>
      </c>
      <c r="F26" s="6">
        <v>570690.98999999987</v>
      </c>
      <c r="G26" s="6">
        <v>684927.91999999993</v>
      </c>
      <c r="H26" s="7">
        <f t="shared" si="0"/>
        <v>6.0047050510645449E-3</v>
      </c>
      <c r="I26" s="11">
        <f t="shared" si="1"/>
        <v>0.20017300430833873</v>
      </c>
      <c r="J26" s="11">
        <f t="shared" si="2"/>
        <v>0.1453271032768606</v>
      </c>
    </row>
    <row r="27" spans="1:10">
      <c r="A27" s="97">
        <v>23</v>
      </c>
      <c r="B27" s="10" t="s">
        <v>13</v>
      </c>
      <c r="C27" s="10">
        <v>794096</v>
      </c>
      <c r="D27" s="10">
        <v>1124001</v>
      </c>
      <c r="E27" s="10">
        <v>1654975</v>
      </c>
      <c r="F27" s="10">
        <v>1024558.1399999999</v>
      </c>
      <c r="G27" s="10">
        <v>671609.33000000007</v>
      </c>
      <c r="H27" s="11">
        <f t="shared" si="0"/>
        <v>5.887942100817084E-3</v>
      </c>
      <c r="I27" s="11">
        <f t="shared" si="1"/>
        <v>-0.34448880568163742</v>
      </c>
      <c r="J27" s="11">
        <f t="shared" si="2"/>
        <v>-4.101695665794769E-2</v>
      </c>
    </row>
    <row r="28" spans="1:10">
      <c r="A28" s="97">
        <v>24</v>
      </c>
      <c r="B28" s="6" t="s">
        <v>33</v>
      </c>
      <c r="C28" s="6">
        <v>595845</v>
      </c>
      <c r="D28" s="6">
        <v>1262599</v>
      </c>
      <c r="E28" s="6">
        <v>792742</v>
      </c>
      <c r="F28" s="6">
        <v>594238.42000000016</v>
      </c>
      <c r="G28" s="6">
        <v>601866.07999999984</v>
      </c>
      <c r="H28" s="7">
        <f t="shared" si="0"/>
        <v>5.2765089363570068E-3</v>
      </c>
      <c r="I28" s="11">
        <f t="shared" si="1"/>
        <v>1.2836026320882654E-2</v>
      </c>
      <c r="J28" s="11">
        <f t="shared" si="2"/>
        <v>2.5167607288925087E-3</v>
      </c>
    </row>
    <row r="29" spans="1:10">
      <c r="A29" s="97">
        <v>25</v>
      </c>
      <c r="B29" s="9" t="s">
        <v>20</v>
      </c>
      <c r="C29" s="6">
        <v>658650</v>
      </c>
      <c r="D29" s="6">
        <v>1266262</v>
      </c>
      <c r="E29" s="6">
        <v>671922</v>
      </c>
      <c r="F29" s="6">
        <v>393644.40000000008</v>
      </c>
      <c r="G29" s="6">
        <v>594466.88000000012</v>
      </c>
      <c r="H29" s="7">
        <f t="shared" si="0"/>
        <v>5.2116407767792295E-3</v>
      </c>
      <c r="I29" s="11">
        <f t="shared" si="1"/>
        <v>0.51016216666615866</v>
      </c>
      <c r="J29" s="11">
        <f t="shared" si="2"/>
        <v>-2.5306114084405751E-2</v>
      </c>
    </row>
    <row r="30" spans="1:10">
      <c r="A30" s="97">
        <v>26</v>
      </c>
      <c r="B30" s="9" t="s">
        <v>28</v>
      </c>
      <c r="C30" s="6">
        <v>381036</v>
      </c>
      <c r="D30" s="6">
        <v>551095</v>
      </c>
      <c r="E30" s="6">
        <v>747142</v>
      </c>
      <c r="F30" s="6">
        <v>196819.22999999998</v>
      </c>
      <c r="G30" s="6">
        <v>546723.25</v>
      </c>
      <c r="H30" s="7">
        <f t="shared" si="0"/>
        <v>4.7930764171643407E-3</v>
      </c>
      <c r="I30" s="11">
        <f t="shared" si="1"/>
        <v>1.7777938669915541</v>
      </c>
      <c r="J30" s="11">
        <f t="shared" si="2"/>
        <v>9.4461234075593703E-2</v>
      </c>
    </row>
    <row r="31" spans="1:10">
      <c r="A31" s="97">
        <v>27</v>
      </c>
      <c r="B31" s="9" t="s">
        <v>27</v>
      </c>
      <c r="C31" s="6">
        <v>894037</v>
      </c>
      <c r="D31" s="6">
        <v>858365</v>
      </c>
      <c r="E31" s="6">
        <v>737356</v>
      </c>
      <c r="F31" s="6">
        <v>502863.3</v>
      </c>
      <c r="G31" s="6">
        <v>523695.04</v>
      </c>
      <c r="H31" s="7">
        <f t="shared" si="0"/>
        <v>4.5911900509260145E-3</v>
      </c>
      <c r="I31" s="11">
        <f t="shared" si="1"/>
        <v>4.1426248445651126E-2</v>
      </c>
      <c r="J31" s="11">
        <f t="shared" si="2"/>
        <v>-0.12515574940920127</v>
      </c>
    </row>
    <row r="32" spans="1:10">
      <c r="A32" s="97">
        <v>28</v>
      </c>
      <c r="B32" s="9" t="s">
        <v>24</v>
      </c>
      <c r="C32" s="6">
        <v>256095</v>
      </c>
      <c r="D32" s="6">
        <v>38513</v>
      </c>
      <c r="E32" s="6">
        <v>41520</v>
      </c>
      <c r="F32" s="6">
        <v>338910.06999999995</v>
      </c>
      <c r="G32" s="6">
        <v>507537.84</v>
      </c>
      <c r="H32" s="7">
        <f t="shared" si="0"/>
        <v>4.4495412472810121E-3</v>
      </c>
      <c r="I32" s="11">
        <f t="shared" si="1"/>
        <v>0.49755904272776585</v>
      </c>
      <c r="J32" s="11">
        <f t="shared" si="2"/>
        <v>0.186497512133595</v>
      </c>
    </row>
    <row r="33" spans="1:10">
      <c r="A33" s="97">
        <v>29</v>
      </c>
      <c r="B33" s="10" t="s">
        <v>15</v>
      </c>
      <c r="C33" s="10">
        <v>826478</v>
      </c>
      <c r="D33" s="10">
        <v>1097088</v>
      </c>
      <c r="E33" s="10">
        <v>699893</v>
      </c>
      <c r="F33" s="10">
        <v>1186736.47</v>
      </c>
      <c r="G33" s="10">
        <v>421710.41</v>
      </c>
      <c r="H33" s="11">
        <f t="shared" si="0"/>
        <v>3.6970994393300542E-3</v>
      </c>
      <c r="I33" s="11">
        <f t="shared" si="1"/>
        <v>-0.64464696193250048</v>
      </c>
      <c r="J33" s="11">
        <f t="shared" si="2"/>
        <v>-0.15482672468159886</v>
      </c>
    </row>
    <row r="34" spans="1:10">
      <c r="A34" s="97">
        <v>30</v>
      </c>
      <c r="B34" s="9" t="s">
        <v>19</v>
      </c>
      <c r="C34" s="6">
        <v>1043889</v>
      </c>
      <c r="D34" s="6">
        <v>754566</v>
      </c>
      <c r="E34" s="6">
        <v>1039522</v>
      </c>
      <c r="F34" s="6">
        <v>712698.79999999993</v>
      </c>
      <c r="G34" s="6">
        <v>372652.11</v>
      </c>
      <c r="H34" s="7">
        <f t="shared" si="0"/>
        <v>3.2670094791972569E-3</v>
      </c>
      <c r="I34" s="11">
        <f t="shared" si="1"/>
        <v>-0.47712538592740716</v>
      </c>
      <c r="J34" s="11">
        <f t="shared" si="2"/>
        <v>-0.22703057462010989</v>
      </c>
    </row>
    <row r="35" spans="1:10">
      <c r="A35" s="97">
        <v>31</v>
      </c>
      <c r="B35" s="6" t="s">
        <v>38</v>
      </c>
      <c r="C35" s="6">
        <v>156724</v>
      </c>
      <c r="D35" s="6">
        <v>363656</v>
      </c>
      <c r="E35" s="6">
        <v>188463</v>
      </c>
      <c r="F35" s="6">
        <v>177217.35</v>
      </c>
      <c r="G35" s="6">
        <v>308107.75</v>
      </c>
      <c r="H35" s="7">
        <f t="shared" ref="H35:H66" si="4">G35/$G$3</f>
        <v>2.7011545429439236E-3</v>
      </c>
      <c r="I35" s="11">
        <f t="shared" ref="I35:I66" si="5">(G35/F35)-1</f>
        <v>0.73858682572558498</v>
      </c>
      <c r="J35" s="11">
        <f t="shared" ref="J35:J66" si="6">((G35/C35)^(1/4))-1</f>
        <v>0.18410926369492331</v>
      </c>
    </row>
    <row r="36" spans="1:10">
      <c r="A36" s="97">
        <v>32</v>
      </c>
      <c r="B36" s="6" t="s">
        <v>37</v>
      </c>
      <c r="C36" s="6">
        <v>269610</v>
      </c>
      <c r="D36" s="6">
        <v>311201</v>
      </c>
      <c r="E36" s="6">
        <v>353889</v>
      </c>
      <c r="F36" s="6">
        <v>226438.03999999998</v>
      </c>
      <c r="G36" s="6">
        <v>241388.47999999998</v>
      </c>
      <c r="H36" s="7">
        <f t="shared" si="4"/>
        <v>2.1162323549677943E-3</v>
      </c>
      <c r="I36" s="11">
        <f t="shared" si="5"/>
        <v>6.6024418865310741E-2</v>
      </c>
      <c r="J36" s="11">
        <f t="shared" si="6"/>
        <v>-2.7263670924564276E-2</v>
      </c>
    </row>
    <row r="37" spans="1:10">
      <c r="A37" s="97">
        <v>33</v>
      </c>
      <c r="B37" s="9" t="s">
        <v>26</v>
      </c>
      <c r="C37" s="6">
        <v>646839</v>
      </c>
      <c r="D37" s="6">
        <v>1001886</v>
      </c>
      <c r="E37" s="6">
        <v>596272</v>
      </c>
      <c r="F37" s="6">
        <v>288732.87</v>
      </c>
      <c r="G37" s="6">
        <v>238172.12</v>
      </c>
      <c r="H37" s="7">
        <f t="shared" si="4"/>
        <v>2.0880347993212935E-3</v>
      </c>
      <c r="I37" s="11">
        <f t="shared" si="5"/>
        <v>-0.17511255299751638</v>
      </c>
      <c r="J37" s="11">
        <f t="shared" si="6"/>
        <v>-0.22102471040633975</v>
      </c>
    </row>
    <row r="38" spans="1:10">
      <c r="A38" s="97">
        <v>34</v>
      </c>
      <c r="B38" s="9" t="s">
        <v>23</v>
      </c>
      <c r="C38" s="6">
        <v>498832</v>
      </c>
      <c r="D38" s="6">
        <v>677405</v>
      </c>
      <c r="E38" s="6">
        <v>506829</v>
      </c>
      <c r="F38" s="6">
        <v>223659.59999999998</v>
      </c>
      <c r="G38" s="6">
        <v>228603.51</v>
      </c>
      <c r="H38" s="7">
        <f t="shared" si="4"/>
        <v>2.0041476060547866E-3</v>
      </c>
      <c r="I38" s="11">
        <f t="shared" si="5"/>
        <v>2.2104617910431834E-2</v>
      </c>
      <c r="J38" s="11">
        <f t="shared" si="6"/>
        <v>-0.17722299186429302</v>
      </c>
    </row>
    <row r="39" spans="1:10">
      <c r="A39" s="97">
        <v>35</v>
      </c>
      <c r="B39" s="6" t="s">
        <v>36</v>
      </c>
      <c r="C39" s="6">
        <v>203837</v>
      </c>
      <c r="D39" s="6">
        <v>346369</v>
      </c>
      <c r="E39" s="6">
        <v>154914</v>
      </c>
      <c r="F39" s="6">
        <v>178549.24</v>
      </c>
      <c r="G39" s="6">
        <v>221372.9</v>
      </c>
      <c r="H39" s="7">
        <f t="shared" si="4"/>
        <v>1.9407574607249278E-3</v>
      </c>
      <c r="I39" s="11">
        <f t="shared" si="5"/>
        <v>0.2398422978445609</v>
      </c>
      <c r="J39" s="11">
        <f t="shared" si="6"/>
        <v>2.0846299589212469E-2</v>
      </c>
    </row>
    <row r="40" spans="1:10">
      <c r="A40" s="97">
        <v>36</v>
      </c>
      <c r="B40" s="6" t="s">
        <v>32</v>
      </c>
      <c r="C40" s="6">
        <v>365836</v>
      </c>
      <c r="D40" s="6">
        <v>369588</v>
      </c>
      <c r="E40" s="6">
        <v>330276</v>
      </c>
      <c r="F40" s="6">
        <v>208822.69</v>
      </c>
      <c r="G40" s="6">
        <v>213407.46999999997</v>
      </c>
      <c r="H40" s="7">
        <f t="shared" si="4"/>
        <v>1.8709252107052452E-3</v>
      </c>
      <c r="I40" s="11">
        <f t="shared" si="5"/>
        <v>2.1955372761456093E-2</v>
      </c>
      <c r="J40" s="11">
        <f t="shared" si="6"/>
        <v>-0.12606165618741527</v>
      </c>
    </row>
    <row r="41" spans="1:10">
      <c r="A41" s="97">
        <v>37</v>
      </c>
      <c r="B41" s="6" t="s">
        <v>50</v>
      </c>
      <c r="C41" s="6">
        <v>129973</v>
      </c>
      <c r="D41" s="6">
        <v>235169</v>
      </c>
      <c r="E41" s="6">
        <v>120284</v>
      </c>
      <c r="F41" s="6">
        <v>123158.23</v>
      </c>
      <c r="G41" s="6">
        <v>183636.22000000003</v>
      </c>
      <c r="H41" s="7">
        <f t="shared" si="4"/>
        <v>1.6099231840226345E-3</v>
      </c>
      <c r="I41" s="11">
        <f t="shared" si="5"/>
        <v>0.49105926579165704</v>
      </c>
      <c r="J41" s="11">
        <f t="shared" si="6"/>
        <v>9.0250514565017426E-2</v>
      </c>
    </row>
    <row r="42" spans="1:10">
      <c r="A42" s="97">
        <v>38</v>
      </c>
      <c r="B42" s="9" t="s">
        <v>18</v>
      </c>
      <c r="C42" s="6">
        <v>1262881</v>
      </c>
      <c r="D42" s="6">
        <v>156295</v>
      </c>
      <c r="E42" s="6">
        <v>208829</v>
      </c>
      <c r="F42" s="6">
        <v>180335.35</v>
      </c>
      <c r="G42" s="6">
        <v>183167.78000000003</v>
      </c>
      <c r="H42" s="7">
        <f t="shared" si="4"/>
        <v>1.6058164102264654E-3</v>
      </c>
      <c r="I42" s="11">
        <f t="shared" si="5"/>
        <v>1.570646021426203E-2</v>
      </c>
      <c r="J42" s="11">
        <f t="shared" si="6"/>
        <v>-0.38287709895861088</v>
      </c>
    </row>
    <row r="43" spans="1:10">
      <c r="A43" s="97">
        <v>39</v>
      </c>
      <c r="B43" s="6" t="s">
        <v>81</v>
      </c>
      <c r="C43" s="6">
        <v>61926</v>
      </c>
      <c r="D43" s="6">
        <v>87305</v>
      </c>
      <c r="E43" s="6">
        <v>335573</v>
      </c>
      <c r="F43" s="6">
        <v>190131.57</v>
      </c>
      <c r="G43" s="6">
        <v>177776</v>
      </c>
      <c r="H43" s="7">
        <f t="shared" si="4"/>
        <v>1.5585471317303733E-3</v>
      </c>
      <c r="I43" s="11">
        <f t="shared" si="5"/>
        <v>-6.4984315860853625E-2</v>
      </c>
      <c r="J43" s="11">
        <f t="shared" si="6"/>
        <v>0.30166739186950919</v>
      </c>
    </row>
    <row r="44" spans="1:10">
      <c r="A44" s="97">
        <v>40</v>
      </c>
      <c r="B44" s="6" t="s">
        <v>45</v>
      </c>
      <c r="C44" s="6">
        <v>63558</v>
      </c>
      <c r="D44" s="6">
        <v>223224</v>
      </c>
      <c r="E44" s="6">
        <v>94985</v>
      </c>
      <c r="F44" s="6">
        <v>61273.459999999992</v>
      </c>
      <c r="G44" s="6">
        <v>175450.69</v>
      </c>
      <c r="H44" s="7">
        <f t="shared" si="4"/>
        <v>1.5381613359486933E-3</v>
      </c>
      <c r="I44" s="11">
        <f t="shared" si="5"/>
        <v>1.8634043189335157</v>
      </c>
      <c r="J44" s="11">
        <f t="shared" si="6"/>
        <v>0.28898010575821731</v>
      </c>
    </row>
    <row r="45" spans="1:10">
      <c r="A45" s="97">
        <v>41</v>
      </c>
      <c r="B45" s="6" t="s">
        <v>76</v>
      </c>
      <c r="C45" s="6">
        <v>11253</v>
      </c>
      <c r="D45" s="6">
        <v>31476</v>
      </c>
      <c r="E45" s="6">
        <v>76193</v>
      </c>
      <c r="F45" s="6">
        <v>168749.53999999998</v>
      </c>
      <c r="G45" s="6">
        <v>145056.1</v>
      </c>
      <c r="H45" s="7">
        <f t="shared" si="4"/>
        <v>1.2716945402922455E-3</v>
      </c>
      <c r="I45" s="11">
        <f t="shared" si="5"/>
        <v>-0.14040595310659798</v>
      </c>
      <c r="J45" s="11">
        <f t="shared" si="6"/>
        <v>0.89481545978810462</v>
      </c>
    </row>
    <row r="46" spans="1:10">
      <c r="A46" s="97">
        <v>42</v>
      </c>
      <c r="B46" s="6" t="s">
        <v>44</v>
      </c>
      <c r="C46" s="6">
        <v>115844</v>
      </c>
      <c r="D46" s="6">
        <v>122877</v>
      </c>
      <c r="E46" s="6">
        <v>186525</v>
      </c>
      <c r="F46" s="6">
        <v>106644.6</v>
      </c>
      <c r="G46" s="6">
        <v>134865</v>
      </c>
      <c r="H46" s="7">
        <f t="shared" si="4"/>
        <v>1.1823500299298938E-3</v>
      </c>
      <c r="I46" s="11">
        <f t="shared" si="5"/>
        <v>0.2646209934680237</v>
      </c>
      <c r="J46" s="11">
        <f t="shared" si="6"/>
        <v>3.8738976564788974E-2</v>
      </c>
    </row>
    <row r="47" spans="1:10">
      <c r="A47" s="97">
        <v>43</v>
      </c>
      <c r="B47" s="6" t="s">
        <v>53</v>
      </c>
      <c r="C47" s="6">
        <v>212666</v>
      </c>
      <c r="D47" s="6">
        <v>390347</v>
      </c>
      <c r="E47" s="6">
        <v>131057</v>
      </c>
      <c r="F47" s="6">
        <v>84943.1</v>
      </c>
      <c r="G47" s="6">
        <v>127742.58</v>
      </c>
      <c r="H47" s="7">
        <f t="shared" si="4"/>
        <v>1.1199083771647341E-3</v>
      </c>
      <c r="I47" s="11">
        <f t="shared" si="5"/>
        <v>0.5038605843205628</v>
      </c>
      <c r="J47" s="11">
        <f t="shared" si="6"/>
        <v>-0.11964181742379931</v>
      </c>
    </row>
    <row r="48" spans="1:10">
      <c r="A48" s="97">
        <v>44</v>
      </c>
      <c r="B48" s="6" t="s">
        <v>47</v>
      </c>
      <c r="C48" s="6">
        <v>119838</v>
      </c>
      <c r="D48" s="6">
        <v>148244</v>
      </c>
      <c r="E48" s="6">
        <v>129912</v>
      </c>
      <c r="F48" s="6">
        <v>82706.5</v>
      </c>
      <c r="G48" s="6">
        <v>125655.80999999998</v>
      </c>
      <c r="H48" s="7">
        <f t="shared" si="4"/>
        <v>1.1016138413551702E-3</v>
      </c>
      <c r="I48" s="11">
        <f t="shared" si="5"/>
        <v>0.51929787864315369</v>
      </c>
      <c r="J48" s="11">
        <f t="shared" si="6"/>
        <v>1.1921924252512595E-2</v>
      </c>
    </row>
    <row r="49" spans="1:10">
      <c r="A49" s="97">
        <v>45</v>
      </c>
      <c r="B49" s="6" t="s">
        <v>42</v>
      </c>
      <c r="C49" s="6">
        <v>176185</v>
      </c>
      <c r="D49" s="6">
        <v>257534</v>
      </c>
      <c r="E49" s="6">
        <v>108234</v>
      </c>
      <c r="F49" s="6">
        <v>174839.98</v>
      </c>
      <c r="G49" s="6">
        <v>119999.18000000001</v>
      </c>
      <c r="H49" s="7">
        <f t="shared" si="4"/>
        <v>1.0520226453458105E-3</v>
      </c>
      <c r="I49" s="11">
        <f t="shared" si="5"/>
        <v>-0.31366281327645995</v>
      </c>
      <c r="J49" s="11">
        <f t="shared" si="6"/>
        <v>-9.1547264694872732E-2</v>
      </c>
    </row>
    <row r="50" spans="1:10">
      <c r="A50" s="97">
        <v>46</v>
      </c>
      <c r="B50" s="6" t="s">
        <v>83</v>
      </c>
      <c r="C50" s="6"/>
      <c r="D50" s="6"/>
      <c r="E50" s="6">
        <v>19121</v>
      </c>
      <c r="F50" s="6">
        <v>17422.29</v>
      </c>
      <c r="G50" s="6">
        <v>114179.85</v>
      </c>
      <c r="H50" s="7">
        <f t="shared" si="4"/>
        <v>1.0010050722195588E-3</v>
      </c>
      <c r="I50" s="11">
        <f t="shared" si="5"/>
        <v>5.5536648741353751</v>
      </c>
      <c r="J50" s="11" t="e">
        <f t="shared" si="6"/>
        <v>#DIV/0!</v>
      </c>
    </row>
    <row r="51" spans="1:10">
      <c r="A51" s="97">
        <v>47</v>
      </c>
      <c r="B51" s="6" t="s">
        <v>85</v>
      </c>
      <c r="C51" s="6">
        <v>30186</v>
      </c>
      <c r="D51" s="6">
        <v>71196</v>
      </c>
      <c r="E51" s="6">
        <v>53514</v>
      </c>
      <c r="F51" s="6">
        <v>41770.200000000004</v>
      </c>
      <c r="G51" s="6">
        <v>100459.31999999999</v>
      </c>
      <c r="H51" s="7">
        <f t="shared" si="4"/>
        <v>8.8071834804238881E-4</v>
      </c>
      <c r="I51" s="11">
        <f t="shared" si="5"/>
        <v>1.4050476176795894</v>
      </c>
      <c r="J51" s="11">
        <f t="shared" si="6"/>
        <v>0.35066039885352396</v>
      </c>
    </row>
    <row r="52" spans="1:10">
      <c r="A52" s="97">
        <v>48</v>
      </c>
      <c r="B52" s="6" t="s">
        <v>43</v>
      </c>
      <c r="C52" s="6">
        <v>150869</v>
      </c>
      <c r="D52" s="6">
        <v>212500</v>
      </c>
      <c r="E52" s="6">
        <v>209470</v>
      </c>
      <c r="F52" s="6">
        <v>191036.08000000002</v>
      </c>
      <c r="G52" s="6">
        <v>95548.640000000014</v>
      </c>
      <c r="H52" s="7">
        <f t="shared" si="4"/>
        <v>8.3766683248997641E-4</v>
      </c>
      <c r="I52" s="11">
        <f t="shared" si="5"/>
        <v>-0.49983982083384459</v>
      </c>
      <c r="J52" s="11">
        <f t="shared" si="6"/>
        <v>-0.10791523095156841</v>
      </c>
    </row>
    <row r="53" spans="1:10">
      <c r="A53" s="97">
        <v>49</v>
      </c>
      <c r="B53" s="6" t="s">
        <v>57</v>
      </c>
      <c r="C53" s="6">
        <v>83595</v>
      </c>
      <c r="D53" s="6">
        <v>49082</v>
      </c>
      <c r="E53" s="6">
        <v>14082</v>
      </c>
      <c r="F53" s="6">
        <v>39971.78</v>
      </c>
      <c r="G53" s="6">
        <v>87571.200000000012</v>
      </c>
      <c r="H53" s="7">
        <f t="shared" si="4"/>
        <v>7.6772929181771949E-4</v>
      </c>
      <c r="I53" s="11">
        <f t="shared" si="5"/>
        <v>1.1908256274801876</v>
      </c>
      <c r="J53" s="11">
        <f t="shared" si="6"/>
        <v>1.1684857532740178E-2</v>
      </c>
    </row>
    <row r="54" spans="1:10">
      <c r="A54" s="97">
        <v>50</v>
      </c>
      <c r="B54" s="6" t="s">
        <v>41</v>
      </c>
      <c r="C54" s="6">
        <v>196775</v>
      </c>
      <c r="D54" s="6">
        <v>311735</v>
      </c>
      <c r="E54" s="6">
        <v>138066</v>
      </c>
      <c r="F54" s="6"/>
      <c r="G54" s="6">
        <v>85309</v>
      </c>
      <c r="H54" s="7">
        <f t="shared" si="4"/>
        <v>7.4789677605968424E-4</v>
      </c>
      <c r="I54" s="11" t="e">
        <f t="shared" si="5"/>
        <v>#DIV/0!</v>
      </c>
      <c r="J54" s="11">
        <f t="shared" si="6"/>
        <v>-0.18856033623515633</v>
      </c>
    </row>
    <row r="55" spans="1:10">
      <c r="A55" s="97">
        <v>51</v>
      </c>
      <c r="B55" s="6" t="s">
        <v>48</v>
      </c>
      <c r="C55" s="6"/>
      <c r="D55" s="6">
        <v>9760</v>
      </c>
      <c r="E55" s="6">
        <v>71342</v>
      </c>
      <c r="F55" s="6">
        <v>35100</v>
      </c>
      <c r="G55" s="6">
        <v>84315.08</v>
      </c>
      <c r="H55" s="7">
        <f t="shared" si="4"/>
        <v>7.3918316361948171E-4</v>
      </c>
      <c r="I55" s="11">
        <f t="shared" si="5"/>
        <v>1.4021390313390314</v>
      </c>
      <c r="J55" s="11" t="e">
        <f t="shared" si="6"/>
        <v>#DIV/0!</v>
      </c>
    </row>
    <row r="56" spans="1:10">
      <c r="A56" s="97">
        <v>52</v>
      </c>
      <c r="B56" s="6" t="s">
        <v>31</v>
      </c>
      <c r="C56" s="6">
        <v>136980</v>
      </c>
      <c r="D56" s="6">
        <v>215859</v>
      </c>
      <c r="E56" s="6">
        <v>141808</v>
      </c>
      <c r="F56" s="6">
        <v>29505</v>
      </c>
      <c r="G56" s="6">
        <v>79739.92</v>
      </c>
      <c r="H56" s="7">
        <f t="shared" si="4"/>
        <v>6.9907312348353788E-4</v>
      </c>
      <c r="I56" s="11">
        <f t="shared" si="5"/>
        <v>1.7025900694797493</v>
      </c>
      <c r="J56" s="11">
        <f t="shared" si="6"/>
        <v>-0.12651659491103284</v>
      </c>
    </row>
    <row r="57" spans="1:10">
      <c r="A57" s="97">
        <v>53</v>
      </c>
      <c r="B57" s="9" t="s">
        <v>21</v>
      </c>
      <c r="C57" s="6">
        <v>431235</v>
      </c>
      <c r="D57" s="6">
        <v>211541</v>
      </c>
      <c r="E57" s="6">
        <v>63531</v>
      </c>
      <c r="F57" s="6">
        <v>281115.17</v>
      </c>
      <c r="G57" s="6">
        <v>75010.850000000006</v>
      </c>
      <c r="H57" s="7">
        <f t="shared" si="4"/>
        <v>6.576137674160589E-4</v>
      </c>
      <c r="I57" s="11">
        <f t="shared" si="5"/>
        <v>-0.73316683692310169</v>
      </c>
      <c r="J57" s="11">
        <f t="shared" si="6"/>
        <v>-0.35419333736978709</v>
      </c>
    </row>
    <row r="58" spans="1:10">
      <c r="A58" s="97">
        <v>54</v>
      </c>
      <c r="B58" s="6" t="s">
        <v>39</v>
      </c>
      <c r="C58" s="6">
        <v>123879</v>
      </c>
      <c r="D58" s="6">
        <v>96050</v>
      </c>
      <c r="E58" s="6">
        <v>198438</v>
      </c>
      <c r="F58" s="6">
        <v>161447.18000000002</v>
      </c>
      <c r="G58" s="6">
        <v>74468.5</v>
      </c>
      <c r="H58" s="7">
        <f t="shared" si="4"/>
        <v>6.5285903091116522E-4</v>
      </c>
      <c r="I58" s="11">
        <f t="shared" si="5"/>
        <v>-0.53874387895781151</v>
      </c>
      <c r="J58" s="11">
        <f t="shared" si="6"/>
        <v>-0.11947086847945099</v>
      </c>
    </row>
    <row r="59" spans="1:10">
      <c r="A59" s="97">
        <v>55</v>
      </c>
      <c r="B59" s="6" t="s">
        <v>46</v>
      </c>
      <c r="C59" s="6">
        <v>105380</v>
      </c>
      <c r="D59" s="6">
        <v>171497</v>
      </c>
      <c r="E59" s="6">
        <v>150604</v>
      </c>
      <c r="F59" s="6">
        <v>75765.279999999999</v>
      </c>
      <c r="G59" s="6">
        <v>74396.11</v>
      </c>
      <c r="H59" s="7">
        <f t="shared" si="4"/>
        <v>6.5222439391367422E-4</v>
      </c>
      <c r="I59" s="11">
        <f t="shared" si="5"/>
        <v>-1.8071206230611203E-2</v>
      </c>
      <c r="J59" s="11">
        <f t="shared" si="6"/>
        <v>-8.336168110882991E-2</v>
      </c>
    </row>
    <row r="60" spans="1:10">
      <c r="A60" s="97">
        <v>56</v>
      </c>
      <c r="B60" s="6" t="s">
        <v>56</v>
      </c>
      <c r="C60" s="6">
        <v>61765</v>
      </c>
      <c r="D60" s="6"/>
      <c r="E60" s="6">
        <v>46358</v>
      </c>
      <c r="F60" s="6">
        <v>37960</v>
      </c>
      <c r="G60" s="6">
        <v>73629.570000000007</v>
      </c>
      <c r="H60" s="7">
        <f t="shared" si="4"/>
        <v>6.4550420267100593E-4</v>
      </c>
      <c r="I60" s="11">
        <f t="shared" si="5"/>
        <v>0.93966201264488958</v>
      </c>
      <c r="J60" s="11">
        <f t="shared" si="6"/>
        <v>4.4906557325063989E-2</v>
      </c>
    </row>
    <row r="61" spans="1:10">
      <c r="A61" s="97">
        <v>57</v>
      </c>
      <c r="B61" s="6" t="s">
        <v>35</v>
      </c>
      <c r="C61" s="6">
        <v>179257</v>
      </c>
      <c r="D61" s="6">
        <v>75794</v>
      </c>
      <c r="E61" s="6">
        <v>21600</v>
      </c>
      <c r="F61" s="6">
        <v>8113.9</v>
      </c>
      <c r="G61" s="6">
        <v>71036</v>
      </c>
      <c r="H61" s="7">
        <f t="shared" si="4"/>
        <v>6.2276659419493519E-4</v>
      </c>
      <c r="I61" s="11">
        <f t="shared" si="5"/>
        <v>7.7548527834949912</v>
      </c>
      <c r="J61" s="11">
        <f t="shared" si="6"/>
        <v>-0.20658465865364284</v>
      </c>
    </row>
    <row r="62" spans="1:10">
      <c r="A62" s="97">
        <v>58</v>
      </c>
      <c r="B62" s="6" t="s">
        <v>63</v>
      </c>
      <c r="C62" s="6">
        <v>104796</v>
      </c>
      <c r="D62" s="6">
        <v>79645</v>
      </c>
      <c r="E62" s="6">
        <v>33363</v>
      </c>
      <c r="F62" s="6">
        <v>50623.18</v>
      </c>
      <c r="G62" s="6">
        <v>63072.349999999991</v>
      </c>
      <c r="H62" s="7">
        <f t="shared" si="4"/>
        <v>5.5294994928446024E-4</v>
      </c>
      <c r="I62" s="11">
        <f t="shared" si="5"/>
        <v>0.24591837178146436</v>
      </c>
      <c r="J62" s="11">
        <f t="shared" si="6"/>
        <v>-0.11920756356368856</v>
      </c>
    </row>
    <row r="63" spans="1:10">
      <c r="A63" s="97">
        <v>59</v>
      </c>
      <c r="B63" s="6" t="s">
        <v>64</v>
      </c>
      <c r="C63" s="6">
        <v>6085</v>
      </c>
      <c r="D63" s="6">
        <v>91318</v>
      </c>
      <c r="E63" s="6">
        <v>103899</v>
      </c>
      <c r="F63" s="6">
        <v>10719.5</v>
      </c>
      <c r="G63" s="6">
        <v>51781.11</v>
      </c>
      <c r="H63" s="7">
        <f t="shared" si="4"/>
        <v>4.5396060474031902E-4</v>
      </c>
      <c r="I63" s="11">
        <f t="shared" si="5"/>
        <v>3.8305527310042446</v>
      </c>
      <c r="J63" s="11">
        <f t="shared" si="6"/>
        <v>0.70795999186530678</v>
      </c>
    </row>
    <row r="64" spans="1:10">
      <c r="A64" s="97">
        <v>60</v>
      </c>
      <c r="B64" s="6" t="s">
        <v>62</v>
      </c>
      <c r="C64" s="6">
        <v>182554</v>
      </c>
      <c r="D64" s="6">
        <v>353481</v>
      </c>
      <c r="E64" s="6">
        <v>332682</v>
      </c>
      <c r="F64" s="6">
        <v>324574.34000000003</v>
      </c>
      <c r="G64" s="6">
        <v>46710</v>
      </c>
      <c r="H64" s="7">
        <f t="shared" si="4"/>
        <v>4.0950261296871199E-4</v>
      </c>
      <c r="I64" s="11">
        <f t="shared" si="5"/>
        <v>-0.85608843878416274</v>
      </c>
      <c r="J64" s="11">
        <f t="shared" si="6"/>
        <v>-0.28877890656605298</v>
      </c>
    </row>
    <row r="65" spans="1:10">
      <c r="A65" s="97">
        <v>61</v>
      </c>
      <c r="B65" s="6" t="s">
        <v>54</v>
      </c>
      <c r="C65" s="6">
        <v>50285</v>
      </c>
      <c r="D65" s="6">
        <v>88286</v>
      </c>
      <c r="E65" s="6">
        <v>101818</v>
      </c>
      <c r="F65" s="6">
        <v>87797.010000000009</v>
      </c>
      <c r="G65" s="6">
        <v>42164.5</v>
      </c>
      <c r="H65" s="7">
        <f t="shared" si="4"/>
        <v>3.6965259954012538E-4</v>
      </c>
      <c r="I65" s="11">
        <f t="shared" si="5"/>
        <v>-0.5197501600567036</v>
      </c>
      <c r="J65" s="11">
        <f t="shared" si="6"/>
        <v>-4.3076709327639073E-2</v>
      </c>
    </row>
    <row r="66" spans="1:10">
      <c r="A66" s="97">
        <v>62</v>
      </c>
      <c r="B66" s="6" t="s">
        <v>69</v>
      </c>
      <c r="C66" s="6">
        <v>277604</v>
      </c>
      <c r="D66" s="6">
        <v>1244</v>
      </c>
      <c r="E66" s="6">
        <v>184</v>
      </c>
      <c r="F66" s="6">
        <v>50364.409999999996</v>
      </c>
      <c r="G66" s="6">
        <v>38984.230000000003</v>
      </c>
      <c r="H66" s="7">
        <f t="shared" si="4"/>
        <v>3.417714418662653E-4</v>
      </c>
      <c r="I66" s="11">
        <f t="shared" si="5"/>
        <v>-0.22595678178300893</v>
      </c>
      <c r="J66" s="11">
        <f t="shared" si="6"/>
        <v>-0.38783878508303982</v>
      </c>
    </row>
    <row r="67" spans="1:10">
      <c r="A67" s="97">
        <v>63</v>
      </c>
      <c r="B67" s="6" t="s">
        <v>66</v>
      </c>
      <c r="C67" s="6"/>
      <c r="D67" s="6">
        <v>6261</v>
      </c>
      <c r="E67" s="6">
        <v>81376</v>
      </c>
      <c r="F67" s="6"/>
      <c r="G67" s="6">
        <v>36140</v>
      </c>
      <c r="H67" s="7">
        <f t="shared" ref="H67:H93" si="7">G67/$G$3</f>
        <v>3.1683631840482234E-4</v>
      </c>
      <c r="I67" s="11" t="e">
        <f t="shared" ref="I67:I93" si="8">(G67/F67)-1</f>
        <v>#DIV/0!</v>
      </c>
      <c r="J67" s="11" t="e">
        <f t="shared" ref="J67:J93" si="9">((G67/C67)^(1/4))-1</f>
        <v>#DIV/0!</v>
      </c>
    </row>
    <row r="68" spans="1:10">
      <c r="A68" s="97">
        <v>64</v>
      </c>
      <c r="B68" s="6" t="s">
        <v>59</v>
      </c>
      <c r="C68" s="6"/>
      <c r="D68" s="6">
        <v>29836</v>
      </c>
      <c r="E68" s="6">
        <v>22769</v>
      </c>
      <c r="F68" s="6">
        <v>28625.059999999998</v>
      </c>
      <c r="G68" s="6">
        <v>23442.78</v>
      </c>
      <c r="H68" s="7">
        <f t="shared" si="7"/>
        <v>2.0552086630808524E-4</v>
      </c>
      <c r="I68" s="11">
        <f t="shared" si="8"/>
        <v>-0.18103996987255222</v>
      </c>
      <c r="J68" s="11" t="e">
        <f t="shared" si="9"/>
        <v>#DIV/0!</v>
      </c>
    </row>
    <row r="69" spans="1:10">
      <c r="A69" s="97">
        <v>65</v>
      </c>
      <c r="B69" s="6" t="s">
        <v>77</v>
      </c>
      <c r="C69" s="6"/>
      <c r="D69" s="6">
        <v>18348</v>
      </c>
      <c r="E69" s="6">
        <v>7910</v>
      </c>
      <c r="F69" s="6">
        <v>7120</v>
      </c>
      <c r="G69" s="6">
        <v>21850</v>
      </c>
      <c r="H69" s="7">
        <f t="shared" si="7"/>
        <v>1.91557098980226E-4</v>
      </c>
      <c r="I69" s="11">
        <f t="shared" si="8"/>
        <v>2.0688202247191012</v>
      </c>
      <c r="J69" s="11" t="e">
        <f t="shared" si="9"/>
        <v>#DIV/0!</v>
      </c>
    </row>
    <row r="70" spans="1:10">
      <c r="A70" s="97">
        <v>66</v>
      </c>
      <c r="B70" s="6" t="s">
        <v>52</v>
      </c>
      <c r="C70" s="6">
        <v>70464</v>
      </c>
      <c r="D70" s="6">
        <v>38052</v>
      </c>
      <c r="E70" s="6">
        <v>68620</v>
      </c>
      <c r="F70" s="6">
        <v>26747.74</v>
      </c>
      <c r="G70" s="6">
        <v>19282.5</v>
      </c>
      <c r="H70" s="7">
        <f t="shared" si="7"/>
        <v>1.6904804398563882E-4</v>
      </c>
      <c r="I70" s="11">
        <f t="shared" si="8"/>
        <v>-0.27909797238944301</v>
      </c>
      <c r="J70" s="11">
        <f t="shared" si="9"/>
        <v>-0.27673239800908711</v>
      </c>
    </row>
    <row r="71" spans="1:10">
      <c r="A71" s="97">
        <v>67</v>
      </c>
      <c r="B71" s="6" t="s">
        <v>60</v>
      </c>
      <c r="C71" s="6">
        <v>7243</v>
      </c>
      <c r="D71" s="6">
        <v>64361</v>
      </c>
      <c r="E71" s="6">
        <v>18386</v>
      </c>
      <c r="F71" s="6">
        <v>44183.02</v>
      </c>
      <c r="G71" s="6">
        <v>17156.25</v>
      </c>
      <c r="H71" s="7">
        <f t="shared" si="7"/>
        <v>1.5040739036061796E-4</v>
      </c>
      <c r="I71" s="11">
        <f t="shared" si="8"/>
        <v>-0.61170037720373116</v>
      </c>
      <c r="J71" s="11">
        <f t="shared" si="9"/>
        <v>0.24058341306219511</v>
      </c>
    </row>
    <row r="72" spans="1:10">
      <c r="A72" s="97">
        <v>68</v>
      </c>
      <c r="B72" s="6" t="s">
        <v>84</v>
      </c>
      <c r="C72" s="6">
        <v>5513</v>
      </c>
      <c r="D72" s="6">
        <v>18125</v>
      </c>
      <c r="E72" s="6">
        <v>22276</v>
      </c>
      <c r="F72" s="6">
        <v>5850</v>
      </c>
      <c r="G72" s="6">
        <v>15480</v>
      </c>
      <c r="H72" s="7">
        <f t="shared" si="7"/>
        <v>1.3571184861390839E-4</v>
      </c>
      <c r="I72" s="11">
        <f t="shared" si="8"/>
        <v>1.6461538461538461</v>
      </c>
      <c r="J72" s="11">
        <f t="shared" si="9"/>
        <v>0.29448118060395867</v>
      </c>
    </row>
    <row r="73" spans="1:10">
      <c r="A73" s="97">
        <v>69</v>
      </c>
      <c r="B73" s="6" t="s">
        <v>88</v>
      </c>
      <c r="C73" s="6"/>
      <c r="D73" s="6">
        <v>2</v>
      </c>
      <c r="E73" s="6">
        <v>33873</v>
      </c>
      <c r="F73" s="6">
        <v>66704.639999999999</v>
      </c>
      <c r="G73" s="6">
        <v>14553</v>
      </c>
      <c r="H73" s="7">
        <f t="shared" si="7"/>
        <v>1.2758491814458714E-4</v>
      </c>
      <c r="I73" s="11">
        <f t="shared" si="8"/>
        <v>-0.7818292700477808</v>
      </c>
      <c r="J73" s="11" t="e">
        <f t="shared" si="9"/>
        <v>#DIV/0!</v>
      </c>
    </row>
    <row r="74" spans="1:10">
      <c r="A74" s="97">
        <v>70</v>
      </c>
      <c r="B74" s="6" t="s">
        <v>87</v>
      </c>
      <c r="C74" s="6">
        <v>900</v>
      </c>
      <c r="D74" s="6">
        <v>5144</v>
      </c>
      <c r="E74" s="6">
        <v>12800</v>
      </c>
      <c r="F74" s="6">
        <v>38260</v>
      </c>
      <c r="G74" s="6">
        <v>5300</v>
      </c>
      <c r="H74" s="7">
        <f t="shared" si="7"/>
        <v>4.6464651011221867E-5</v>
      </c>
      <c r="I74" s="11">
        <f t="shared" si="8"/>
        <v>-0.8614741244119184</v>
      </c>
      <c r="J74" s="11">
        <f t="shared" si="9"/>
        <v>0.55778794976300916</v>
      </c>
    </row>
    <row r="75" spans="1:10">
      <c r="A75" s="97">
        <v>71</v>
      </c>
      <c r="B75" s="6" t="s">
        <v>65</v>
      </c>
      <c r="C75" s="6">
        <v>9561</v>
      </c>
      <c r="D75" s="6">
        <v>10585</v>
      </c>
      <c r="E75" s="6">
        <v>6699</v>
      </c>
      <c r="F75" s="6">
        <v>3924.5400000000004</v>
      </c>
      <c r="G75" s="6">
        <v>3720.8300000000004</v>
      </c>
      <c r="H75" s="7">
        <f t="shared" si="7"/>
        <v>3.2620201400393334E-5</v>
      </c>
      <c r="I75" s="11">
        <f t="shared" si="8"/>
        <v>-5.1906720278045326E-2</v>
      </c>
      <c r="J75" s="11">
        <f t="shared" si="9"/>
        <v>-0.2101690869996824</v>
      </c>
    </row>
    <row r="76" spans="1:10">
      <c r="A76" s="97">
        <v>72</v>
      </c>
      <c r="B76" s="6" t="s">
        <v>61</v>
      </c>
      <c r="C76" s="6">
        <v>93658</v>
      </c>
      <c r="D76" s="6">
        <v>195398</v>
      </c>
      <c r="E76" s="6">
        <v>93091</v>
      </c>
      <c r="F76" s="6">
        <v>158596.78000000003</v>
      </c>
      <c r="G76" s="6">
        <v>1350</v>
      </c>
      <c r="H76" s="7">
        <f t="shared" si="7"/>
        <v>1.1835335634933872E-5</v>
      </c>
      <c r="I76" s="11">
        <f t="shared" si="8"/>
        <v>-0.99148784735730444</v>
      </c>
      <c r="J76" s="11">
        <f t="shared" si="9"/>
        <v>-0.65350480036348357</v>
      </c>
    </row>
    <row r="77" spans="1:10">
      <c r="A77" s="97">
        <v>73</v>
      </c>
      <c r="B77" s="6" t="s">
        <v>73</v>
      </c>
      <c r="C77" s="6"/>
      <c r="D77" s="6"/>
      <c r="E77" s="6"/>
      <c r="F77" s="6">
        <v>48800</v>
      </c>
      <c r="G77" s="6">
        <v>19.32</v>
      </c>
      <c r="H77" s="7">
        <f t="shared" si="7"/>
        <v>1.6937680330883141E-7</v>
      </c>
      <c r="I77" s="11">
        <f t="shared" si="8"/>
        <v>-0.99960409836065578</v>
      </c>
      <c r="J77" s="11" t="e">
        <f t="shared" si="9"/>
        <v>#DIV/0!</v>
      </c>
    </row>
    <row r="78" spans="1:10">
      <c r="A78" s="97">
        <v>74</v>
      </c>
      <c r="B78" s="6" t="s">
        <v>70</v>
      </c>
      <c r="C78" s="6"/>
      <c r="D78" s="6"/>
      <c r="E78" s="6"/>
      <c r="F78" s="6"/>
      <c r="G78" s="6">
        <v>0.30000000000000004</v>
      </c>
      <c r="H78" s="7">
        <f t="shared" si="7"/>
        <v>2.630074585540861E-9</v>
      </c>
      <c r="I78" s="11" t="e">
        <f t="shared" si="8"/>
        <v>#DIV/0!</v>
      </c>
      <c r="J78" s="11" t="e">
        <f t="shared" si="9"/>
        <v>#DIV/0!</v>
      </c>
    </row>
    <row r="79" spans="1:10">
      <c r="A79" s="97">
        <v>75</v>
      </c>
      <c r="B79" s="6" t="s">
        <v>34</v>
      </c>
      <c r="C79" s="6">
        <v>96270</v>
      </c>
      <c r="D79" s="6"/>
      <c r="E79" s="6"/>
      <c r="F79" s="6"/>
      <c r="G79" s="6"/>
      <c r="H79" s="7">
        <f t="shared" si="7"/>
        <v>0</v>
      </c>
      <c r="I79" s="11" t="e">
        <f t="shared" si="8"/>
        <v>#DIV/0!</v>
      </c>
      <c r="J79" s="11">
        <f t="shared" si="9"/>
        <v>-1</v>
      </c>
    </row>
    <row r="80" spans="1:10">
      <c r="A80" s="97">
        <v>76</v>
      </c>
      <c r="B80" s="6" t="s">
        <v>40</v>
      </c>
      <c r="C80" s="6">
        <v>375905</v>
      </c>
      <c r="D80" s="6">
        <v>266162</v>
      </c>
      <c r="E80" s="6">
        <v>0</v>
      </c>
      <c r="F80" s="6"/>
      <c r="G80" s="6"/>
      <c r="H80" s="7">
        <f t="shared" si="7"/>
        <v>0</v>
      </c>
      <c r="I80" s="11" t="e">
        <f t="shared" si="8"/>
        <v>#DIV/0!</v>
      </c>
      <c r="J80" s="11">
        <f t="shared" si="9"/>
        <v>-1</v>
      </c>
    </row>
    <row r="81" spans="1:10">
      <c r="A81" s="97">
        <v>77</v>
      </c>
      <c r="B81" s="6" t="s">
        <v>49</v>
      </c>
      <c r="C81" s="6"/>
      <c r="D81" s="6">
        <v>6960</v>
      </c>
      <c r="E81" s="6">
        <v>6730</v>
      </c>
      <c r="F81" s="6">
        <v>8800</v>
      </c>
      <c r="G81" s="6"/>
      <c r="H81" s="7">
        <f t="shared" si="7"/>
        <v>0</v>
      </c>
      <c r="I81" s="11">
        <f t="shared" si="8"/>
        <v>-1</v>
      </c>
      <c r="J81" s="11" t="e">
        <f t="shared" si="9"/>
        <v>#DIV/0!</v>
      </c>
    </row>
    <row r="82" spans="1:10">
      <c r="A82" s="97">
        <v>78</v>
      </c>
      <c r="B82" s="6" t="s">
        <v>51</v>
      </c>
      <c r="C82" s="6">
        <v>340956</v>
      </c>
      <c r="D82" s="6">
        <v>858503</v>
      </c>
      <c r="E82" s="6">
        <v>228907</v>
      </c>
      <c r="F82" s="6">
        <v>105995.68</v>
      </c>
      <c r="G82" s="6"/>
      <c r="H82" s="7">
        <f t="shared" si="7"/>
        <v>0</v>
      </c>
      <c r="I82" s="11">
        <f t="shared" si="8"/>
        <v>-1</v>
      </c>
      <c r="J82" s="11">
        <f t="shared" si="9"/>
        <v>-1</v>
      </c>
    </row>
    <row r="83" spans="1:10">
      <c r="A83" s="97">
        <v>79</v>
      </c>
      <c r="B83" s="6" t="s">
        <v>67</v>
      </c>
      <c r="C83" s="6"/>
      <c r="D83" s="6"/>
      <c r="E83" s="6"/>
      <c r="F83" s="6"/>
      <c r="G83" s="6"/>
      <c r="H83" s="7">
        <f t="shared" si="7"/>
        <v>0</v>
      </c>
      <c r="I83" s="11" t="e">
        <f t="shared" si="8"/>
        <v>#DIV/0!</v>
      </c>
      <c r="J83" s="11" t="e">
        <f t="shared" si="9"/>
        <v>#DIV/0!</v>
      </c>
    </row>
    <row r="84" spans="1:10">
      <c r="A84" s="97">
        <v>80</v>
      </c>
      <c r="B84" s="6" t="s">
        <v>68</v>
      </c>
      <c r="C84" s="6"/>
      <c r="D84" s="6"/>
      <c r="E84" s="6"/>
      <c r="F84" s="6"/>
      <c r="G84" s="6"/>
      <c r="H84" s="7">
        <f t="shared" si="7"/>
        <v>0</v>
      </c>
      <c r="I84" s="11" t="e">
        <f t="shared" si="8"/>
        <v>#DIV/0!</v>
      </c>
      <c r="J84" s="11" t="e">
        <f t="shared" si="9"/>
        <v>#DIV/0!</v>
      </c>
    </row>
    <row r="85" spans="1:10">
      <c r="A85" s="97">
        <v>81</v>
      </c>
      <c r="B85" s="6" t="s">
        <v>71</v>
      </c>
      <c r="C85" s="6">
        <v>271491</v>
      </c>
      <c r="D85" s="6">
        <v>176973</v>
      </c>
      <c r="E85" s="6"/>
      <c r="F85" s="6"/>
      <c r="G85" s="6"/>
      <c r="H85" s="7">
        <f t="shared" si="7"/>
        <v>0</v>
      </c>
      <c r="I85" s="11" t="e">
        <f t="shared" si="8"/>
        <v>#DIV/0!</v>
      </c>
      <c r="J85" s="11">
        <f t="shared" si="9"/>
        <v>-1</v>
      </c>
    </row>
    <row r="86" spans="1:10">
      <c r="A86" s="97">
        <v>82</v>
      </c>
      <c r="B86" s="6" t="s">
        <v>72</v>
      </c>
      <c r="C86" s="6"/>
      <c r="D86" s="6">
        <v>5813</v>
      </c>
      <c r="E86" s="6"/>
      <c r="F86" s="6"/>
      <c r="G86" s="6"/>
      <c r="H86" s="7">
        <f t="shared" si="7"/>
        <v>0</v>
      </c>
      <c r="I86" s="11" t="e">
        <f t="shared" si="8"/>
        <v>#DIV/0!</v>
      </c>
      <c r="J86" s="11" t="e">
        <f t="shared" si="9"/>
        <v>#DIV/0!</v>
      </c>
    </row>
    <row r="87" spans="1:10">
      <c r="A87" s="97">
        <v>83</v>
      </c>
      <c r="B87" s="6" t="s">
        <v>74</v>
      </c>
      <c r="C87" s="6"/>
      <c r="D87" s="6"/>
      <c r="E87" s="6">
        <v>48240</v>
      </c>
      <c r="F87" s="6">
        <v>47136</v>
      </c>
      <c r="G87" s="6"/>
      <c r="H87" s="7">
        <f t="shared" si="7"/>
        <v>0</v>
      </c>
      <c r="I87" s="11">
        <f t="shared" si="8"/>
        <v>-1</v>
      </c>
      <c r="J87" s="11" t="e">
        <f t="shared" si="9"/>
        <v>#DIV/0!</v>
      </c>
    </row>
    <row r="88" spans="1:10">
      <c r="A88" s="97">
        <v>84</v>
      </c>
      <c r="B88" s="6" t="s">
        <v>75</v>
      </c>
      <c r="C88" s="6">
        <v>36740</v>
      </c>
      <c r="D88" s="6"/>
      <c r="E88" s="6"/>
      <c r="F88" s="6"/>
      <c r="G88" s="6"/>
      <c r="H88" s="7">
        <f t="shared" si="7"/>
        <v>0</v>
      </c>
      <c r="I88" s="11" t="e">
        <f t="shared" si="8"/>
        <v>#DIV/0!</v>
      </c>
      <c r="J88" s="11">
        <f t="shared" si="9"/>
        <v>-1</v>
      </c>
    </row>
    <row r="89" spans="1:10">
      <c r="A89" s="97">
        <v>85</v>
      </c>
      <c r="B89" s="6" t="s">
        <v>78</v>
      </c>
      <c r="C89" s="6"/>
      <c r="D89" s="6"/>
      <c r="E89" s="6"/>
      <c r="F89" s="6">
        <v>1562</v>
      </c>
      <c r="G89" s="6"/>
      <c r="H89" s="7">
        <f t="shared" si="7"/>
        <v>0</v>
      </c>
      <c r="I89" s="11">
        <f t="shared" si="8"/>
        <v>-1</v>
      </c>
      <c r="J89" s="11" t="e">
        <f t="shared" si="9"/>
        <v>#DIV/0!</v>
      </c>
    </row>
    <row r="90" spans="1:10">
      <c r="A90" s="97">
        <v>86</v>
      </c>
      <c r="B90" s="6" t="s">
        <v>79</v>
      </c>
      <c r="C90" s="6">
        <v>5882</v>
      </c>
      <c r="D90" s="6"/>
      <c r="E90" s="6"/>
      <c r="F90" s="6"/>
      <c r="G90" s="6"/>
      <c r="H90" s="7">
        <f t="shared" si="7"/>
        <v>0</v>
      </c>
      <c r="I90" s="11" t="e">
        <f t="shared" si="8"/>
        <v>#DIV/0!</v>
      </c>
      <c r="J90" s="11">
        <f t="shared" si="9"/>
        <v>-1</v>
      </c>
    </row>
    <row r="91" spans="1:10">
      <c r="A91" s="97">
        <v>87</v>
      </c>
      <c r="B91" s="6" t="s">
        <v>80</v>
      </c>
      <c r="C91" s="6"/>
      <c r="D91" s="6">
        <v>208</v>
      </c>
      <c r="E91" s="6"/>
      <c r="F91" s="6"/>
      <c r="G91" s="6"/>
      <c r="H91" s="7">
        <f t="shared" si="7"/>
        <v>0</v>
      </c>
      <c r="I91" s="11" t="e">
        <f t="shared" si="8"/>
        <v>#DIV/0!</v>
      </c>
      <c r="J91" s="11" t="e">
        <f t="shared" si="9"/>
        <v>#DIV/0!</v>
      </c>
    </row>
    <row r="92" spans="1:10">
      <c r="A92" s="97">
        <v>88</v>
      </c>
      <c r="B92" s="6" t="s">
        <v>82</v>
      </c>
      <c r="C92" s="6">
        <v>2452</v>
      </c>
      <c r="D92" s="6">
        <v>3574</v>
      </c>
      <c r="E92" s="6">
        <v>11925</v>
      </c>
      <c r="F92" s="6">
        <v>20454</v>
      </c>
      <c r="G92" s="6"/>
      <c r="H92" s="7">
        <f t="shared" si="7"/>
        <v>0</v>
      </c>
      <c r="I92" s="11">
        <f t="shared" si="8"/>
        <v>-1</v>
      </c>
      <c r="J92" s="11">
        <f t="shared" si="9"/>
        <v>-1</v>
      </c>
    </row>
    <row r="93" spans="1:10">
      <c r="A93" s="97">
        <v>89</v>
      </c>
      <c r="B93" s="6" t="s">
        <v>86</v>
      </c>
      <c r="C93" s="6"/>
      <c r="D93" s="6">
        <v>30134</v>
      </c>
      <c r="E93" s="6">
        <v>27354</v>
      </c>
      <c r="F93" s="6">
        <v>11422.79</v>
      </c>
      <c r="G93" s="6"/>
      <c r="H93" s="7">
        <f t="shared" si="7"/>
        <v>0</v>
      </c>
      <c r="I93" s="11">
        <f t="shared" si="8"/>
        <v>-1</v>
      </c>
      <c r="J93" s="11" t="e">
        <f t="shared" si="9"/>
        <v>#DIV/0!</v>
      </c>
    </row>
  </sheetData>
  <sortState xmlns:xlrd2="http://schemas.microsoft.com/office/spreadsheetml/2017/richdata2" ref="A3:J93">
    <sortCondition descending="1" ref="H4:H93"/>
  </sortState>
  <phoneticPr fontId="19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8"/>
  <sheetViews>
    <sheetView workbookViewId="0">
      <selection activeCell="J19" sqref="J19"/>
    </sheetView>
  </sheetViews>
  <sheetFormatPr baseColWidth="10" defaultRowHeight="14.4"/>
  <cols>
    <col min="1" max="1" width="6.88671875" customWidth="1"/>
    <col min="2" max="2" width="19.88671875" customWidth="1"/>
    <col min="3" max="9" width="9.33203125" customWidth="1"/>
    <col min="10" max="10" width="8.6640625" customWidth="1"/>
  </cols>
  <sheetData>
    <row r="1" spans="1:17">
      <c r="B1" t="s">
        <v>626</v>
      </c>
    </row>
    <row r="2" spans="1:17" ht="31.2">
      <c r="A2" s="42" t="s">
        <v>206</v>
      </c>
      <c r="B2" s="130" t="s">
        <v>190</v>
      </c>
      <c r="C2" s="31">
        <v>2018</v>
      </c>
      <c r="D2" s="31">
        <v>2019</v>
      </c>
      <c r="E2" s="31">
        <v>2020</v>
      </c>
      <c r="F2" s="31">
        <v>2021</v>
      </c>
      <c r="G2" s="221">
        <v>2022</v>
      </c>
      <c r="H2" s="161" t="s">
        <v>96</v>
      </c>
      <c r="I2" s="161" t="s">
        <v>95</v>
      </c>
      <c r="J2" s="161" t="s">
        <v>97</v>
      </c>
      <c r="L2" s="52"/>
      <c r="M2" s="26">
        <v>2018</v>
      </c>
      <c r="N2" s="26">
        <v>2019</v>
      </c>
      <c r="O2" s="26">
        <v>2020</v>
      </c>
      <c r="P2" s="26">
        <v>2021</v>
      </c>
      <c r="Q2" s="26">
        <v>2022</v>
      </c>
    </row>
    <row r="3" spans="1:17">
      <c r="A3" s="97"/>
      <c r="B3" s="32" t="s">
        <v>89</v>
      </c>
      <c r="C3" s="59">
        <v>15358</v>
      </c>
      <c r="D3" s="59">
        <v>13996</v>
      </c>
      <c r="E3" s="59">
        <v>13829</v>
      </c>
      <c r="F3" s="59">
        <v>12125</v>
      </c>
      <c r="G3" s="222">
        <v>10486</v>
      </c>
      <c r="H3" s="238">
        <f>G3/$G$3</f>
        <v>1</v>
      </c>
      <c r="I3" s="237">
        <f>(G3/F3)-1</f>
        <v>-0.13517525773195871</v>
      </c>
      <c r="J3" s="237">
        <f>((G3/C3)^(1/4))-1</f>
        <v>-9.098971404762779E-2</v>
      </c>
      <c r="L3" s="49" t="s">
        <v>135</v>
      </c>
      <c r="M3" s="50">
        <v>11949</v>
      </c>
      <c r="N3" s="50">
        <v>11013</v>
      </c>
      <c r="O3" s="50">
        <v>10406</v>
      </c>
      <c r="P3" s="50">
        <v>9157</v>
      </c>
      <c r="Q3" s="51">
        <v>7994</v>
      </c>
    </row>
    <row r="4" spans="1:17">
      <c r="A4" s="97">
        <v>1</v>
      </c>
      <c r="B4" s="32" t="s">
        <v>135</v>
      </c>
      <c r="C4" s="59">
        <v>11949</v>
      </c>
      <c r="D4" s="59">
        <v>11013</v>
      </c>
      <c r="E4" s="59">
        <v>10406</v>
      </c>
      <c r="F4" s="59">
        <v>9157</v>
      </c>
      <c r="G4" s="222">
        <v>7994</v>
      </c>
      <c r="H4" s="223">
        <f t="shared" ref="H4:H68" si="0">G4/$G$3</f>
        <v>0.76234979973297734</v>
      </c>
      <c r="I4" s="223">
        <f t="shared" ref="I4:I68" si="1">(G4/F4)-1</f>
        <v>-0.12700666157038332</v>
      </c>
      <c r="J4" s="223">
        <f t="shared" ref="J4:J68" si="2">((G4/C4)^(1/4))-1</f>
        <v>-9.5605014491859208E-2</v>
      </c>
      <c r="L4" s="49" t="s">
        <v>13</v>
      </c>
      <c r="M4" s="50">
        <v>171</v>
      </c>
      <c r="N4" s="50">
        <v>351</v>
      </c>
      <c r="O4" s="50">
        <v>337</v>
      </c>
      <c r="P4" s="50">
        <v>565</v>
      </c>
      <c r="Q4" s="51">
        <v>377</v>
      </c>
    </row>
    <row r="5" spans="1:17">
      <c r="A5" s="97">
        <v>2</v>
      </c>
      <c r="B5" s="32" t="s">
        <v>13</v>
      </c>
      <c r="C5" s="59">
        <v>171</v>
      </c>
      <c r="D5" s="59">
        <v>351</v>
      </c>
      <c r="E5" s="59">
        <v>337</v>
      </c>
      <c r="F5" s="59">
        <v>565</v>
      </c>
      <c r="G5" s="222">
        <v>377</v>
      </c>
      <c r="H5" s="237">
        <f t="shared" si="0"/>
        <v>3.5952698836543964E-2</v>
      </c>
      <c r="I5" s="237">
        <f t="shared" si="1"/>
        <v>-0.33274336283185846</v>
      </c>
      <c r="J5" s="237">
        <f t="shared" si="2"/>
        <v>0.21853023581156994</v>
      </c>
      <c r="L5" s="49" t="s">
        <v>58</v>
      </c>
      <c r="M5" s="50">
        <v>594</v>
      </c>
      <c r="N5" s="50">
        <v>685</v>
      </c>
      <c r="O5" s="50">
        <v>590</v>
      </c>
      <c r="P5" s="50">
        <v>286</v>
      </c>
      <c r="Q5" s="51">
        <v>269</v>
      </c>
    </row>
    <row r="6" spans="1:17">
      <c r="A6" s="97">
        <v>3</v>
      </c>
      <c r="B6" s="32" t="s">
        <v>58</v>
      </c>
      <c r="C6" s="59">
        <v>594</v>
      </c>
      <c r="D6" s="59">
        <v>685</v>
      </c>
      <c r="E6" s="59">
        <v>590</v>
      </c>
      <c r="F6" s="59">
        <v>286</v>
      </c>
      <c r="G6" s="222">
        <v>269</v>
      </c>
      <c r="H6" s="223">
        <f t="shared" si="0"/>
        <v>2.5653251954987601E-2</v>
      </c>
      <c r="I6" s="223">
        <f t="shared" si="1"/>
        <v>-5.9440559440559482E-2</v>
      </c>
      <c r="J6" s="223">
        <f t="shared" si="2"/>
        <v>-0.17966458931835871</v>
      </c>
      <c r="L6" s="49" t="s">
        <v>140</v>
      </c>
      <c r="M6" s="50">
        <v>24</v>
      </c>
      <c r="N6" s="50">
        <v>140</v>
      </c>
      <c r="O6" s="50">
        <v>0</v>
      </c>
      <c r="P6" s="50">
        <v>11</v>
      </c>
      <c r="Q6" s="51">
        <v>230</v>
      </c>
    </row>
    <row r="7" spans="1:17">
      <c r="A7" s="97">
        <v>4</v>
      </c>
      <c r="B7" s="32" t="s">
        <v>140</v>
      </c>
      <c r="C7" s="59">
        <v>24</v>
      </c>
      <c r="D7" s="59">
        <v>140</v>
      </c>
      <c r="E7" s="59">
        <v>0</v>
      </c>
      <c r="F7" s="59">
        <v>11</v>
      </c>
      <c r="G7" s="222">
        <v>230</v>
      </c>
      <c r="H7" s="237">
        <f t="shared" si="0"/>
        <v>2.1934007247758916E-2</v>
      </c>
      <c r="I7" s="237">
        <f>(G7/F7)-1</f>
        <v>19.90909090909091</v>
      </c>
      <c r="J7" s="237">
        <f t="shared" si="2"/>
        <v>0.75945898981319027</v>
      </c>
      <c r="L7" s="49" t="s">
        <v>154</v>
      </c>
      <c r="M7" s="50">
        <v>383</v>
      </c>
      <c r="N7" s="50">
        <v>60</v>
      </c>
      <c r="O7" s="50">
        <v>405</v>
      </c>
      <c r="P7" s="50">
        <v>448</v>
      </c>
      <c r="Q7" s="51">
        <v>222</v>
      </c>
    </row>
    <row r="8" spans="1:17">
      <c r="A8" s="97">
        <v>5</v>
      </c>
      <c r="B8" s="32" t="s">
        <v>154</v>
      </c>
      <c r="C8" s="59">
        <v>383</v>
      </c>
      <c r="D8" s="59">
        <v>60</v>
      </c>
      <c r="E8" s="59">
        <v>405</v>
      </c>
      <c r="F8" s="59">
        <v>448</v>
      </c>
      <c r="G8" s="222">
        <v>222</v>
      </c>
      <c r="H8" s="223">
        <f t="shared" si="0"/>
        <v>2.117108525653252E-2</v>
      </c>
      <c r="I8" s="223">
        <f t="shared" si="1"/>
        <v>-0.5044642857142857</v>
      </c>
      <c r="J8" s="223">
        <f t="shared" si="2"/>
        <v>-0.12745356162825527</v>
      </c>
      <c r="L8" s="49" t="s">
        <v>203</v>
      </c>
      <c r="M8" s="50">
        <v>2238</v>
      </c>
      <c r="N8" s="50">
        <v>1749</v>
      </c>
      <c r="O8" s="50">
        <v>2093</v>
      </c>
      <c r="P8" s="50">
        <v>1655</v>
      </c>
      <c r="Q8" s="50">
        <v>1393</v>
      </c>
    </row>
    <row r="9" spans="1:17">
      <c r="A9" s="97"/>
      <c r="B9" s="32" t="s">
        <v>203</v>
      </c>
      <c r="C9" s="59">
        <f>SUM(C10:C68)</f>
        <v>2238</v>
      </c>
      <c r="D9" s="59">
        <f t="shared" ref="D9:G9" si="3">SUM(D10:D68)</f>
        <v>1749</v>
      </c>
      <c r="E9" s="59">
        <f t="shared" si="3"/>
        <v>2093</v>
      </c>
      <c r="F9" s="59">
        <f t="shared" si="3"/>
        <v>1655</v>
      </c>
      <c r="G9" s="222">
        <f t="shared" si="3"/>
        <v>1393</v>
      </c>
      <c r="H9" s="237">
        <f t="shared" si="0"/>
        <v>0.13284379172229641</v>
      </c>
      <c r="I9" s="237">
        <f t="shared" si="1"/>
        <v>-0.15830815709969792</v>
      </c>
      <c r="J9" s="237">
        <f t="shared" si="2"/>
        <v>-0.11177547881225514</v>
      </c>
    </row>
    <row r="10" spans="1:17">
      <c r="B10" s="127" t="s">
        <v>85</v>
      </c>
      <c r="C10" s="128">
        <v>1</v>
      </c>
      <c r="D10" s="128">
        <v>5</v>
      </c>
      <c r="E10" s="128">
        <v>71</v>
      </c>
      <c r="F10" s="128">
        <v>88</v>
      </c>
      <c r="G10" s="129">
        <v>206</v>
      </c>
      <c r="H10" s="44">
        <f t="shared" si="0"/>
        <v>1.9645241274079725E-2</v>
      </c>
      <c r="I10" s="44">
        <f t="shared" si="1"/>
        <v>1.3409090909090908</v>
      </c>
      <c r="J10" s="44">
        <f t="shared" si="2"/>
        <v>2.7884957561553803</v>
      </c>
    </row>
    <row r="11" spans="1:17" ht="16.5" customHeight="1">
      <c r="B11" s="49" t="s">
        <v>155</v>
      </c>
      <c r="C11" s="50">
        <v>35</v>
      </c>
      <c r="D11" s="50">
        <v>17</v>
      </c>
      <c r="E11" s="50">
        <v>36</v>
      </c>
      <c r="F11" s="50">
        <v>72</v>
      </c>
      <c r="G11" s="51">
        <v>159</v>
      </c>
      <c r="H11" s="35">
        <f t="shared" si="0"/>
        <v>1.5163074575624642E-2</v>
      </c>
      <c r="I11" s="35">
        <f t="shared" si="1"/>
        <v>1.2083333333333335</v>
      </c>
      <c r="J11" s="35">
        <f t="shared" si="2"/>
        <v>0.45993079685533678</v>
      </c>
    </row>
    <row r="12" spans="1:17">
      <c r="B12" s="49" t="s">
        <v>35</v>
      </c>
      <c r="C12" s="50">
        <v>61</v>
      </c>
      <c r="D12" s="50">
        <v>84</v>
      </c>
      <c r="E12" s="50">
        <v>83</v>
      </c>
      <c r="F12" s="50">
        <v>130</v>
      </c>
      <c r="G12" s="51">
        <v>115</v>
      </c>
      <c r="H12" s="35">
        <f t="shared" si="0"/>
        <v>1.0967003623879458E-2</v>
      </c>
      <c r="I12" s="35">
        <f t="shared" si="1"/>
        <v>-0.11538461538461542</v>
      </c>
      <c r="J12" s="35">
        <f t="shared" si="2"/>
        <v>0.17176899214367425</v>
      </c>
    </row>
    <row r="13" spans="1:17">
      <c r="B13" s="49" t="s">
        <v>156</v>
      </c>
      <c r="C13" s="50">
        <v>14</v>
      </c>
      <c r="D13" s="50">
        <v>82</v>
      </c>
      <c r="E13" s="50">
        <v>85</v>
      </c>
      <c r="F13" s="50">
        <v>101</v>
      </c>
      <c r="G13" s="51">
        <v>110</v>
      </c>
      <c r="H13" s="35">
        <f t="shared" si="0"/>
        <v>1.0490177379362959E-2</v>
      </c>
      <c r="I13" s="35">
        <f t="shared" si="1"/>
        <v>8.9108910891089188E-2</v>
      </c>
      <c r="J13" s="35">
        <f t="shared" si="2"/>
        <v>0.67423401975558384</v>
      </c>
    </row>
    <row r="14" spans="1:17">
      <c r="B14" s="49" t="s">
        <v>43</v>
      </c>
      <c r="C14" s="50">
        <v>70</v>
      </c>
      <c r="D14" s="50">
        <v>49</v>
      </c>
      <c r="E14" s="50">
        <v>97</v>
      </c>
      <c r="F14" s="50">
        <v>101</v>
      </c>
      <c r="G14" s="51">
        <v>106</v>
      </c>
      <c r="H14" s="35">
        <f t="shared" si="0"/>
        <v>1.0108716383749761E-2</v>
      </c>
      <c r="I14" s="35">
        <f t="shared" si="1"/>
        <v>4.9504950495049549E-2</v>
      </c>
      <c r="J14" s="35">
        <f t="shared" si="2"/>
        <v>0.10930751803245076</v>
      </c>
    </row>
    <row r="15" spans="1:17">
      <c r="B15" s="49" t="s">
        <v>157</v>
      </c>
      <c r="C15" s="50">
        <v>58</v>
      </c>
      <c r="D15" s="50">
        <v>39</v>
      </c>
      <c r="E15" s="50">
        <v>64</v>
      </c>
      <c r="F15" s="50">
        <v>83</v>
      </c>
      <c r="G15" s="51">
        <v>88</v>
      </c>
      <c r="H15" s="35">
        <f t="shared" si="0"/>
        <v>8.3921419034903681E-3</v>
      </c>
      <c r="I15" s="35">
        <f t="shared" si="1"/>
        <v>6.024096385542177E-2</v>
      </c>
      <c r="J15" s="35">
        <f t="shared" si="2"/>
        <v>0.10984842393133998</v>
      </c>
    </row>
    <row r="16" spans="1:17">
      <c r="B16" s="14" t="s">
        <v>158</v>
      </c>
      <c r="C16" s="15">
        <v>58</v>
      </c>
      <c r="D16" s="15">
        <v>134</v>
      </c>
      <c r="E16" s="15">
        <v>61</v>
      </c>
      <c r="F16" s="15">
        <v>70</v>
      </c>
      <c r="G16" s="16">
        <v>78</v>
      </c>
      <c r="H16" s="35">
        <f t="shared" si="0"/>
        <v>7.4384894144573716E-3</v>
      </c>
      <c r="I16" s="35">
        <f t="shared" si="1"/>
        <v>0.11428571428571432</v>
      </c>
      <c r="J16" s="35">
        <f t="shared" si="2"/>
        <v>7.6878366031931433E-2</v>
      </c>
    </row>
    <row r="17" spans="2:10">
      <c r="B17" s="17" t="s">
        <v>48</v>
      </c>
      <c r="C17" s="18">
        <v>53</v>
      </c>
      <c r="D17" s="18">
        <v>71</v>
      </c>
      <c r="E17" s="18">
        <v>88</v>
      </c>
      <c r="F17" s="18">
        <v>83</v>
      </c>
      <c r="G17" s="19">
        <v>70</v>
      </c>
      <c r="H17" s="35">
        <f t="shared" si="0"/>
        <v>6.6755674232309749E-3</v>
      </c>
      <c r="I17" s="35">
        <f t="shared" si="1"/>
        <v>-0.15662650602409633</v>
      </c>
      <c r="J17" s="35">
        <f t="shared" si="2"/>
        <v>7.2026553206802513E-2</v>
      </c>
    </row>
    <row r="18" spans="2:10">
      <c r="B18" s="14" t="s">
        <v>159</v>
      </c>
      <c r="C18" s="15">
        <v>34</v>
      </c>
      <c r="D18" s="15">
        <v>13</v>
      </c>
      <c r="E18" s="15">
        <v>28</v>
      </c>
      <c r="F18" s="15">
        <v>27</v>
      </c>
      <c r="G18" s="16">
        <v>54</v>
      </c>
      <c r="H18" s="35">
        <f t="shared" si="0"/>
        <v>5.1497234407781806E-3</v>
      </c>
      <c r="I18" s="35">
        <f t="shared" si="1"/>
        <v>1</v>
      </c>
      <c r="J18" s="35">
        <f t="shared" si="2"/>
        <v>0.12260949382463759</v>
      </c>
    </row>
    <row r="19" spans="2:10">
      <c r="B19" s="17" t="s">
        <v>161</v>
      </c>
      <c r="C19" s="18">
        <v>6</v>
      </c>
      <c r="D19" s="18">
        <v>23</v>
      </c>
      <c r="E19" s="18">
        <v>63</v>
      </c>
      <c r="F19" s="18">
        <v>49</v>
      </c>
      <c r="G19" s="19">
        <v>52</v>
      </c>
      <c r="H19" s="35">
        <f t="shared" si="0"/>
        <v>4.9589929429715808E-3</v>
      </c>
      <c r="I19" s="35">
        <f t="shared" si="1"/>
        <v>6.1224489795918435E-2</v>
      </c>
      <c r="J19" s="35">
        <f t="shared" si="2"/>
        <v>0.71578561853628697</v>
      </c>
    </row>
    <row r="20" spans="2:10">
      <c r="B20" s="14" t="s">
        <v>54</v>
      </c>
      <c r="C20" s="15">
        <v>82</v>
      </c>
      <c r="D20" s="15">
        <v>71</v>
      </c>
      <c r="E20" s="15">
        <v>33</v>
      </c>
      <c r="F20" s="15">
        <v>23</v>
      </c>
      <c r="G20" s="16">
        <v>48</v>
      </c>
      <c r="H20" s="35">
        <f t="shared" si="0"/>
        <v>4.5775319473583828E-3</v>
      </c>
      <c r="I20" s="35">
        <f t="shared" si="1"/>
        <v>1.0869565217391304</v>
      </c>
      <c r="J20" s="35">
        <f t="shared" si="2"/>
        <v>-0.12530459262895066</v>
      </c>
    </row>
    <row r="21" spans="2:10">
      <c r="B21" s="17" t="s">
        <v>160</v>
      </c>
      <c r="C21" s="18">
        <v>57</v>
      </c>
      <c r="D21" s="18">
        <v>52</v>
      </c>
      <c r="E21" s="18">
        <v>17</v>
      </c>
      <c r="F21" s="18">
        <v>15</v>
      </c>
      <c r="G21" s="19">
        <v>45</v>
      </c>
      <c r="H21" s="35">
        <f t="shared" si="0"/>
        <v>4.291436200648484E-3</v>
      </c>
      <c r="I21" s="35">
        <f t="shared" si="1"/>
        <v>2</v>
      </c>
      <c r="J21" s="35">
        <f t="shared" si="2"/>
        <v>-5.7384852318488111E-2</v>
      </c>
    </row>
    <row r="22" spans="2:10">
      <c r="B22" s="14" t="s">
        <v>141</v>
      </c>
      <c r="C22" s="15">
        <v>381</v>
      </c>
      <c r="D22" s="15">
        <v>310</v>
      </c>
      <c r="E22" s="15">
        <v>470</v>
      </c>
      <c r="F22" s="15">
        <v>369</v>
      </c>
      <c r="G22" s="16">
        <v>44</v>
      </c>
      <c r="H22" s="35">
        <f t="shared" si="0"/>
        <v>4.1960709517451841E-3</v>
      </c>
      <c r="I22" s="35">
        <f t="shared" si="1"/>
        <v>-0.8807588075880759</v>
      </c>
      <c r="J22" s="35">
        <f t="shared" si="2"/>
        <v>-0.41704916970330008</v>
      </c>
    </row>
    <row r="23" spans="2:10">
      <c r="B23" s="17" t="s">
        <v>165</v>
      </c>
      <c r="C23" s="18">
        <v>49</v>
      </c>
      <c r="D23" s="18">
        <v>41</v>
      </c>
      <c r="E23" s="18">
        <v>53</v>
      </c>
      <c r="F23" s="18">
        <v>36</v>
      </c>
      <c r="G23" s="19">
        <v>34</v>
      </c>
      <c r="H23" s="35">
        <f t="shared" si="0"/>
        <v>3.2424184627121875E-3</v>
      </c>
      <c r="I23" s="35">
        <f t="shared" si="1"/>
        <v>-5.555555555555558E-2</v>
      </c>
      <c r="J23" s="35">
        <f t="shared" si="2"/>
        <v>-8.7315428072193724E-2</v>
      </c>
    </row>
    <row r="24" spans="2:10">
      <c r="B24" s="14" t="s">
        <v>162</v>
      </c>
      <c r="C24" s="15">
        <v>126</v>
      </c>
      <c r="D24" s="15">
        <v>87</v>
      </c>
      <c r="E24" s="15">
        <v>86</v>
      </c>
      <c r="F24" s="15">
        <v>13</v>
      </c>
      <c r="G24" s="16">
        <v>33</v>
      </c>
      <c r="H24" s="35">
        <f t="shared" si="0"/>
        <v>3.147053213808888E-3</v>
      </c>
      <c r="I24" s="35">
        <f t="shared" si="1"/>
        <v>1.5384615384615383</v>
      </c>
      <c r="J24" s="35">
        <f t="shared" si="2"/>
        <v>-0.28462155769190323</v>
      </c>
    </row>
    <row r="25" spans="2:10">
      <c r="B25" s="17" t="s">
        <v>163</v>
      </c>
      <c r="C25" s="18">
        <v>24</v>
      </c>
      <c r="D25" s="18">
        <v>7</v>
      </c>
      <c r="E25" s="18">
        <v>25</v>
      </c>
      <c r="F25" s="18">
        <v>22</v>
      </c>
      <c r="G25" s="19">
        <v>31</v>
      </c>
      <c r="H25" s="35">
        <f t="shared" si="0"/>
        <v>2.9563227160022887E-3</v>
      </c>
      <c r="I25" s="35">
        <f t="shared" si="1"/>
        <v>0.40909090909090917</v>
      </c>
      <c r="J25" s="35">
        <f t="shared" si="2"/>
        <v>6.6074641577918758E-2</v>
      </c>
    </row>
    <row r="26" spans="2:10">
      <c r="B26" s="14" t="s">
        <v>45</v>
      </c>
      <c r="C26" s="15">
        <v>41</v>
      </c>
      <c r="D26" s="15">
        <v>77</v>
      </c>
      <c r="E26" s="15">
        <v>51</v>
      </c>
      <c r="F26" s="15">
        <v>24</v>
      </c>
      <c r="G26" s="16">
        <v>22</v>
      </c>
      <c r="H26" s="35">
        <f t="shared" si="0"/>
        <v>2.098035475872592E-3</v>
      </c>
      <c r="I26" s="35">
        <f t="shared" si="1"/>
        <v>-8.333333333333337E-2</v>
      </c>
      <c r="J26" s="35">
        <f t="shared" si="2"/>
        <v>-0.1441262511133844</v>
      </c>
    </row>
    <row r="27" spans="2:10">
      <c r="B27" s="17" t="s">
        <v>164</v>
      </c>
      <c r="C27" s="18">
        <v>10</v>
      </c>
      <c r="D27" s="18">
        <v>0</v>
      </c>
      <c r="E27" s="18">
        <v>8</v>
      </c>
      <c r="F27" s="18">
        <v>5</v>
      </c>
      <c r="G27" s="19">
        <v>21</v>
      </c>
      <c r="H27" s="35">
        <f t="shared" si="0"/>
        <v>2.0026702269692926E-3</v>
      </c>
      <c r="I27" s="35">
        <f t="shared" si="1"/>
        <v>3.2</v>
      </c>
      <c r="J27" s="35">
        <f t="shared" si="2"/>
        <v>0.20380134350271595</v>
      </c>
    </row>
    <row r="28" spans="2:10">
      <c r="B28" s="14" t="s">
        <v>170</v>
      </c>
      <c r="C28" s="15">
        <v>118</v>
      </c>
      <c r="D28" s="15">
        <v>33</v>
      </c>
      <c r="E28" s="15">
        <v>46</v>
      </c>
      <c r="F28" s="15">
        <v>40</v>
      </c>
      <c r="G28" s="16">
        <v>15</v>
      </c>
      <c r="H28" s="35">
        <f t="shared" si="0"/>
        <v>1.4304787335494946E-3</v>
      </c>
      <c r="I28" s="35">
        <f t="shared" si="1"/>
        <v>-0.625</v>
      </c>
      <c r="J28" s="35">
        <f t="shared" si="2"/>
        <v>-0.40289279320531868</v>
      </c>
    </row>
    <row r="29" spans="2:10">
      <c r="B29" s="17" t="s">
        <v>65</v>
      </c>
      <c r="C29" s="18">
        <v>20</v>
      </c>
      <c r="D29" s="18">
        <v>32</v>
      </c>
      <c r="E29" s="18">
        <v>10</v>
      </c>
      <c r="F29" s="18">
        <v>7</v>
      </c>
      <c r="G29" s="19">
        <v>12</v>
      </c>
      <c r="H29" s="35">
        <f t="shared" si="0"/>
        <v>1.1443829868395957E-3</v>
      </c>
      <c r="I29" s="35">
        <f t="shared" si="1"/>
        <v>0.71428571428571419</v>
      </c>
      <c r="J29" s="35">
        <f t="shared" si="2"/>
        <v>-0.11988826320660662</v>
      </c>
    </row>
    <row r="30" spans="2:10">
      <c r="B30" s="14" t="s">
        <v>167</v>
      </c>
      <c r="C30" s="15">
        <v>0</v>
      </c>
      <c r="D30" s="15">
        <v>0</v>
      </c>
      <c r="E30" s="15">
        <v>0</v>
      </c>
      <c r="F30" s="15"/>
      <c r="G30" s="16">
        <v>9</v>
      </c>
      <c r="H30" s="35">
        <f t="shared" si="0"/>
        <v>8.5828724012969673E-4</v>
      </c>
      <c r="I30" s="35" t="e">
        <f t="shared" si="1"/>
        <v>#DIV/0!</v>
      </c>
      <c r="J30" s="35" t="e">
        <f t="shared" si="2"/>
        <v>#DIV/0!</v>
      </c>
    </row>
    <row r="31" spans="2:10">
      <c r="B31" s="17" t="s">
        <v>168</v>
      </c>
      <c r="C31" s="18">
        <v>42</v>
      </c>
      <c r="D31" s="18">
        <v>27</v>
      </c>
      <c r="E31" s="18">
        <v>12</v>
      </c>
      <c r="F31" s="18">
        <v>5</v>
      </c>
      <c r="G31" s="19">
        <v>8</v>
      </c>
      <c r="H31" s="35">
        <f t="shared" si="0"/>
        <v>7.6292199122639714E-4</v>
      </c>
      <c r="I31" s="35">
        <f t="shared" si="1"/>
        <v>0.60000000000000009</v>
      </c>
      <c r="J31" s="35">
        <f t="shared" si="2"/>
        <v>-0.33936713639723859</v>
      </c>
    </row>
    <row r="32" spans="2:10">
      <c r="B32" s="14" t="s">
        <v>169</v>
      </c>
      <c r="C32" s="15">
        <v>0</v>
      </c>
      <c r="D32" s="15">
        <v>8</v>
      </c>
      <c r="E32" s="15">
        <v>15</v>
      </c>
      <c r="F32" s="15">
        <v>14</v>
      </c>
      <c r="G32" s="16">
        <v>6</v>
      </c>
      <c r="H32" s="35">
        <f t="shared" si="0"/>
        <v>5.7219149341979786E-4</v>
      </c>
      <c r="I32" s="35">
        <f t="shared" si="1"/>
        <v>-0.5714285714285714</v>
      </c>
      <c r="J32" s="35" t="e">
        <f t="shared" si="2"/>
        <v>#DIV/0!</v>
      </c>
    </row>
    <row r="33" spans="2:10">
      <c r="B33" s="17" t="s">
        <v>171</v>
      </c>
      <c r="C33" s="18">
        <v>9</v>
      </c>
      <c r="D33" s="18">
        <v>4</v>
      </c>
      <c r="E33" s="18">
        <v>14</v>
      </c>
      <c r="F33" s="18">
        <v>3</v>
      </c>
      <c r="G33" s="19">
        <v>6</v>
      </c>
      <c r="H33" s="35">
        <f t="shared" si="0"/>
        <v>5.7219149341979786E-4</v>
      </c>
      <c r="I33" s="35">
        <f t="shared" si="1"/>
        <v>1</v>
      </c>
      <c r="J33" s="35">
        <f t="shared" si="2"/>
        <v>-9.6397996390155227E-2</v>
      </c>
    </row>
    <row r="34" spans="2:10">
      <c r="B34" s="14" t="s">
        <v>138</v>
      </c>
      <c r="C34" s="15">
        <v>0</v>
      </c>
      <c r="D34" s="15">
        <v>0</v>
      </c>
      <c r="E34" s="15">
        <v>0</v>
      </c>
      <c r="F34" s="15"/>
      <c r="G34" s="16">
        <v>5</v>
      </c>
      <c r="H34" s="35">
        <f t="shared" si="0"/>
        <v>4.7682624451649821E-4</v>
      </c>
      <c r="I34" s="35" t="e">
        <f t="shared" si="1"/>
        <v>#DIV/0!</v>
      </c>
      <c r="J34" s="35" t="e">
        <f t="shared" si="2"/>
        <v>#DIV/0!</v>
      </c>
    </row>
    <row r="35" spans="2:10">
      <c r="B35" s="17" t="s">
        <v>172</v>
      </c>
      <c r="C35" s="18">
        <v>61</v>
      </c>
      <c r="D35" s="18">
        <v>85</v>
      </c>
      <c r="E35" s="18">
        <v>128</v>
      </c>
      <c r="F35" s="18">
        <v>7</v>
      </c>
      <c r="G35" s="19">
        <v>4</v>
      </c>
      <c r="H35" s="35">
        <f t="shared" si="0"/>
        <v>3.8146099561319857E-4</v>
      </c>
      <c r="I35" s="35">
        <f t="shared" si="1"/>
        <v>-0.4285714285714286</v>
      </c>
      <c r="J35" s="35">
        <f t="shared" si="2"/>
        <v>-0.4939626892552369</v>
      </c>
    </row>
    <row r="36" spans="2:10">
      <c r="B36" s="14" t="s">
        <v>166</v>
      </c>
      <c r="C36" s="15">
        <v>3</v>
      </c>
      <c r="D36" s="15">
        <v>0</v>
      </c>
      <c r="E36" s="15">
        <v>0</v>
      </c>
      <c r="F36" s="15">
        <v>3</v>
      </c>
      <c r="G36" s="16">
        <v>3</v>
      </c>
      <c r="H36" s="35">
        <f t="shared" si="0"/>
        <v>2.8609574670989893E-4</v>
      </c>
      <c r="I36" s="35">
        <f t="shared" si="1"/>
        <v>0</v>
      </c>
      <c r="J36" s="35">
        <f t="shared" si="2"/>
        <v>0</v>
      </c>
    </row>
    <row r="37" spans="2:10">
      <c r="B37" s="17" t="s">
        <v>173</v>
      </c>
      <c r="C37" s="18">
        <v>0</v>
      </c>
      <c r="D37" s="18">
        <v>0</v>
      </c>
      <c r="E37" s="18">
        <v>5</v>
      </c>
      <c r="F37" s="18">
        <v>3</v>
      </c>
      <c r="G37" s="19">
        <v>3</v>
      </c>
      <c r="H37" s="35">
        <f t="shared" si="0"/>
        <v>2.8609574670989893E-4</v>
      </c>
      <c r="I37" s="35">
        <f t="shared" si="1"/>
        <v>0</v>
      </c>
      <c r="J37" s="35" t="e">
        <f t="shared" si="2"/>
        <v>#DIV/0!</v>
      </c>
    </row>
    <row r="38" spans="2:10">
      <c r="B38" s="14" t="s">
        <v>50</v>
      </c>
      <c r="C38" s="15">
        <v>59</v>
      </c>
      <c r="D38" s="15">
        <v>68</v>
      </c>
      <c r="E38" s="15">
        <v>4</v>
      </c>
      <c r="F38" s="15">
        <v>22</v>
      </c>
      <c r="G38" s="16">
        <v>3</v>
      </c>
      <c r="H38" s="35">
        <f t="shared" si="0"/>
        <v>2.8609574670989893E-4</v>
      </c>
      <c r="I38" s="35">
        <f t="shared" si="1"/>
        <v>-0.86363636363636365</v>
      </c>
      <c r="J38" s="35">
        <f t="shared" si="2"/>
        <v>-0.52513811650033582</v>
      </c>
    </row>
    <row r="39" spans="2:10">
      <c r="B39" s="17" t="s">
        <v>174</v>
      </c>
      <c r="C39" s="18">
        <v>56</v>
      </c>
      <c r="D39" s="18">
        <v>27</v>
      </c>
      <c r="E39" s="18">
        <v>10</v>
      </c>
      <c r="F39" s="18">
        <v>28</v>
      </c>
      <c r="G39" s="19">
        <v>3</v>
      </c>
      <c r="H39" s="35">
        <f t="shared" si="0"/>
        <v>2.8609574670989893E-4</v>
      </c>
      <c r="I39" s="35">
        <f t="shared" si="1"/>
        <v>-0.8928571428571429</v>
      </c>
      <c r="J39" s="35">
        <f t="shared" si="2"/>
        <v>-0.51890227090211927</v>
      </c>
    </row>
    <row r="40" spans="2:10">
      <c r="B40" s="14" t="s">
        <v>175</v>
      </c>
      <c r="C40" s="15">
        <v>0</v>
      </c>
      <c r="D40" s="15">
        <v>6</v>
      </c>
      <c r="E40" s="15">
        <v>9</v>
      </c>
      <c r="F40" s="15"/>
      <c r="G40" s="16"/>
      <c r="H40" s="35">
        <f t="shared" si="0"/>
        <v>0</v>
      </c>
      <c r="I40" s="35" t="e">
        <f t="shared" si="1"/>
        <v>#DIV/0!</v>
      </c>
      <c r="J40" s="35" t="e">
        <f t="shared" si="2"/>
        <v>#DIV/0!</v>
      </c>
    </row>
    <row r="41" spans="2:10">
      <c r="B41" s="17" t="s">
        <v>8</v>
      </c>
      <c r="C41" s="18">
        <v>0</v>
      </c>
      <c r="D41" s="18">
        <v>167</v>
      </c>
      <c r="E41" s="18">
        <v>158</v>
      </c>
      <c r="F41" s="18">
        <v>35</v>
      </c>
      <c r="G41" s="19"/>
      <c r="H41" s="35">
        <f t="shared" si="0"/>
        <v>0</v>
      </c>
      <c r="I41" s="35">
        <f t="shared" si="1"/>
        <v>-1</v>
      </c>
      <c r="J41" s="35" t="e">
        <f t="shared" si="2"/>
        <v>#DIV/0!</v>
      </c>
    </row>
    <row r="42" spans="2:10">
      <c r="B42" s="14" t="s">
        <v>176</v>
      </c>
      <c r="C42" s="15">
        <v>0</v>
      </c>
      <c r="D42" s="15">
        <v>0</v>
      </c>
      <c r="E42" s="15">
        <v>7</v>
      </c>
      <c r="F42" s="15"/>
      <c r="G42" s="16"/>
      <c r="H42" s="35">
        <f t="shared" si="0"/>
        <v>0</v>
      </c>
      <c r="I42" s="35" t="e">
        <f t="shared" si="1"/>
        <v>#DIV/0!</v>
      </c>
      <c r="J42" s="35" t="e">
        <f t="shared" si="2"/>
        <v>#DIV/0!</v>
      </c>
    </row>
    <row r="43" spans="2:10">
      <c r="B43" s="17" t="s">
        <v>40</v>
      </c>
      <c r="C43" s="18">
        <v>0</v>
      </c>
      <c r="D43" s="18">
        <v>0</v>
      </c>
      <c r="E43" s="18">
        <v>0</v>
      </c>
      <c r="F43" s="18">
        <v>3</v>
      </c>
      <c r="G43" s="19"/>
      <c r="H43" s="35">
        <f t="shared" si="0"/>
        <v>0</v>
      </c>
      <c r="I43" s="35">
        <f t="shared" si="1"/>
        <v>-1</v>
      </c>
      <c r="J43" s="35" t="e">
        <f t="shared" si="2"/>
        <v>#DIV/0!</v>
      </c>
    </row>
    <row r="44" spans="2:10">
      <c r="B44" s="14" t="s">
        <v>177</v>
      </c>
      <c r="C44" s="15">
        <v>0</v>
      </c>
      <c r="D44" s="15">
        <v>0</v>
      </c>
      <c r="E44" s="15">
        <v>3</v>
      </c>
      <c r="F44" s="15"/>
      <c r="G44" s="16"/>
      <c r="H44" s="35">
        <f t="shared" si="0"/>
        <v>0</v>
      </c>
      <c r="I44" s="35" t="e">
        <f t="shared" si="1"/>
        <v>#DIV/0!</v>
      </c>
      <c r="J44" s="35" t="e">
        <f t="shared" si="2"/>
        <v>#DIV/0!</v>
      </c>
    </row>
    <row r="45" spans="2:10">
      <c r="B45" s="17" t="s">
        <v>9</v>
      </c>
      <c r="C45" s="18">
        <v>0</v>
      </c>
      <c r="D45" s="18">
        <v>0</v>
      </c>
      <c r="E45" s="18">
        <v>0</v>
      </c>
      <c r="F45" s="18">
        <v>3</v>
      </c>
      <c r="G45" s="19"/>
      <c r="H45" s="35">
        <f t="shared" si="0"/>
        <v>0</v>
      </c>
      <c r="I45" s="35">
        <f t="shared" si="1"/>
        <v>-1</v>
      </c>
      <c r="J45" s="35" t="e">
        <f t="shared" si="2"/>
        <v>#DIV/0!</v>
      </c>
    </row>
    <row r="46" spans="2:10">
      <c r="B46" s="14" t="s">
        <v>58</v>
      </c>
      <c r="C46" s="15">
        <v>65</v>
      </c>
      <c r="D46" s="15">
        <v>0</v>
      </c>
      <c r="E46" s="15">
        <v>11</v>
      </c>
      <c r="F46" s="15"/>
      <c r="G46" s="16"/>
      <c r="H46" s="35">
        <f t="shared" si="0"/>
        <v>0</v>
      </c>
      <c r="I46" s="35" t="e">
        <f t="shared" si="1"/>
        <v>#DIV/0!</v>
      </c>
      <c r="J46" s="35">
        <f t="shared" si="2"/>
        <v>-1</v>
      </c>
    </row>
    <row r="47" spans="2:10">
      <c r="B47" s="17" t="s">
        <v>178</v>
      </c>
      <c r="C47" s="18">
        <v>0</v>
      </c>
      <c r="D47" s="18">
        <v>0</v>
      </c>
      <c r="E47" s="18">
        <v>0</v>
      </c>
      <c r="F47" s="18">
        <v>4</v>
      </c>
      <c r="G47" s="19"/>
      <c r="H47" s="35">
        <f t="shared" si="0"/>
        <v>0</v>
      </c>
      <c r="I47" s="35">
        <f t="shared" si="1"/>
        <v>-1</v>
      </c>
      <c r="J47" s="35" t="e">
        <f t="shared" si="2"/>
        <v>#DIV/0!</v>
      </c>
    </row>
    <row r="48" spans="2:10">
      <c r="B48" s="14" t="s">
        <v>179</v>
      </c>
      <c r="C48" s="15">
        <v>0</v>
      </c>
      <c r="D48" s="15">
        <v>3</v>
      </c>
      <c r="E48" s="15">
        <v>0</v>
      </c>
      <c r="F48" s="15"/>
      <c r="G48" s="16"/>
      <c r="H48" s="35">
        <f t="shared" si="0"/>
        <v>0</v>
      </c>
      <c r="I48" s="35" t="e">
        <f t="shared" si="1"/>
        <v>#DIV/0!</v>
      </c>
      <c r="J48" s="35" t="e">
        <f t="shared" si="2"/>
        <v>#DIV/0!</v>
      </c>
    </row>
    <row r="49" spans="2:10">
      <c r="B49" s="17" t="s">
        <v>180</v>
      </c>
      <c r="C49" s="18">
        <v>0</v>
      </c>
      <c r="D49" s="18">
        <v>3</v>
      </c>
      <c r="E49" s="18">
        <v>3</v>
      </c>
      <c r="F49" s="18"/>
      <c r="G49" s="19"/>
      <c r="H49" s="35">
        <f t="shared" si="0"/>
        <v>0</v>
      </c>
      <c r="I49" s="35" t="e">
        <f t="shared" si="1"/>
        <v>#DIV/0!</v>
      </c>
      <c r="J49" s="35" t="e">
        <f t="shared" si="2"/>
        <v>#DIV/0!</v>
      </c>
    </row>
    <row r="50" spans="2:10">
      <c r="B50" s="14" t="s">
        <v>143</v>
      </c>
      <c r="C50" s="15">
        <v>3</v>
      </c>
      <c r="D50" s="15">
        <v>0</v>
      </c>
      <c r="E50" s="15">
        <v>0</v>
      </c>
      <c r="F50" s="15"/>
      <c r="G50" s="16"/>
      <c r="H50" s="35">
        <f t="shared" si="0"/>
        <v>0</v>
      </c>
      <c r="I50" s="35" t="e">
        <f t="shared" si="1"/>
        <v>#DIV/0!</v>
      </c>
      <c r="J50" s="35">
        <f t="shared" si="2"/>
        <v>-1</v>
      </c>
    </row>
    <row r="51" spans="2:10">
      <c r="B51" s="17" t="s">
        <v>181</v>
      </c>
      <c r="C51" s="18">
        <v>0</v>
      </c>
      <c r="D51" s="18">
        <v>0</v>
      </c>
      <c r="E51" s="18">
        <v>3</v>
      </c>
      <c r="F51" s="18"/>
      <c r="G51" s="19"/>
      <c r="H51" s="35">
        <f t="shared" si="0"/>
        <v>0</v>
      </c>
      <c r="I51" s="35" t="e">
        <f t="shared" si="1"/>
        <v>#DIV/0!</v>
      </c>
      <c r="J51" s="35" t="e">
        <f t="shared" si="2"/>
        <v>#DIV/0!</v>
      </c>
    </row>
    <row r="52" spans="2:10">
      <c r="B52" s="14" t="s">
        <v>182</v>
      </c>
      <c r="C52" s="15">
        <v>7</v>
      </c>
      <c r="D52" s="15">
        <v>0</v>
      </c>
      <c r="E52" s="15">
        <v>0</v>
      </c>
      <c r="F52" s="15"/>
      <c r="G52" s="16"/>
      <c r="H52" s="35">
        <f t="shared" si="0"/>
        <v>0</v>
      </c>
      <c r="I52" s="35" t="e">
        <f t="shared" si="1"/>
        <v>#DIV/0!</v>
      </c>
      <c r="J52" s="35">
        <f t="shared" si="2"/>
        <v>-1</v>
      </c>
    </row>
    <row r="53" spans="2:10">
      <c r="B53" s="17" t="s">
        <v>11</v>
      </c>
      <c r="C53" s="18">
        <v>0</v>
      </c>
      <c r="D53" s="18">
        <v>0</v>
      </c>
      <c r="E53" s="18">
        <v>24</v>
      </c>
      <c r="F53" s="18"/>
      <c r="G53" s="19"/>
      <c r="H53" s="35">
        <f t="shared" si="0"/>
        <v>0</v>
      </c>
      <c r="I53" s="35" t="e">
        <f t="shared" si="1"/>
        <v>#DIV/0!</v>
      </c>
      <c r="J53" s="35" t="e">
        <f t="shared" si="2"/>
        <v>#DIV/0!</v>
      </c>
    </row>
    <row r="54" spans="2:10">
      <c r="B54" s="14" t="s">
        <v>137</v>
      </c>
      <c r="C54" s="15">
        <v>22</v>
      </c>
      <c r="D54" s="15">
        <v>17</v>
      </c>
      <c r="E54" s="15">
        <v>0</v>
      </c>
      <c r="F54" s="15"/>
      <c r="G54" s="16"/>
      <c r="H54" s="35">
        <f t="shared" si="0"/>
        <v>0</v>
      </c>
      <c r="I54" s="35" t="e">
        <f t="shared" si="1"/>
        <v>#DIV/0!</v>
      </c>
      <c r="J54" s="35">
        <f t="shared" si="2"/>
        <v>-1</v>
      </c>
    </row>
    <row r="55" spans="2:10">
      <c r="B55" s="17" t="s">
        <v>183</v>
      </c>
      <c r="C55" s="18">
        <v>5</v>
      </c>
      <c r="D55" s="18">
        <v>0</v>
      </c>
      <c r="E55" s="18">
        <v>0</v>
      </c>
      <c r="F55" s="18"/>
      <c r="G55" s="19"/>
      <c r="H55" s="35">
        <f t="shared" si="0"/>
        <v>0</v>
      </c>
      <c r="I55" s="35" t="e">
        <f t="shared" si="1"/>
        <v>#DIV/0!</v>
      </c>
      <c r="J55" s="35">
        <f t="shared" si="2"/>
        <v>-1</v>
      </c>
    </row>
    <row r="56" spans="2:10">
      <c r="B56" s="14" t="s">
        <v>184</v>
      </c>
      <c r="C56" s="15">
        <v>33</v>
      </c>
      <c r="D56" s="15">
        <v>19</v>
      </c>
      <c r="E56" s="15">
        <v>40</v>
      </c>
      <c r="F56" s="15">
        <v>84</v>
      </c>
      <c r="G56" s="16"/>
      <c r="H56" s="35">
        <f t="shared" si="0"/>
        <v>0</v>
      </c>
      <c r="I56" s="35">
        <f t="shared" si="1"/>
        <v>-1</v>
      </c>
      <c r="J56" s="35">
        <f t="shared" si="2"/>
        <v>-1</v>
      </c>
    </row>
    <row r="57" spans="2:10">
      <c r="B57" s="17" t="s">
        <v>185</v>
      </c>
      <c r="C57" s="18">
        <v>29</v>
      </c>
      <c r="D57" s="18">
        <v>0</v>
      </c>
      <c r="E57" s="18">
        <v>0</v>
      </c>
      <c r="F57" s="18"/>
      <c r="G57" s="19"/>
      <c r="H57" s="35">
        <f t="shared" si="0"/>
        <v>0</v>
      </c>
      <c r="I57" s="35" t="e">
        <f t="shared" si="1"/>
        <v>#DIV/0!</v>
      </c>
      <c r="J57" s="35">
        <f t="shared" si="2"/>
        <v>-1</v>
      </c>
    </row>
    <row r="58" spans="2:10">
      <c r="B58" s="14" t="s">
        <v>186</v>
      </c>
      <c r="C58" s="15">
        <v>0</v>
      </c>
      <c r="D58" s="15">
        <v>0</v>
      </c>
      <c r="E58" s="15">
        <v>3</v>
      </c>
      <c r="F58" s="15"/>
      <c r="G58" s="16"/>
      <c r="H58" s="35">
        <f t="shared" si="0"/>
        <v>0</v>
      </c>
      <c r="I58" s="35" t="e">
        <f t="shared" si="1"/>
        <v>#DIV/0!</v>
      </c>
      <c r="J58" s="35" t="e">
        <f t="shared" si="2"/>
        <v>#DIV/0!</v>
      </c>
    </row>
    <row r="59" spans="2:10">
      <c r="B59" s="17" t="s">
        <v>187</v>
      </c>
      <c r="C59" s="18">
        <v>9</v>
      </c>
      <c r="D59" s="18">
        <v>0</v>
      </c>
      <c r="E59" s="18">
        <v>0</v>
      </c>
      <c r="F59" s="18">
        <v>10</v>
      </c>
      <c r="G59" s="19"/>
      <c r="H59" s="35">
        <f t="shared" si="0"/>
        <v>0</v>
      </c>
      <c r="I59" s="35">
        <f t="shared" si="1"/>
        <v>-1</v>
      </c>
      <c r="J59" s="35">
        <f t="shared" si="2"/>
        <v>-1</v>
      </c>
    </row>
    <row r="60" spans="2:10">
      <c r="B60" s="14" t="s">
        <v>146</v>
      </c>
      <c r="C60" s="15">
        <v>0</v>
      </c>
      <c r="D60" s="15">
        <v>0</v>
      </c>
      <c r="E60" s="15">
        <v>46</v>
      </c>
      <c r="F60" s="15"/>
      <c r="G60" s="16"/>
      <c r="H60" s="35">
        <f t="shared" si="0"/>
        <v>0</v>
      </c>
      <c r="I60" s="35" t="e">
        <f t="shared" si="1"/>
        <v>#DIV/0!</v>
      </c>
      <c r="J60" s="35" t="e">
        <f t="shared" si="2"/>
        <v>#DIV/0!</v>
      </c>
    </row>
    <row r="61" spans="2:10">
      <c r="B61" s="17" t="s">
        <v>147</v>
      </c>
      <c r="C61" s="18">
        <v>3</v>
      </c>
      <c r="D61" s="18">
        <v>0</v>
      </c>
      <c r="E61" s="18">
        <v>0</v>
      </c>
      <c r="F61" s="18"/>
      <c r="G61" s="19"/>
      <c r="H61" s="35">
        <f t="shared" si="0"/>
        <v>0</v>
      </c>
      <c r="I61" s="35" t="e">
        <f t="shared" si="1"/>
        <v>#DIV/0!</v>
      </c>
      <c r="J61" s="35">
        <f t="shared" si="2"/>
        <v>-1</v>
      </c>
    </row>
    <row r="62" spans="2:10">
      <c r="B62" s="14" t="s">
        <v>133</v>
      </c>
      <c r="C62" s="15">
        <v>276</v>
      </c>
      <c r="D62" s="15">
        <v>63</v>
      </c>
      <c r="E62" s="15">
        <v>56</v>
      </c>
      <c r="F62" s="15">
        <v>73</v>
      </c>
      <c r="G62" s="16"/>
      <c r="H62" s="35">
        <f t="shared" si="0"/>
        <v>0</v>
      </c>
      <c r="I62" s="35">
        <f t="shared" si="1"/>
        <v>-1</v>
      </c>
      <c r="J62" s="35">
        <f t="shared" si="2"/>
        <v>-1</v>
      </c>
    </row>
    <row r="63" spans="2:10">
      <c r="B63" s="17" t="s">
        <v>148</v>
      </c>
      <c r="C63" s="18">
        <v>0</v>
      </c>
      <c r="D63" s="18">
        <v>0</v>
      </c>
      <c r="E63" s="18">
        <v>9</v>
      </c>
      <c r="F63" s="18"/>
      <c r="G63" s="19"/>
      <c r="H63" s="35">
        <f t="shared" si="0"/>
        <v>0</v>
      </c>
      <c r="I63" s="35" t="e">
        <f t="shared" si="1"/>
        <v>#DIV/0!</v>
      </c>
      <c r="J63" s="35" t="e">
        <f t="shared" si="2"/>
        <v>#DIV/0!</v>
      </c>
    </row>
    <row r="64" spans="2:10">
      <c r="B64" s="14" t="s">
        <v>188</v>
      </c>
      <c r="C64" s="15">
        <v>23</v>
      </c>
      <c r="D64" s="15">
        <v>0</v>
      </c>
      <c r="E64" s="15">
        <v>0</v>
      </c>
      <c r="F64" s="15"/>
      <c r="G64" s="16"/>
      <c r="H64" s="35">
        <f t="shared" si="0"/>
        <v>0</v>
      </c>
      <c r="I64" s="35" t="e">
        <f t="shared" si="1"/>
        <v>#DIV/0!</v>
      </c>
      <c r="J64" s="35">
        <f t="shared" si="2"/>
        <v>-1</v>
      </c>
    </row>
    <row r="65" spans="2:10">
      <c r="B65" s="17" t="s">
        <v>31</v>
      </c>
      <c r="C65" s="18">
        <v>4</v>
      </c>
      <c r="D65" s="18">
        <v>22</v>
      </c>
      <c r="E65" s="18">
        <v>0</v>
      </c>
      <c r="F65" s="18"/>
      <c r="G65" s="19"/>
      <c r="H65" s="35">
        <f t="shared" si="0"/>
        <v>0</v>
      </c>
      <c r="I65" s="35" t="e">
        <f t="shared" si="1"/>
        <v>#DIV/0!</v>
      </c>
      <c r="J65" s="35">
        <f t="shared" si="2"/>
        <v>-1</v>
      </c>
    </row>
    <row r="66" spans="2:10">
      <c r="B66" s="14" t="s">
        <v>136</v>
      </c>
      <c r="C66" s="15">
        <v>118</v>
      </c>
      <c r="D66" s="15">
        <v>0</v>
      </c>
      <c r="E66" s="15">
        <v>0</v>
      </c>
      <c r="F66" s="15"/>
      <c r="G66" s="16"/>
      <c r="H66" s="35">
        <f t="shared" si="0"/>
        <v>0</v>
      </c>
      <c r="I66" s="35" t="e">
        <f t="shared" si="1"/>
        <v>#DIV/0!</v>
      </c>
      <c r="J66" s="35">
        <f t="shared" si="2"/>
        <v>-1</v>
      </c>
    </row>
    <row r="67" spans="2:10">
      <c r="B67" s="17" t="s">
        <v>149</v>
      </c>
      <c r="C67" s="18">
        <v>113</v>
      </c>
      <c r="D67" s="18">
        <v>0</v>
      </c>
      <c r="E67" s="18">
        <v>47</v>
      </c>
      <c r="F67" s="18"/>
      <c r="G67" s="19"/>
      <c r="H67" s="35">
        <f t="shared" si="0"/>
        <v>0</v>
      </c>
      <c r="I67" s="35" t="e">
        <f t="shared" si="1"/>
        <v>#DIV/0!</v>
      </c>
      <c r="J67" s="35">
        <f t="shared" si="2"/>
        <v>-1</v>
      </c>
    </row>
    <row r="68" spans="2:10" ht="21.6">
      <c r="B68" s="45" t="s">
        <v>189</v>
      </c>
      <c r="C68" s="46">
        <v>0</v>
      </c>
      <c r="D68" s="46">
        <v>3</v>
      </c>
      <c r="E68" s="46">
        <v>11</v>
      </c>
      <c r="F68" s="46"/>
      <c r="G68" s="47"/>
      <c r="H68" s="35">
        <f t="shared" si="0"/>
        <v>0</v>
      </c>
      <c r="I68" s="35" t="e">
        <f t="shared" si="1"/>
        <v>#DIV/0!</v>
      </c>
      <c r="J68" s="35" t="e">
        <f t="shared" si="2"/>
        <v>#DIV/0!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8"/>
  <sheetViews>
    <sheetView workbookViewId="0">
      <selection activeCell="H2" sqref="H2:J9"/>
    </sheetView>
  </sheetViews>
  <sheetFormatPr baseColWidth="10" defaultRowHeight="14.4"/>
  <cols>
    <col min="1" max="1" width="7.33203125" customWidth="1"/>
    <col min="2" max="2" width="14.88671875" customWidth="1"/>
    <col min="3" max="9" width="8" customWidth="1"/>
    <col min="10" max="10" width="9" customWidth="1"/>
  </cols>
  <sheetData>
    <row r="1" spans="1:17">
      <c r="B1" t="s">
        <v>625</v>
      </c>
    </row>
    <row r="2" spans="1:17" ht="31.2">
      <c r="A2" s="42" t="s">
        <v>206</v>
      </c>
      <c r="B2" s="130" t="s">
        <v>190</v>
      </c>
      <c r="C2" s="31">
        <v>2018</v>
      </c>
      <c r="D2" s="31">
        <v>2019</v>
      </c>
      <c r="E2" s="31">
        <v>2020</v>
      </c>
      <c r="F2" s="31">
        <v>2021</v>
      </c>
      <c r="G2" s="221">
        <v>2022</v>
      </c>
      <c r="H2" s="161" t="s">
        <v>96</v>
      </c>
      <c r="I2" s="161" t="s">
        <v>95</v>
      </c>
      <c r="J2" s="161" t="s">
        <v>97</v>
      </c>
      <c r="L2" s="48"/>
      <c r="M2" s="26">
        <v>2018</v>
      </c>
      <c r="N2" s="26">
        <v>2019</v>
      </c>
      <c r="O2" s="26">
        <v>2020</v>
      </c>
      <c r="P2" s="26">
        <v>2021</v>
      </c>
      <c r="Q2" s="43">
        <v>2022</v>
      </c>
    </row>
    <row r="3" spans="1:17">
      <c r="A3" s="97"/>
      <c r="B3" s="32" t="s">
        <v>89</v>
      </c>
      <c r="C3" s="59">
        <v>4434</v>
      </c>
      <c r="D3" s="59">
        <v>3825</v>
      </c>
      <c r="E3" s="59">
        <v>3681</v>
      </c>
      <c r="F3" s="59">
        <v>3377</v>
      </c>
      <c r="G3" s="222">
        <v>3069</v>
      </c>
      <c r="H3" s="225">
        <f>G3/$G$3</f>
        <v>1</v>
      </c>
      <c r="I3" s="223">
        <f>(G3/F3)-1</f>
        <v>-9.1205211726384405E-2</v>
      </c>
      <c r="J3" s="223">
        <f>((G3/C3)^(1/4))-1</f>
        <v>-8.788352558594259E-2</v>
      </c>
      <c r="L3" s="49" t="s">
        <v>135</v>
      </c>
      <c r="M3" s="50">
        <v>3540</v>
      </c>
      <c r="N3" s="50">
        <v>2966</v>
      </c>
      <c r="O3" s="50">
        <v>2785</v>
      </c>
      <c r="P3" s="50">
        <v>2541</v>
      </c>
      <c r="Q3" s="51">
        <v>2339</v>
      </c>
    </row>
    <row r="4" spans="1:17">
      <c r="A4" s="97">
        <v>1</v>
      </c>
      <c r="B4" s="32" t="s">
        <v>135</v>
      </c>
      <c r="C4" s="59">
        <v>3540</v>
      </c>
      <c r="D4" s="59">
        <v>2966</v>
      </c>
      <c r="E4" s="59">
        <v>2785</v>
      </c>
      <c r="F4" s="59">
        <v>2541</v>
      </c>
      <c r="G4" s="222">
        <v>2339</v>
      </c>
      <c r="H4" s="223">
        <f t="shared" ref="H4:H68" si="0">G4/$G$3</f>
        <v>0.76213750407298797</v>
      </c>
      <c r="I4" s="223">
        <f t="shared" ref="I4:I68" si="1">(G4/F4)-1</f>
        <v>-7.9496261314443095E-2</v>
      </c>
      <c r="J4" s="223">
        <f t="shared" ref="J4:J68" si="2">((G4/C4)^(1/4))-1</f>
        <v>-9.8414870533577892E-2</v>
      </c>
      <c r="L4" s="49" t="s">
        <v>154</v>
      </c>
      <c r="M4" s="50">
        <v>87</v>
      </c>
      <c r="N4" s="50">
        <v>14</v>
      </c>
      <c r="O4" s="50">
        <v>115</v>
      </c>
      <c r="P4" s="50">
        <v>170</v>
      </c>
      <c r="Q4" s="51">
        <v>116</v>
      </c>
    </row>
    <row r="5" spans="1:17">
      <c r="A5" s="97">
        <v>2</v>
      </c>
      <c r="B5" s="32" t="s">
        <v>154</v>
      </c>
      <c r="C5" s="59">
        <v>87</v>
      </c>
      <c r="D5" s="59">
        <v>14</v>
      </c>
      <c r="E5" s="59">
        <v>115</v>
      </c>
      <c r="F5" s="59">
        <v>170</v>
      </c>
      <c r="G5" s="222">
        <v>116</v>
      </c>
      <c r="H5" s="237">
        <f t="shared" si="0"/>
        <v>3.7797328119908769E-2</v>
      </c>
      <c r="I5" s="237">
        <f t="shared" si="1"/>
        <v>-0.31764705882352939</v>
      </c>
      <c r="J5" s="237">
        <f t="shared" si="2"/>
        <v>7.4569931823541991E-2</v>
      </c>
      <c r="L5" s="49" t="s">
        <v>13</v>
      </c>
      <c r="M5" s="50">
        <v>50</v>
      </c>
      <c r="N5" s="50">
        <v>103</v>
      </c>
      <c r="O5" s="50">
        <v>86</v>
      </c>
      <c r="P5" s="50">
        <v>169</v>
      </c>
      <c r="Q5" s="51">
        <v>109</v>
      </c>
    </row>
    <row r="6" spans="1:17">
      <c r="A6" s="97">
        <v>3</v>
      </c>
      <c r="B6" s="32" t="s">
        <v>13</v>
      </c>
      <c r="C6" s="59">
        <v>50</v>
      </c>
      <c r="D6" s="59">
        <v>103</v>
      </c>
      <c r="E6" s="59">
        <v>86</v>
      </c>
      <c r="F6" s="59">
        <v>169</v>
      </c>
      <c r="G6" s="222">
        <v>109</v>
      </c>
      <c r="H6" s="223">
        <f t="shared" si="0"/>
        <v>3.5516454871293582E-2</v>
      </c>
      <c r="I6" s="223">
        <f t="shared" si="1"/>
        <v>-0.3550295857988166</v>
      </c>
      <c r="J6" s="223">
        <f t="shared" si="2"/>
        <v>0.21510588263876818</v>
      </c>
      <c r="L6" s="49" t="s">
        <v>85</v>
      </c>
      <c r="M6" s="50">
        <v>1</v>
      </c>
      <c r="N6" s="50">
        <v>1</v>
      </c>
      <c r="O6" s="50">
        <v>30</v>
      </c>
      <c r="P6" s="50">
        <v>19</v>
      </c>
      <c r="Q6" s="51">
        <v>86</v>
      </c>
    </row>
    <row r="7" spans="1:17">
      <c r="A7" s="97">
        <v>4</v>
      </c>
      <c r="B7" s="32" t="s">
        <v>85</v>
      </c>
      <c r="C7" s="59">
        <v>1</v>
      </c>
      <c r="D7" s="59">
        <v>1</v>
      </c>
      <c r="E7" s="59">
        <v>30</v>
      </c>
      <c r="F7" s="59">
        <v>19</v>
      </c>
      <c r="G7" s="222">
        <v>86</v>
      </c>
      <c r="H7" s="237">
        <f t="shared" si="0"/>
        <v>2.8022157054415121E-2</v>
      </c>
      <c r="I7" s="237">
        <f t="shared" si="1"/>
        <v>3.5263157894736841</v>
      </c>
      <c r="J7" s="237">
        <f t="shared" si="2"/>
        <v>2.045261646475669</v>
      </c>
      <c r="L7" s="49" t="s">
        <v>58</v>
      </c>
      <c r="M7" s="50">
        <v>143</v>
      </c>
      <c r="N7" s="50">
        <v>190</v>
      </c>
      <c r="O7" s="50">
        <v>146</v>
      </c>
      <c r="P7" s="50">
        <v>106</v>
      </c>
      <c r="Q7" s="51">
        <v>71</v>
      </c>
    </row>
    <row r="8" spans="1:17">
      <c r="A8" s="97">
        <v>5</v>
      </c>
      <c r="B8" s="32" t="s">
        <v>58</v>
      </c>
      <c r="C8" s="59">
        <v>143</v>
      </c>
      <c r="D8" s="59">
        <v>190</v>
      </c>
      <c r="E8" s="59">
        <v>146</v>
      </c>
      <c r="F8" s="59">
        <v>106</v>
      </c>
      <c r="G8" s="222">
        <v>71</v>
      </c>
      <c r="H8" s="223">
        <f t="shared" si="0"/>
        <v>2.3134571521668295E-2</v>
      </c>
      <c r="I8" s="223">
        <f t="shared" si="1"/>
        <v>-0.33018867924528306</v>
      </c>
      <c r="J8" s="223">
        <f t="shared" si="2"/>
        <v>-0.16057755433025322</v>
      </c>
      <c r="L8" s="49" t="s">
        <v>203</v>
      </c>
      <c r="M8" s="50">
        <v>611</v>
      </c>
      <c r="N8" s="50">
        <v>553</v>
      </c>
      <c r="O8" s="50">
        <v>519</v>
      </c>
      <c r="P8" s="50">
        <v>371</v>
      </c>
      <c r="Q8" s="50">
        <v>347</v>
      </c>
    </row>
    <row r="9" spans="1:17">
      <c r="A9" s="97"/>
      <c r="B9" s="32" t="s">
        <v>203</v>
      </c>
      <c r="C9" s="59">
        <f>SUM(C10:C68)</f>
        <v>611</v>
      </c>
      <c r="D9" s="59">
        <f t="shared" ref="D9:G9" si="3">SUM(D10:D68)</f>
        <v>553</v>
      </c>
      <c r="E9" s="59">
        <f t="shared" si="3"/>
        <v>519</v>
      </c>
      <c r="F9" s="59">
        <f t="shared" si="3"/>
        <v>371</v>
      </c>
      <c r="G9" s="222">
        <f t="shared" si="3"/>
        <v>347</v>
      </c>
      <c r="H9" s="237">
        <f t="shared" si="0"/>
        <v>0.11306614532420985</v>
      </c>
      <c r="I9" s="237">
        <f t="shared" si="1"/>
        <v>-6.4690026954177915E-2</v>
      </c>
      <c r="J9" s="237">
        <f t="shared" si="2"/>
        <v>-0.13189538275637358</v>
      </c>
    </row>
    <row r="10" spans="1:17">
      <c r="A10" s="93"/>
      <c r="B10" s="127" t="s">
        <v>140</v>
      </c>
      <c r="C10" s="128">
        <v>9</v>
      </c>
      <c r="D10" s="128">
        <v>56</v>
      </c>
      <c r="E10" s="128"/>
      <c r="F10" s="128">
        <v>5</v>
      </c>
      <c r="G10" s="129">
        <v>53</v>
      </c>
      <c r="H10" s="44">
        <f t="shared" si="0"/>
        <v>1.7269468882372109E-2</v>
      </c>
      <c r="I10" s="44">
        <f t="shared" si="1"/>
        <v>9.6</v>
      </c>
      <c r="J10" s="44">
        <f t="shared" si="2"/>
        <v>0.55778794976300916</v>
      </c>
    </row>
    <row r="11" spans="1:17">
      <c r="B11" s="53" t="s">
        <v>205</v>
      </c>
      <c r="C11" s="50">
        <v>7</v>
      </c>
      <c r="D11" s="50">
        <v>3</v>
      </c>
      <c r="E11" s="50">
        <v>9</v>
      </c>
      <c r="F11" s="50">
        <v>13</v>
      </c>
      <c r="G11" s="51">
        <v>44</v>
      </c>
      <c r="H11" s="35">
        <f t="shared" si="0"/>
        <v>1.4336917562724014E-2</v>
      </c>
      <c r="I11" s="35">
        <f t="shared" si="1"/>
        <v>2.3846153846153846</v>
      </c>
      <c r="J11" s="35">
        <f t="shared" si="2"/>
        <v>0.58339277569150072</v>
      </c>
    </row>
    <row r="12" spans="1:17">
      <c r="B12" s="49" t="s">
        <v>35</v>
      </c>
      <c r="C12" s="50">
        <v>14</v>
      </c>
      <c r="D12" s="50">
        <v>15</v>
      </c>
      <c r="E12" s="50">
        <v>15</v>
      </c>
      <c r="F12" s="50">
        <v>23</v>
      </c>
      <c r="G12" s="51">
        <v>29</v>
      </c>
      <c r="H12" s="35">
        <f t="shared" si="0"/>
        <v>9.4493320299771921E-3</v>
      </c>
      <c r="I12" s="35">
        <f t="shared" si="1"/>
        <v>0.26086956521739135</v>
      </c>
      <c r="J12" s="35">
        <f t="shared" si="2"/>
        <v>0.19968572311995492</v>
      </c>
    </row>
    <row r="13" spans="1:17">
      <c r="B13" s="49" t="s">
        <v>43</v>
      </c>
      <c r="C13" s="50">
        <v>14</v>
      </c>
      <c r="D13" s="50">
        <v>11</v>
      </c>
      <c r="E13" s="50">
        <v>19</v>
      </c>
      <c r="F13" s="50">
        <v>21</v>
      </c>
      <c r="G13" s="51">
        <v>27</v>
      </c>
      <c r="H13" s="35">
        <f t="shared" si="0"/>
        <v>8.7976539589442824E-3</v>
      </c>
      <c r="I13" s="35">
        <f t="shared" si="1"/>
        <v>0.28571428571428581</v>
      </c>
      <c r="J13" s="35">
        <f t="shared" si="2"/>
        <v>0.17844395270153912</v>
      </c>
    </row>
    <row r="14" spans="1:17">
      <c r="B14" s="49" t="s">
        <v>156</v>
      </c>
      <c r="C14" s="50">
        <v>3</v>
      </c>
      <c r="D14" s="50">
        <v>18</v>
      </c>
      <c r="E14" s="50">
        <v>16</v>
      </c>
      <c r="F14" s="50">
        <v>18</v>
      </c>
      <c r="G14" s="51">
        <v>26</v>
      </c>
      <c r="H14" s="35">
        <f t="shared" si="0"/>
        <v>8.4718149234278266E-3</v>
      </c>
      <c r="I14" s="35">
        <f t="shared" si="1"/>
        <v>0.44444444444444442</v>
      </c>
      <c r="J14" s="35">
        <f t="shared" si="2"/>
        <v>0.71578561853628697</v>
      </c>
    </row>
    <row r="15" spans="1:17" ht="28.8">
      <c r="B15" s="27" t="s">
        <v>141</v>
      </c>
      <c r="C15" s="28">
        <v>92</v>
      </c>
      <c r="D15" s="28">
        <v>159</v>
      </c>
      <c r="E15" s="28">
        <v>148</v>
      </c>
      <c r="F15" s="28">
        <v>130</v>
      </c>
      <c r="G15" s="29">
        <v>21</v>
      </c>
      <c r="H15" s="35">
        <f t="shared" si="0"/>
        <v>6.8426197458455523E-3</v>
      </c>
      <c r="I15" s="34">
        <f t="shared" si="1"/>
        <v>-0.83846153846153848</v>
      </c>
      <c r="J15" s="34">
        <f t="shared" si="2"/>
        <v>-0.30879341514062919</v>
      </c>
    </row>
    <row r="16" spans="1:17">
      <c r="B16" s="14" t="s">
        <v>157</v>
      </c>
      <c r="C16" s="15">
        <v>10</v>
      </c>
      <c r="D16" s="15">
        <v>6</v>
      </c>
      <c r="E16" s="15">
        <v>10</v>
      </c>
      <c r="F16" s="15">
        <v>12</v>
      </c>
      <c r="G16" s="16">
        <v>21</v>
      </c>
      <c r="H16" s="35">
        <f t="shared" si="0"/>
        <v>6.8426197458455523E-3</v>
      </c>
      <c r="I16" s="34">
        <f t="shared" si="1"/>
        <v>0.75</v>
      </c>
      <c r="J16" s="34">
        <f t="shared" si="2"/>
        <v>0.20380134350271595</v>
      </c>
    </row>
    <row r="17" spans="2:10">
      <c r="B17" s="17" t="s">
        <v>158</v>
      </c>
      <c r="C17" s="18">
        <v>13</v>
      </c>
      <c r="D17" s="18">
        <v>28</v>
      </c>
      <c r="E17" s="18">
        <v>10</v>
      </c>
      <c r="F17" s="18">
        <v>12</v>
      </c>
      <c r="G17" s="19">
        <v>19</v>
      </c>
      <c r="H17" s="35">
        <f t="shared" si="0"/>
        <v>6.1909416748126425E-3</v>
      </c>
      <c r="I17" s="34">
        <f t="shared" si="1"/>
        <v>0.58333333333333326</v>
      </c>
      <c r="J17" s="34">
        <f t="shared" si="2"/>
        <v>9.9518553574234891E-2</v>
      </c>
    </row>
    <row r="18" spans="2:10">
      <c r="B18" s="14" t="s">
        <v>48</v>
      </c>
      <c r="C18" s="15">
        <v>8</v>
      </c>
      <c r="D18" s="15">
        <v>13</v>
      </c>
      <c r="E18" s="15">
        <v>16</v>
      </c>
      <c r="F18" s="15">
        <v>14</v>
      </c>
      <c r="G18" s="16">
        <v>17</v>
      </c>
      <c r="H18" s="35">
        <f t="shared" si="0"/>
        <v>5.5392636037797328E-3</v>
      </c>
      <c r="I18" s="34">
        <f t="shared" si="1"/>
        <v>0.21428571428571419</v>
      </c>
      <c r="J18" s="34">
        <f t="shared" si="2"/>
        <v>0.20736820138320899</v>
      </c>
    </row>
    <row r="19" spans="2:10">
      <c r="B19" s="17" t="s">
        <v>159</v>
      </c>
      <c r="C19" s="18">
        <v>7</v>
      </c>
      <c r="D19" s="18">
        <v>2</v>
      </c>
      <c r="E19" s="18">
        <v>5</v>
      </c>
      <c r="F19" s="18">
        <v>5</v>
      </c>
      <c r="G19" s="19">
        <v>15</v>
      </c>
      <c r="H19" s="35">
        <f t="shared" si="0"/>
        <v>4.8875855327468231E-3</v>
      </c>
      <c r="I19" s="34">
        <f t="shared" si="1"/>
        <v>2</v>
      </c>
      <c r="J19" s="34">
        <f t="shared" si="2"/>
        <v>0.20989673502443984</v>
      </c>
    </row>
    <row r="20" spans="2:10">
      <c r="B20" s="14" t="s">
        <v>160</v>
      </c>
      <c r="C20" s="15">
        <v>11</v>
      </c>
      <c r="D20" s="15">
        <v>12</v>
      </c>
      <c r="E20" s="15">
        <v>4</v>
      </c>
      <c r="F20" s="15">
        <v>2</v>
      </c>
      <c r="G20" s="16">
        <v>13</v>
      </c>
      <c r="H20" s="35">
        <f t="shared" si="0"/>
        <v>4.2359074617139133E-3</v>
      </c>
      <c r="I20" s="34">
        <f t="shared" si="1"/>
        <v>5.5</v>
      </c>
      <c r="J20" s="34">
        <f t="shared" si="2"/>
        <v>4.264788543842446E-2</v>
      </c>
    </row>
    <row r="21" spans="2:10">
      <c r="B21" s="17" t="s">
        <v>54</v>
      </c>
      <c r="C21" s="18">
        <v>13</v>
      </c>
      <c r="D21" s="18">
        <v>12</v>
      </c>
      <c r="E21" s="18">
        <v>6</v>
      </c>
      <c r="F21" s="18">
        <v>4</v>
      </c>
      <c r="G21" s="19">
        <v>13</v>
      </c>
      <c r="H21" s="35">
        <f t="shared" si="0"/>
        <v>4.2359074617139133E-3</v>
      </c>
      <c r="I21" s="34">
        <f t="shared" si="1"/>
        <v>2.25</v>
      </c>
      <c r="J21" s="34">
        <f t="shared" si="2"/>
        <v>0</v>
      </c>
    </row>
    <row r="22" spans="2:10">
      <c r="B22" s="14" t="s">
        <v>161</v>
      </c>
      <c r="C22" s="15">
        <v>0</v>
      </c>
      <c r="D22" s="15">
        <v>5</v>
      </c>
      <c r="E22" s="15">
        <v>12</v>
      </c>
      <c r="F22" s="15">
        <v>8</v>
      </c>
      <c r="G22" s="16">
        <v>9</v>
      </c>
      <c r="H22" s="35">
        <f t="shared" si="0"/>
        <v>2.9325513196480938E-3</v>
      </c>
      <c r="I22" s="34">
        <f t="shared" si="1"/>
        <v>0.125</v>
      </c>
      <c r="J22" s="34" t="e">
        <f t="shared" si="2"/>
        <v>#DIV/0!</v>
      </c>
    </row>
    <row r="23" spans="2:10">
      <c r="B23" s="17" t="s">
        <v>162</v>
      </c>
      <c r="C23" s="18">
        <v>48</v>
      </c>
      <c r="D23" s="18">
        <v>17</v>
      </c>
      <c r="E23" s="18">
        <v>17</v>
      </c>
      <c r="F23" s="18">
        <v>1</v>
      </c>
      <c r="G23" s="19">
        <v>9</v>
      </c>
      <c r="H23" s="35">
        <f t="shared" si="0"/>
        <v>2.9325513196480938E-3</v>
      </c>
      <c r="I23" s="34">
        <f t="shared" si="1"/>
        <v>8</v>
      </c>
      <c r="J23" s="34">
        <f t="shared" si="2"/>
        <v>-0.34196299352375381</v>
      </c>
    </row>
    <row r="24" spans="2:10">
      <c r="B24" s="14" t="s">
        <v>163</v>
      </c>
      <c r="C24" s="15">
        <v>8</v>
      </c>
      <c r="D24" s="15">
        <v>1</v>
      </c>
      <c r="E24" s="15">
        <v>5</v>
      </c>
      <c r="F24" s="15">
        <v>4</v>
      </c>
      <c r="G24" s="16">
        <v>6</v>
      </c>
      <c r="H24" s="35">
        <f t="shared" si="0"/>
        <v>1.9550342130987292E-3</v>
      </c>
      <c r="I24" s="34">
        <f t="shared" si="1"/>
        <v>0.5</v>
      </c>
      <c r="J24" s="34">
        <f t="shared" si="2"/>
        <v>-6.9395140897900442E-2</v>
      </c>
    </row>
    <row r="25" spans="2:10">
      <c r="B25" s="17" t="s">
        <v>164</v>
      </c>
      <c r="C25" s="18">
        <v>4</v>
      </c>
      <c r="D25" s="18"/>
      <c r="E25" s="18">
        <v>2</v>
      </c>
      <c r="F25" s="18">
        <v>1</v>
      </c>
      <c r="G25" s="19">
        <v>5</v>
      </c>
      <c r="H25" s="35">
        <f t="shared" si="0"/>
        <v>1.6291951775822744E-3</v>
      </c>
      <c r="I25" s="34">
        <f t="shared" si="1"/>
        <v>4</v>
      </c>
      <c r="J25" s="34">
        <f t="shared" si="2"/>
        <v>5.7371263440564091E-2</v>
      </c>
    </row>
    <row r="26" spans="2:10">
      <c r="B26" s="14" t="s">
        <v>165</v>
      </c>
      <c r="C26" s="15">
        <v>6</v>
      </c>
      <c r="D26" s="15">
        <v>9</v>
      </c>
      <c r="E26" s="15">
        <v>12</v>
      </c>
      <c r="F26" s="15">
        <v>6</v>
      </c>
      <c r="G26" s="16">
        <v>5</v>
      </c>
      <c r="H26" s="35">
        <f t="shared" si="0"/>
        <v>1.6291951775822744E-3</v>
      </c>
      <c r="I26" s="34">
        <f t="shared" si="1"/>
        <v>-0.16666666666666663</v>
      </c>
      <c r="J26" s="34">
        <f t="shared" si="2"/>
        <v>-4.4557207795633214E-2</v>
      </c>
    </row>
    <row r="27" spans="2:10">
      <c r="B27" s="17" t="s">
        <v>45</v>
      </c>
      <c r="C27" s="18">
        <v>4</v>
      </c>
      <c r="D27" s="18">
        <v>20</v>
      </c>
      <c r="E27" s="18">
        <v>14</v>
      </c>
      <c r="F27" s="18">
        <v>4</v>
      </c>
      <c r="G27" s="19">
        <v>4</v>
      </c>
      <c r="H27" s="35">
        <f t="shared" si="0"/>
        <v>1.3033561420658195E-3</v>
      </c>
      <c r="I27" s="34">
        <f t="shared" si="1"/>
        <v>0</v>
      </c>
      <c r="J27" s="34">
        <f t="shared" si="2"/>
        <v>0</v>
      </c>
    </row>
    <row r="28" spans="2:10">
      <c r="B28" s="14" t="s">
        <v>65</v>
      </c>
      <c r="C28" s="15">
        <v>3</v>
      </c>
      <c r="D28" s="15">
        <v>6</v>
      </c>
      <c r="E28" s="15">
        <v>2</v>
      </c>
      <c r="F28" s="15">
        <v>1</v>
      </c>
      <c r="G28" s="16">
        <v>3</v>
      </c>
      <c r="H28" s="35">
        <f t="shared" si="0"/>
        <v>9.7751710654936461E-4</v>
      </c>
      <c r="I28" s="34">
        <f t="shared" si="1"/>
        <v>2</v>
      </c>
      <c r="J28" s="34">
        <f t="shared" si="2"/>
        <v>0</v>
      </c>
    </row>
    <row r="29" spans="2:10">
      <c r="B29" s="17" t="s">
        <v>138</v>
      </c>
      <c r="C29" s="18"/>
      <c r="D29" s="18"/>
      <c r="E29" s="18"/>
      <c r="F29" s="18"/>
      <c r="G29" s="19">
        <v>2</v>
      </c>
      <c r="H29" s="35">
        <f t="shared" si="0"/>
        <v>6.5167807103290974E-4</v>
      </c>
      <c r="I29" s="34" t="e">
        <f t="shared" si="1"/>
        <v>#DIV/0!</v>
      </c>
      <c r="J29" s="34" t="e">
        <f t="shared" si="2"/>
        <v>#DIV/0!</v>
      </c>
    </row>
    <row r="30" spans="2:10">
      <c r="B30" s="14" t="s">
        <v>166</v>
      </c>
      <c r="C30" s="15">
        <v>0</v>
      </c>
      <c r="D30" s="15"/>
      <c r="E30" s="15"/>
      <c r="F30" s="15">
        <v>0</v>
      </c>
      <c r="G30" s="16">
        <v>1</v>
      </c>
      <c r="H30" s="35">
        <f t="shared" si="0"/>
        <v>3.2583903551645487E-4</v>
      </c>
      <c r="I30" s="34" t="e">
        <f t="shared" si="1"/>
        <v>#DIV/0!</v>
      </c>
      <c r="J30" s="34" t="e">
        <f t="shared" si="2"/>
        <v>#DIV/0!</v>
      </c>
    </row>
    <row r="31" spans="2:10">
      <c r="B31" s="17" t="s">
        <v>167</v>
      </c>
      <c r="C31" s="18"/>
      <c r="D31" s="18"/>
      <c r="E31" s="18"/>
      <c r="F31" s="18"/>
      <c r="G31" s="19">
        <v>1</v>
      </c>
      <c r="H31" s="35">
        <f t="shared" si="0"/>
        <v>3.2583903551645487E-4</v>
      </c>
      <c r="I31" s="34" t="e">
        <f t="shared" si="1"/>
        <v>#DIV/0!</v>
      </c>
      <c r="J31" s="34" t="e">
        <f t="shared" si="2"/>
        <v>#DIV/0!</v>
      </c>
    </row>
    <row r="32" spans="2:10">
      <c r="B32" s="14" t="s">
        <v>168</v>
      </c>
      <c r="C32" s="15">
        <v>11</v>
      </c>
      <c r="D32" s="15">
        <v>8</v>
      </c>
      <c r="E32" s="15">
        <v>1</v>
      </c>
      <c r="F32" s="15">
        <v>1</v>
      </c>
      <c r="G32" s="16">
        <v>1</v>
      </c>
      <c r="H32" s="35">
        <f t="shared" si="0"/>
        <v>3.2583903551645487E-4</v>
      </c>
      <c r="I32" s="34">
        <f t="shared" si="1"/>
        <v>0</v>
      </c>
      <c r="J32" s="34">
        <f t="shared" si="2"/>
        <v>-0.45089951322388755</v>
      </c>
    </row>
    <row r="33" spans="2:10">
      <c r="B33" s="17" t="s">
        <v>169</v>
      </c>
      <c r="C33" s="18"/>
      <c r="D33" s="18">
        <v>1</v>
      </c>
      <c r="E33" s="18">
        <v>3</v>
      </c>
      <c r="F33" s="18">
        <v>2</v>
      </c>
      <c r="G33" s="19">
        <v>1</v>
      </c>
      <c r="H33" s="35">
        <f t="shared" si="0"/>
        <v>3.2583903551645487E-4</v>
      </c>
      <c r="I33" s="34">
        <f t="shared" si="1"/>
        <v>-0.5</v>
      </c>
      <c r="J33" s="34" t="e">
        <f t="shared" si="2"/>
        <v>#DIV/0!</v>
      </c>
    </row>
    <row r="34" spans="2:10">
      <c r="B34" s="14" t="s">
        <v>170</v>
      </c>
      <c r="C34" s="15">
        <v>38</v>
      </c>
      <c r="D34" s="15">
        <v>10</v>
      </c>
      <c r="E34" s="15">
        <v>14</v>
      </c>
      <c r="F34" s="15">
        <v>10</v>
      </c>
      <c r="G34" s="16">
        <v>1</v>
      </c>
      <c r="H34" s="35">
        <f t="shared" si="0"/>
        <v>3.2583903551645487E-4</v>
      </c>
      <c r="I34" s="34">
        <f t="shared" si="1"/>
        <v>-0.9</v>
      </c>
      <c r="J34" s="34">
        <f t="shared" si="2"/>
        <v>-0.59723279536342266</v>
      </c>
    </row>
    <row r="35" spans="2:10">
      <c r="B35" s="17" t="s">
        <v>171</v>
      </c>
      <c r="C35" s="18">
        <v>3</v>
      </c>
      <c r="D35" s="18">
        <v>0</v>
      </c>
      <c r="E35" s="18">
        <v>2</v>
      </c>
      <c r="F35" s="18">
        <v>0</v>
      </c>
      <c r="G35" s="19">
        <v>1</v>
      </c>
      <c r="H35" s="35">
        <f t="shared" si="0"/>
        <v>3.2583903551645487E-4</v>
      </c>
      <c r="I35" s="34" t="e">
        <f t="shared" si="1"/>
        <v>#DIV/0!</v>
      </c>
      <c r="J35" s="34">
        <f t="shared" si="2"/>
        <v>-0.24016431434840746</v>
      </c>
    </row>
    <row r="36" spans="2:10">
      <c r="B36" s="14" t="s">
        <v>172</v>
      </c>
      <c r="C36" s="15">
        <v>15</v>
      </c>
      <c r="D36" s="15">
        <v>34</v>
      </c>
      <c r="E36" s="15">
        <v>51</v>
      </c>
      <c r="F36" s="15">
        <v>1</v>
      </c>
      <c r="G36" s="16">
        <v>0</v>
      </c>
      <c r="H36" s="35">
        <f t="shared" si="0"/>
        <v>0</v>
      </c>
      <c r="I36" s="34">
        <f t="shared" si="1"/>
        <v>-1</v>
      </c>
      <c r="J36" s="34">
        <f t="shared" si="2"/>
        <v>-1</v>
      </c>
    </row>
    <row r="37" spans="2:10">
      <c r="B37" s="17" t="s">
        <v>173</v>
      </c>
      <c r="C37" s="18"/>
      <c r="D37" s="18"/>
      <c r="E37" s="18">
        <v>1</v>
      </c>
      <c r="F37" s="18">
        <v>0</v>
      </c>
      <c r="G37" s="19">
        <v>0</v>
      </c>
      <c r="H37" s="35">
        <f t="shared" si="0"/>
        <v>0</v>
      </c>
      <c r="I37" s="34" t="e">
        <f t="shared" si="1"/>
        <v>#DIV/0!</v>
      </c>
      <c r="J37" s="34" t="e">
        <f t="shared" si="2"/>
        <v>#DIV/0!</v>
      </c>
    </row>
    <row r="38" spans="2:10">
      <c r="B38" s="14" t="s">
        <v>50</v>
      </c>
      <c r="C38" s="15">
        <v>19</v>
      </c>
      <c r="D38" s="15">
        <v>23</v>
      </c>
      <c r="E38" s="15">
        <v>0</v>
      </c>
      <c r="F38" s="15">
        <v>2</v>
      </c>
      <c r="G38" s="16">
        <v>0</v>
      </c>
      <c r="H38" s="35">
        <f t="shared" si="0"/>
        <v>0</v>
      </c>
      <c r="I38" s="34">
        <f t="shared" si="1"/>
        <v>-1</v>
      </c>
      <c r="J38" s="34">
        <f t="shared" si="2"/>
        <v>-1</v>
      </c>
    </row>
    <row r="39" spans="2:10">
      <c r="B39" s="17" t="s">
        <v>174</v>
      </c>
      <c r="C39" s="18">
        <v>11</v>
      </c>
      <c r="D39" s="18">
        <v>4</v>
      </c>
      <c r="E39" s="18">
        <v>1</v>
      </c>
      <c r="F39" s="18">
        <v>10</v>
      </c>
      <c r="G39" s="19">
        <v>0</v>
      </c>
      <c r="H39" s="35">
        <f t="shared" si="0"/>
        <v>0</v>
      </c>
      <c r="I39" s="34">
        <f t="shared" si="1"/>
        <v>-1</v>
      </c>
      <c r="J39" s="34">
        <f t="shared" si="2"/>
        <v>-1</v>
      </c>
    </row>
    <row r="40" spans="2:10">
      <c r="B40" s="14" t="s">
        <v>175</v>
      </c>
      <c r="C40" s="15"/>
      <c r="D40" s="15">
        <v>2</v>
      </c>
      <c r="E40" s="15">
        <v>2</v>
      </c>
      <c r="F40" s="15"/>
      <c r="G40" s="16"/>
      <c r="H40" s="35">
        <f t="shared" si="0"/>
        <v>0</v>
      </c>
      <c r="I40" s="34" t="e">
        <f t="shared" si="1"/>
        <v>#DIV/0!</v>
      </c>
      <c r="J40" s="34" t="e">
        <f t="shared" si="2"/>
        <v>#DIV/0!</v>
      </c>
    </row>
    <row r="41" spans="2:10">
      <c r="B41" s="17" t="s">
        <v>8</v>
      </c>
      <c r="C41" s="18"/>
      <c r="D41" s="18">
        <v>43</v>
      </c>
      <c r="E41" s="18">
        <v>40</v>
      </c>
      <c r="F41" s="18">
        <v>10</v>
      </c>
      <c r="G41" s="19"/>
      <c r="H41" s="35">
        <f t="shared" si="0"/>
        <v>0</v>
      </c>
      <c r="I41" s="34">
        <f t="shared" si="1"/>
        <v>-1</v>
      </c>
      <c r="J41" s="34" t="e">
        <f t="shared" si="2"/>
        <v>#DIV/0!</v>
      </c>
    </row>
    <row r="42" spans="2:10">
      <c r="B42" s="14" t="s">
        <v>176</v>
      </c>
      <c r="C42" s="15"/>
      <c r="D42" s="15"/>
      <c r="E42" s="15">
        <v>1</v>
      </c>
      <c r="F42" s="15"/>
      <c r="G42" s="16"/>
      <c r="H42" s="35">
        <f t="shared" si="0"/>
        <v>0</v>
      </c>
      <c r="I42" s="34" t="e">
        <f t="shared" si="1"/>
        <v>#DIV/0!</v>
      </c>
      <c r="J42" s="34" t="e">
        <f t="shared" si="2"/>
        <v>#DIV/0!</v>
      </c>
    </row>
    <row r="43" spans="2:10">
      <c r="B43" s="17" t="s">
        <v>40</v>
      </c>
      <c r="C43" s="18"/>
      <c r="D43" s="18"/>
      <c r="E43" s="18"/>
      <c r="F43" s="18">
        <v>1</v>
      </c>
      <c r="G43" s="19"/>
      <c r="H43" s="35">
        <f t="shared" si="0"/>
        <v>0</v>
      </c>
      <c r="I43" s="34">
        <f t="shared" si="1"/>
        <v>-1</v>
      </c>
      <c r="J43" s="34" t="e">
        <f t="shared" si="2"/>
        <v>#DIV/0!</v>
      </c>
    </row>
    <row r="44" spans="2:10">
      <c r="B44" s="14" t="s">
        <v>177</v>
      </c>
      <c r="C44" s="15"/>
      <c r="D44" s="15"/>
      <c r="E44" s="15">
        <v>0</v>
      </c>
      <c r="F44" s="15"/>
      <c r="G44" s="16"/>
      <c r="H44" s="35">
        <f t="shared" si="0"/>
        <v>0</v>
      </c>
      <c r="I44" s="34" t="e">
        <f t="shared" si="1"/>
        <v>#DIV/0!</v>
      </c>
      <c r="J44" s="34" t="e">
        <f t="shared" si="2"/>
        <v>#DIV/0!</v>
      </c>
    </row>
    <row r="45" spans="2:10">
      <c r="B45" s="17" t="s">
        <v>9</v>
      </c>
      <c r="C45" s="18"/>
      <c r="D45" s="18"/>
      <c r="E45" s="18"/>
      <c r="F45" s="18">
        <v>1</v>
      </c>
      <c r="G45" s="19"/>
      <c r="H45" s="35">
        <f t="shared" si="0"/>
        <v>0</v>
      </c>
      <c r="I45" s="34">
        <f t="shared" si="1"/>
        <v>-1</v>
      </c>
      <c r="J45" s="34" t="e">
        <f t="shared" si="2"/>
        <v>#DIV/0!</v>
      </c>
    </row>
    <row r="46" spans="2:10">
      <c r="B46" s="14" t="s">
        <v>58</v>
      </c>
      <c r="C46" s="15">
        <v>14</v>
      </c>
      <c r="D46" s="15"/>
      <c r="E46" s="15">
        <v>2</v>
      </c>
      <c r="F46" s="15"/>
      <c r="G46" s="16"/>
      <c r="H46" s="35">
        <f t="shared" si="0"/>
        <v>0</v>
      </c>
      <c r="I46" s="34" t="e">
        <f t="shared" si="1"/>
        <v>#DIV/0!</v>
      </c>
      <c r="J46" s="34">
        <f t="shared" si="2"/>
        <v>-1</v>
      </c>
    </row>
    <row r="47" spans="2:10">
      <c r="B47" s="17" t="s">
        <v>178</v>
      </c>
      <c r="C47" s="18"/>
      <c r="D47" s="18"/>
      <c r="E47" s="18"/>
      <c r="F47" s="18">
        <v>1</v>
      </c>
      <c r="G47" s="19"/>
      <c r="H47" s="35">
        <f t="shared" si="0"/>
        <v>0</v>
      </c>
      <c r="I47" s="34">
        <f t="shared" si="1"/>
        <v>-1</v>
      </c>
      <c r="J47" s="34" t="e">
        <f t="shared" si="2"/>
        <v>#DIV/0!</v>
      </c>
    </row>
    <row r="48" spans="2:10">
      <c r="B48" s="14" t="s">
        <v>179</v>
      </c>
      <c r="C48" s="15"/>
      <c r="D48" s="15">
        <v>1</v>
      </c>
      <c r="E48" s="15"/>
      <c r="F48" s="15"/>
      <c r="G48" s="16"/>
      <c r="H48" s="35">
        <f t="shared" si="0"/>
        <v>0</v>
      </c>
      <c r="I48" s="34" t="e">
        <f t="shared" si="1"/>
        <v>#DIV/0!</v>
      </c>
      <c r="J48" s="34" t="e">
        <f t="shared" si="2"/>
        <v>#DIV/0!</v>
      </c>
    </row>
    <row r="49" spans="2:10">
      <c r="B49" s="17" t="s">
        <v>180</v>
      </c>
      <c r="C49" s="18"/>
      <c r="D49" s="18">
        <v>0</v>
      </c>
      <c r="E49" s="18">
        <v>0</v>
      </c>
      <c r="F49" s="18"/>
      <c r="G49" s="19"/>
      <c r="H49" s="35">
        <f t="shared" si="0"/>
        <v>0</v>
      </c>
      <c r="I49" s="34" t="e">
        <f t="shared" si="1"/>
        <v>#DIV/0!</v>
      </c>
      <c r="J49" s="34" t="e">
        <f t="shared" si="2"/>
        <v>#DIV/0!</v>
      </c>
    </row>
    <row r="50" spans="2:10">
      <c r="B50" s="14" t="s">
        <v>143</v>
      </c>
      <c r="C50" s="15">
        <v>1</v>
      </c>
      <c r="D50" s="15"/>
      <c r="E50" s="15"/>
      <c r="F50" s="15"/>
      <c r="G50" s="16"/>
      <c r="H50" s="35">
        <f t="shared" si="0"/>
        <v>0</v>
      </c>
      <c r="I50" s="34" t="e">
        <f t="shared" si="1"/>
        <v>#DIV/0!</v>
      </c>
      <c r="J50" s="34">
        <f t="shared" si="2"/>
        <v>-1</v>
      </c>
    </row>
    <row r="51" spans="2:10">
      <c r="B51" s="17" t="s">
        <v>181</v>
      </c>
      <c r="C51" s="18"/>
      <c r="D51" s="18"/>
      <c r="E51" s="18">
        <v>1</v>
      </c>
      <c r="F51" s="18"/>
      <c r="G51" s="19"/>
      <c r="H51" s="35">
        <f t="shared" si="0"/>
        <v>0</v>
      </c>
      <c r="I51" s="34" t="e">
        <f t="shared" si="1"/>
        <v>#DIV/0!</v>
      </c>
      <c r="J51" s="34" t="e">
        <f t="shared" si="2"/>
        <v>#DIV/0!</v>
      </c>
    </row>
    <row r="52" spans="2:10">
      <c r="B52" s="14" t="s">
        <v>182</v>
      </c>
      <c r="C52" s="15">
        <v>1</v>
      </c>
      <c r="D52" s="15"/>
      <c r="E52" s="15"/>
      <c r="F52" s="15"/>
      <c r="G52" s="16"/>
      <c r="H52" s="35">
        <f t="shared" si="0"/>
        <v>0</v>
      </c>
      <c r="I52" s="34" t="e">
        <f t="shared" si="1"/>
        <v>#DIV/0!</v>
      </c>
      <c r="J52" s="34">
        <f t="shared" si="2"/>
        <v>-1</v>
      </c>
    </row>
    <row r="53" spans="2:10">
      <c r="B53" s="17" t="s">
        <v>11</v>
      </c>
      <c r="C53" s="18"/>
      <c r="D53" s="18"/>
      <c r="E53" s="18">
        <v>10</v>
      </c>
      <c r="F53" s="18"/>
      <c r="G53" s="19"/>
      <c r="H53" s="35">
        <f t="shared" si="0"/>
        <v>0</v>
      </c>
      <c r="I53" s="34" t="e">
        <f t="shared" si="1"/>
        <v>#DIV/0!</v>
      </c>
      <c r="J53" s="34" t="e">
        <f t="shared" si="2"/>
        <v>#DIV/0!</v>
      </c>
    </row>
    <row r="54" spans="2:10">
      <c r="B54" s="14" t="s">
        <v>137</v>
      </c>
      <c r="C54" s="15">
        <v>4</v>
      </c>
      <c r="D54" s="15">
        <v>4</v>
      </c>
      <c r="E54" s="15"/>
      <c r="F54" s="15"/>
      <c r="G54" s="16"/>
      <c r="H54" s="35">
        <f t="shared" si="0"/>
        <v>0</v>
      </c>
      <c r="I54" s="34" t="e">
        <f t="shared" si="1"/>
        <v>#DIV/0!</v>
      </c>
      <c r="J54" s="34">
        <f t="shared" si="2"/>
        <v>-1</v>
      </c>
    </row>
    <row r="55" spans="2:10">
      <c r="B55" s="17" t="s">
        <v>183</v>
      </c>
      <c r="C55" s="18">
        <v>1</v>
      </c>
      <c r="D55" s="18"/>
      <c r="E55" s="18"/>
      <c r="F55" s="18"/>
      <c r="G55" s="19"/>
      <c r="H55" s="35">
        <f t="shared" si="0"/>
        <v>0</v>
      </c>
      <c r="I55" s="34" t="e">
        <f t="shared" si="1"/>
        <v>#DIV/0!</v>
      </c>
      <c r="J55" s="34">
        <f t="shared" si="2"/>
        <v>-1</v>
      </c>
    </row>
    <row r="56" spans="2:10">
      <c r="B56" s="14" t="s">
        <v>184</v>
      </c>
      <c r="C56" s="15">
        <v>10</v>
      </c>
      <c r="D56" s="15">
        <v>6</v>
      </c>
      <c r="E56" s="15">
        <v>10</v>
      </c>
      <c r="F56" s="15">
        <v>21</v>
      </c>
      <c r="G56" s="16"/>
      <c r="H56" s="35">
        <f t="shared" si="0"/>
        <v>0</v>
      </c>
      <c r="I56" s="34">
        <f t="shared" si="1"/>
        <v>-1</v>
      </c>
      <c r="J56" s="34">
        <f t="shared" si="2"/>
        <v>-1</v>
      </c>
    </row>
    <row r="57" spans="2:10">
      <c r="B57" s="17" t="s">
        <v>185</v>
      </c>
      <c r="C57" s="18">
        <v>10</v>
      </c>
      <c r="D57" s="18"/>
      <c r="E57" s="18"/>
      <c r="F57" s="18"/>
      <c r="G57" s="19"/>
      <c r="H57" s="35">
        <f t="shared" si="0"/>
        <v>0</v>
      </c>
      <c r="I57" s="34" t="e">
        <f t="shared" si="1"/>
        <v>#DIV/0!</v>
      </c>
      <c r="J57" s="34">
        <f t="shared" si="2"/>
        <v>-1</v>
      </c>
    </row>
    <row r="58" spans="2:10">
      <c r="B58" s="14" t="s">
        <v>186</v>
      </c>
      <c r="C58" s="15"/>
      <c r="D58" s="15"/>
      <c r="E58" s="15">
        <v>1</v>
      </c>
      <c r="F58" s="15"/>
      <c r="G58" s="16"/>
      <c r="H58" s="35">
        <f t="shared" si="0"/>
        <v>0</v>
      </c>
      <c r="I58" s="34" t="e">
        <f t="shared" si="1"/>
        <v>#DIV/0!</v>
      </c>
      <c r="J58" s="34" t="e">
        <f t="shared" si="2"/>
        <v>#DIV/0!</v>
      </c>
    </row>
    <row r="59" spans="2:10">
      <c r="B59" s="17" t="s">
        <v>187</v>
      </c>
      <c r="C59" s="18">
        <v>1</v>
      </c>
      <c r="D59" s="18"/>
      <c r="E59" s="18"/>
      <c r="F59" s="18">
        <v>4</v>
      </c>
      <c r="G59" s="19"/>
      <c r="H59" s="35">
        <f t="shared" si="0"/>
        <v>0</v>
      </c>
      <c r="I59" s="34">
        <f t="shared" si="1"/>
        <v>-1</v>
      </c>
      <c r="J59" s="34">
        <f t="shared" si="2"/>
        <v>-1</v>
      </c>
    </row>
    <row r="60" spans="2:10">
      <c r="B60" s="14" t="s">
        <v>146</v>
      </c>
      <c r="C60" s="15"/>
      <c r="D60" s="15"/>
      <c r="E60" s="15">
        <v>10</v>
      </c>
      <c r="F60" s="15"/>
      <c r="G60" s="16"/>
      <c r="H60" s="35">
        <f t="shared" si="0"/>
        <v>0</v>
      </c>
      <c r="I60" s="34" t="e">
        <f t="shared" si="1"/>
        <v>#DIV/0!</v>
      </c>
      <c r="J60" s="34" t="e">
        <f t="shared" si="2"/>
        <v>#DIV/0!</v>
      </c>
    </row>
    <row r="61" spans="2:10">
      <c r="B61" s="17" t="s">
        <v>147</v>
      </c>
      <c r="C61" s="18">
        <v>0</v>
      </c>
      <c r="D61" s="18"/>
      <c r="E61" s="18"/>
      <c r="F61" s="18"/>
      <c r="G61" s="19"/>
      <c r="H61" s="35">
        <f t="shared" si="0"/>
        <v>0</v>
      </c>
      <c r="I61" s="34" t="e">
        <f t="shared" si="1"/>
        <v>#DIV/0!</v>
      </c>
      <c r="J61" s="34" t="e">
        <f t="shared" si="2"/>
        <v>#DIV/0!</v>
      </c>
    </row>
    <row r="62" spans="2:10">
      <c r="B62" s="14" t="s">
        <v>133</v>
      </c>
      <c r="C62" s="15">
        <v>116</v>
      </c>
      <c r="D62" s="15">
        <v>19</v>
      </c>
      <c r="E62" s="15">
        <v>24</v>
      </c>
      <c r="F62" s="15">
        <v>23</v>
      </c>
      <c r="G62" s="16"/>
      <c r="H62" s="35">
        <f t="shared" si="0"/>
        <v>0</v>
      </c>
      <c r="I62" s="34">
        <f t="shared" si="1"/>
        <v>-1</v>
      </c>
      <c r="J62" s="34">
        <f t="shared" si="2"/>
        <v>-1</v>
      </c>
    </row>
    <row r="63" spans="2:10">
      <c r="B63" s="17" t="s">
        <v>148</v>
      </c>
      <c r="C63" s="18"/>
      <c r="D63" s="18"/>
      <c r="E63" s="18">
        <v>1</v>
      </c>
      <c r="F63" s="18"/>
      <c r="G63" s="19"/>
      <c r="H63" s="35">
        <f t="shared" si="0"/>
        <v>0</v>
      </c>
      <c r="I63" s="34" t="e">
        <f t="shared" si="1"/>
        <v>#DIV/0!</v>
      </c>
      <c r="J63" s="34" t="e">
        <f t="shared" si="2"/>
        <v>#DIV/0!</v>
      </c>
    </row>
    <row r="64" spans="2:10">
      <c r="B64" s="14" t="s">
        <v>188</v>
      </c>
      <c r="C64" s="15">
        <v>8</v>
      </c>
      <c r="D64" s="15"/>
      <c r="E64" s="15"/>
      <c r="F64" s="15"/>
      <c r="G64" s="16"/>
      <c r="H64" s="35">
        <f t="shared" si="0"/>
        <v>0</v>
      </c>
      <c r="I64" s="34" t="e">
        <f t="shared" si="1"/>
        <v>#DIV/0!</v>
      </c>
      <c r="J64" s="34">
        <f t="shared" si="2"/>
        <v>-1</v>
      </c>
    </row>
    <row r="65" spans="2:10">
      <c r="B65" s="17" t="s">
        <v>31</v>
      </c>
      <c r="C65" s="18">
        <v>1</v>
      </c>
      <c r="D65" s="18">
        <v>5</v>
      </c>
      <c r="E65" s="18"/>
      <c r="F65" s="18"/>
      <c r="G65" s="19"/>
      <c r="H65" s="35">
        <f t="shared" si="0"/>
        <v>0</v>
      </c>
      <c r="I65" s="34" t="e">
        <f t="shared" si="1"/>
        <v>#DIV/0!</v>
      </c>
      <c r="J65" s="34">
        <f t="shared" si="2"/>
        <v>-1</v>
      </c>
    </row>
    <row r="66" spans="2:10">
      <c r="B66" s="14" t="s">
        <v>136</v>
      </c>
      <c r="C66" s="15">
        <v>26</v>
      </c>
      <c r="D66" s="15"/>
      <c r="E66" s="15"/>
      <c r="F66" s="15"/>
      <c r="G66" s="16"/>
      <c r="H66" s="35">
        <f t="shared" si="0"/>
        <v>0</v>
      </c>
      <c r="I66" s="34" t="e">
        <f t="shared" si="1"/>
        <v>#DIV/0!</v>
      </c>
      <c r="J66" s="34">
        <f t="shared" si="2"/>
        <v>-1</v>
      </c>
    </row>
    <row r="67" spans="2:10">
      <c r="B67" s="17" t="s">
        <v>149</v>
      </c>
      <c r="C67" s="18">
        <v>47</v>
      </c>
      <c r="D67" s="18"/>
      <c r="E67" s="18">
        <v>20</v>
      </c>
      <c r="F67" s="18"/>
      <c r="G67" s="19"/>
      <c r="H67" s="35">
        <f t="shared" si="0"/>
        <v>0</v>
      </c>
      <c r="I67" s="34" t="e">
        <f t="shared" si="1"/>
        <v>#DIV/0!</v>
      </c>
      <c r="J67" s="34">
        <f t="shared" si="2"/>
        <v>-1</v>
      </c>
    </row>
    <row r="68" spans="2:10" ht="21.6">
      <c r="B68" s="45" t="s">
        <v>189</v>
      </c>
      <c r="C68" s="46"/>
      <c r="D68" s="46">
        <v>0</v>
      </c>
      <c r="E68" s="46">
        <v>2</v>
      </c>
      <c r="F68" s="46"/>
      <c r="G68" s="47"/>
      <c r="H68" s="35">
        <f t="shared" si="0"/>
        <v>0</v>
      </c>
      <c r="I68" s="34" t="e">
        <f t="shared" si="1"/>
        <v>#DIV/0!</v>
      </c>
      <c r="J68" s="34" t="e">
        <f t="shared" si="2"/>
        <v>#DIV/0!</v>
      </c>
    </row>
  </sheetData>
  <pageMargins left="0.7" right="0.7" top="0.75" bottom="0.75" header="0.3" footer="0.3"/>
  <pageSetup paperSize="9" orientation="portrait" horizontalDpi="200" verticalDpi="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Q29"/>
  <sheetViews>
    <sheetView workbookViewId="0">
      <selection activeCell="A2" sqref="A2:J9"/>
    </sheetView>
  </sheetViews>
  <sheetFormatPr baseColWidth="10" defaultRowHeight="14.4"/>
  <cols>
    <col min="1" max="1" width="5.6640625" customWidth="1"/>
    <col min="8" max="8" width="8.44140625" customWidth="1"/>
    <col min="9" max="9" width="7.6640625" customWidth="1"/>
    <col min="10" max="10" width="8.109375" customWidth="1"/>
  </cols>
  <sheetData>
    <row r="2" spans="1:17" ht="37.5" customHeight="1">
      <c r="A2" s="42" t="s">
        <v>206</v>
      </c>
      <c r="B2" s="31" t="s">
        <v>150</v>
      </c>
      <c r="C2" s="31">
        <v>2018</v>
      </c>
      <c r="D2" s="31">
        <v>2019</v>
      </c>
      <c r="E2" s="31">
        <v>2020</v>
      </c>
      <c r="F2" s="31">
        <v>2021</v>
      </c>
      <c r="G2" s="221">
        <v>2022</v>
      </c>
      <c r="H2" s="4" t="s">
        <v>96</v>
      </c>
      <c r="I2" s="4" t="s">
        <v>95</v>
      </c>
      <c r="J2" s="4" t="s">
        <v>97</v>
      </c>
      <c r="L2" s="31" t="s">
        <v>150</v>
      </c>
      <c r="M2" s="31">
        <v>2018</v>
      </c>
      <c r="N2" s="31">
        <v>2019</v>
      </c>
      <c r="O2" s="31">
        <v>2020</v>
      </c>
      <c r="P2" s="31">
        <v>2021</v>
      </c>
      <c r="Q2" s="31">
        <v>2022</v>
      </c>
    </row>
    <row r="3" spans="1:17">
      <c r="A3" s="97"/>
      <c r="B3" s="132" t="s">
        <v>89</v>
      </c>
      <c r="C3" s="36">
        <v>87638</v>
      </c>
      <c r="D3" s="36">
        <v>93454</v>
      </c>
      <c r="E3" s="36">
        <v>101167</v>
      </c>
      <c r="F3" s="36">
        <v>68774</v>
      </c>
      <c r="G3" s="224">
        <v>74887</v>
      </c>
      <c r="H3" s="239">
        <f>G3/$G$3</f>
        <v>1</v>
      </c>
      <c r="I3" s="239">
        <f>(G3/F3)-1</f>
        <v>8.8885334574112296E-2</v>
      </c>
      <c r="J3" s="239">
        <f>((G3/C3)^(1/4))-1</f>
        <v>-3.8546037276819933E-2</v>
      </c>
      <c r="L3" s="6" t="s">
        <v>133</v>
      </c>
      <c r="M3" s="6">
        <v>42809</v>
      </c>
      <c r="N3" s="6">
        <v>44913</v>
      </c>
      <c r="O3" s="6">
        <v>42612</v>
      </c>
      <c r="P3" s="6">
        <v>33215</v>
      </c>
      <c r="Q3" s="6">
        <v>35137</v>
      </c>
    </row>
    <row r="4" spans="1:17">
      <c r="A4" s="97">
        <v>1</v>
      </c>
      <c r="B4" s="132" t="s">
        <v>133</v>
      </c>
      <c r="C4" s="36">
        <v>42809</v>
      </c>
      <c r="D4" s="36">
        <v>44913</v>
      </c>
      <c r="E4" s="36">
        <v>42612</v>
      </c>
      <c r="F4" s="36">
        <v>33215</v>
      </c>
      <c r="G4" s="224">
        <v>35137</v>
      </c>
      <c r="H4" s="239">
        <f t="shared" ref="H4:H29" si="0">G4/$G$3</f>
        <v>0.46920026172766971</v>
      </c>
      <c r="I4" s="239">
        <f t="shared" ref="I4:I12" si="1">(G4/F4)-1</f>
        <v>5.7865422248983833E-2</v>
      </c>
      <c r="J4" s="239">
        <f t="shared" ref="J4:J12" si="2">((G4/C4)^(1/4))-1</f>
        <v>-4.8174361340586613E-2</v>
      </c>
      <c r="L4" s="6" t="s">
        <v>134</v>
      </c>
      <c r="M4" s="6">
        <v>38599</v>
      </c>
      <c r="N4" s="6">
        <v>40258</v>
      </c>
      <c r="O4" s="6">
        <v>48501</v>
      </c>
      <c r="P4" s="6">
        <v>24272</v>
      </c>
      <c r="Q4" s="6">
        <v>31364</v>
      </c>
    </row>
    <row r="5" spans="1:17">
      <c r="A5" s="97">
        <v>2</v>
      </c>
      <c r="B5" s="132" t="s">
        <v>134</v>
      </c>
      <c r="C5" s="36">
        <v>38599</v>
      </c>
      <c r="D5" s="36">
        <v>40258</v>
      </c>
      <c r="E5" s="36">
        <v>48501</v>
      </c>
      <c r="F5" s="36">
        <v>24272</v>
      </c>
      <c r="G5" s="224">
        <v>31364</v>
      </c>
      <c r="H5" s="239">
        <f t="shared" si="0"/>
        <v>0.41881768531253755</v>
      </c>
      <c r="I5" s="239">
        <f t="shared" si="1"/>
        <v>0.29218852999340794</v>
      </c>
      <c r="J5" s="239">
        <f t="shared" si="2"/>
        <v>-5.0568037809197275E-2</v>
      </c>
      <c r="L5" s="6" t="s">
        <v>135</v>
      </c>
      <c r="M5" s="6">
        <v>1760</v>
      </c>
      <c r="N5" s="6">
        <v>1982</v>
      </c>
      <c r="O5" s="6">
        <v>3408</v>
      </c>
      <c r="P5" s="6">
        <v>5803</v>
      </c>
      <c r="Q5" s="6">
        <v>4948</v>
      </c>
    </row>
    <row r="6" spans="1:17">
      <c r="A6" s="97">
        <v>3</v>
      </c>
      <c r="B6" s="132" t="s">
        <v>135</v>
      </c>
      <c r="C6" s="36">
        <v>1760</v>
      </c>
      <c r="D6" s="36">
        <v>1982</v>
      </c>
      <c r="E6" s="36">
        <v>3408</v>
      </c>
      <c r="F6" s="36">
        <v>5803</v>
      </c>
      <c r="G6" s="224">
        <v>4948</v>
      </c>
      <c r="H6" s="239">
        <f t="shared" si="0"/>
        <v>6.6072883143936861E-2</v>
      </c>
      <c r="I6" s="239">
        <f t="shared" si="1"/>
        <v>-0.14733758400827157</v>
      </c>
      <c r="J6" s="239">
        <f t="shared" si="2"/>
        <v>0.29487920313729643</v>
      </c>
      <c r="L6" s="6" t="s">
        <v>136</v>
      </c>
      <c r="M6" s="6">
        <v>1462</v>
      </c>
      <c r="N6" s="6">
        <v>3901</v>
      </c>
      <c r="O6" s="6">
        <v>4485</v>
      </c>
      <c r="P6" s="6">
        <v>3993</v>
      </c>
      <c r="Q6" s="6">
        <v>1387</v>
      </c>
    </row>
    <row r="7" spans="1:17">
      <c r="A7" s="97">
        <v>4</v>
      </c>
      <c r="B7" s="132" t="s">
        <v>136</v>
      </c>
      <c r="C7" s="36">
        <v>1462</v>
      </c>
      <c r="D7" s="36">
        <v>3901</v>
      </c>
      <c r="E7" s="36">
        <v>4485</v>
      </c>
      <c r="F7" s="36">
        <v>3993</v>
      </c>
      <c r="G7" s="224">
        <v>1387</v>
      </c>
      <c r="H7" s="239">
        <f t="shared" si="0"/>
        <v>1.8521238666257159E-2</v>
      </c>
      <c r="I7" s="239">
        <f t="shared" si="1"/>
        <v>-0.65264212371650387</v>
      </c>
      <c r="J7" s="239">
        <f t="shared" si="2"/>
        <v>-1.3079268165944846E-2</v>
      </c>
      <c r="L7" s="6" t="s">
        <v>74</v>
      </c>
      <c r="M7" s="6">
        <v>1797</v>
      </c>
      <c r="N7" s="6">
        <v>1559</v>
      </c>
      <c r="O7" s="6">
        <v>816</v>
      </c>
      <c r="P7" s="6">
        <v>594</v>
      </c>
      <c r="Q7" s="6">
        <v>870</v>
      </c>
    </row>
    <row r="8" spans="1:17">
      <c r="A8" s="97">
        <v>5</v>
      </c>
      <c r="B8" s="132" t="s">
        <v>74</v>
      </c>
      <c r="C8" s="36">
        <v>1797</v>
      </c>
      <c r="D8" s="36">
        <v>1559</v>
      </c>
      <c r="E8" s="36">
        <v>816</v>
      </c>
      <c r="F8" s="36">
        <v>594</v>
      </c>
      <c r="G8" s="224">
        <v>870</v>
      </c>
      <c r="H8" s="239">
        <f t="shared" si="0"/>
        <v>1.1617503705583079E-2</v>
      </c>
      <c r="I8" s="239">
        <f t="shared" si="1"/>
        <v>0.46464646464646475</v>
      </c>
      <c r="J8" s="239">
        <f t="shared" si="2"/>
        <v>-0.16585261263985784</v>
      </c>
      <c r="L8" s="6" t="s">
        <v>203</v>
      </c>
      <c r="M8" s="6">
        <v>1210</v>
      </c>
      <c r="N8" s="6">
        <v>842</v>
      </c>
      <c r="O8" s="6">
        <v>1345</v>
      </c>
      <c r="P8" s="6">
        <v>896</v>
      </c>
      <c r="Q8" s="6">
        <v>1180</v>
      </c>
    </row>
    <row r="9" spans="1:17">
      <c r="A9" s="97"/>
      <c r="B9" s="132" t="s">
        <v>203</v>
      </c>
      <c r="C9" s="36">
        <f>SUM(C10:C29)</f>
        <v>1210</v>
      </c>
      <c r="D9" s="36">
        <f t="shared" ref="D9:G9" si="3">SUM(D10:D29)</f>
        <v>842</v>
      </c>
      <c r="E9" s="36">
        <f t="shared" si="3"/>
        <v>1345</v>
      </c>
      <c r="F9" s="36">
        <f t="shared" si="3"/>
        <v>896</v>
      </c>
      <c r="G9" s="224">
        <f t="shared" si="3"/>
        <v>1180</v>
      </c>
      <c r="H9" s="239">
        <f t="shared" si="0"/>
        <v>1.5757073991480498E-2</v>
      </c>
      <c r="I9" s="239">
        <f t="shared" si="1"/>
        <v>0.31696428571428581</v>
      </c>
      <c r="J9" s="239">
        <f t="shared" si="2"/>
        <v>-6.2568243253090516E-3</v>
      </c>
    </row>
    <row r="10" spans="1:17">
      <c r="B10" s="131" t="s">
        <v>31</v>
      </c>
      <c r="C10" s="36">
        <v>224</v>
      </c>
      <c r="D10" s="36">
        <v>512</v>
      </c>
      <c r="E10" s="36">
        <v>193</v>
      </c>
      <c r="F10" s="36">
        <v>246</v>
      </c>
      <c r="G10" s="36">
        <v>584</v>
      </c>
      <c r="H10" s="44">
        <f t="shared" si="0"/>
        <v>7.7984162805293305E-3</v>
      </c>
      <c r="I10" s="171">
        <f>(G10/F10)-1</f>
        <v>1.3739837398373984</v>
      </c>
      <c r="J10" s="44">
        <f t="shared" si="2"/>
        <v>0.27069466690228228</v>
      </c>
    </row>
    <row r="11" spans="1:17">
      <c r="B11" s="32" t="s">
        <v>137</v>
      </c>
      <c r="C11" s="36">
        <v>256</v>
      </c>
      <c r="D11" s="36">
        <v>219</v>
      </c>
      <c r="E11" s="36">
        <v>498</v>
      </c>
      <c r="F11" s="36">
        <v>189</v>
      </c>
      <c r="G11" s="36">
        <v>171</v>
      </c>
      <c r="H11" s="35">
        <f t="shared" si="0"/>
        <v>2.2834403835111567E-3</v>
      </c>
      <c r="I11" s="35">
        <f t="shared" si="1"/>
        <v>-9.5238095238095233E-2</v>
      </c>
      <c r="J11" s="35">
        <f t="shared" si="2"/>
        <v>-9.5957107259906471E-2</v>
      </c>
    </row>
    <row r="12" spans="1:17">
      <c r="B12" s="32" t="s">
        <v>11</v>
      </c>
      <c r="C12" s="36">
        <v>79</v>
      </c>
      <c r="D12" s="36">
        <v>37</v>
      </c>
      <c r="E12" s="36">
        <v>116</v>
      </c>
      <c r="F12" s="36">
        <v>298</v>
      </c>
      <c r="G12" s="36">
        <v>166</v>
      </c>
      <c r="H12" s="35">
        <f t="shared" si="0"/>
        <v>2.2166731208353922E-3</v>
      </c>
      <c r="I12" s="35">
        <f t="shared" si="1"/>
        <v>-0.44295302013422821</v>
      </c>
      <c r="J12" s="35">
        <f t="shared" si="2"/>
        <v>0.20398270717543232</v>
      </c>
    </row>
    <row r="13" spans="1:17">
      <c r="B13" s="30" t="s">
        <v>138</v>
      </c>
      <c r="C13" s="37">
        <v>211</v>
      </c>
      <c r="D13" s="37">
        <v>21</v>
      </c>
      <c r="E13" s="37">
        <v>0</v>
      </c>
      <c r="F13" s="37">
        <v>46</v>
      </c>
      <c r="G13" s="38">
        <v>106</v>
      </c>
      <c r="H13" s="2">
        <f t="shared" si="0"/>
        <v>1.4154659687262141E-3</v>
      </c>
    </row>
    <row r="14" spans="1:17">
      <c r="B14" s="14" t="s">
        <v>139</v>
      </c>
      <c r="C14" s="15">
        <v>0</v>
      </c>
      <c r="D14" s="15">
        <v>0</v>
      </c>
      <c r="E14" s="15">
        <v>0</v>
      </c>
      <c r="F14" s="15"/>
      <c r="G14" s="16">
        <v>51</v>
      </c>
      <c r="H14" s="2">
        <f t="shared" si="0"/>
        <v>6.8102607929280111E-4</v>
      </c>
    </row>
    <row r="15" spans="1:17">
      <c r="B15" s="17" t="s">
        <v>9</v>
      </c>
      <c r="C15" s="18">
        <v>0</v>
      </c>
      <c r="D15" s="18">
        <v>0</v>
      </c>
      <c r="E15" s="18">
        <v>174</v>
      </c>
      <c r="F15" s="18"/>
      <c r="G15" s="19">
        <v>44</v>
      </c>
      <c r="H15" s="2">
        <f t="shared" si="0"/>
        <v>5.8755191154673042E-4</v>
      </c>
    </row>
    <row r="16" spans="1:17">
      <c r="B16" s="14" t="s">
        <v>140</v>
      </c>
      <c r="C16" s="15">
        <v>0</v>
      </c>
      <c r="D16" s="15">
        <v>0</v>
      </c>
      <c r="E16" s="15">
        <v>18</v>
      </c>
      <c r="F16" s="15">
        <v>74</v>
      </c>
      <c r="G16" s="16">
        <v>35</v>
      </c>
      <c r="H16" s="2">
        <f t="shared" si="0"/>
        <v>4.6737083873035372E-4</v>
      </c>
    </row>
    <row r="17" spans="2:8" ht="21.6">
      <c r="B17" s="17" t="s">
        <v>141</v>
      </c>
      <c r="C17" s="18">
        <v>0</v>
      </c>
      <c r="D17" s="18">
        <v>0</v>
      </c>
      <c r="E17" s="18">
        <v>0</v>
      </c>
      <c r="F17" s="18">
        <v>9</v>
      </c>
      <c r="G17" s="19">
        <v>10</v>
      </c>
      <c r="H17" s="2">
        <f t="shared" si="0"/>
        <v>1.3353452535152963E-4</v>
      </c>
    </row>
    <row r="18" spans="2:8">
      <c r="B18" s="14" t="s">
        <v>29</v>
      </c>
      <c r="C18" s="15">
        <v>0</v>
      </c>
      <c r="D18" s="15">
        <v>0</v>
      </c>
      <c r="E18" s="15">
        <v>0</v>
      </c>
      <c r="F18" s="15"/>
      <c r="G18" s="16">
        <v>8</v>
      </c>
      <c r="H18" s="1">
        <f t="shared" si="0"/>
        <v>1.0682762028122371E-4</v>
      </c>
    </row>
    <row r="19" spans="2:8">
      <c r="B19" s="17" t="s">
        <v>58</v>
      </c>
      <c r="C19" s="18">
        <v>5</v>
      </c>
      <c r="D19" s="18">
        <v>6</v>
      </c>
      <c r="E19" s="18">
        <v>2</v>
      </c>
      <c r="F19" s="18">
        <v>5</v>
      </c>
      <c r="G19" s="19">
        <v>5</v>
      </c>
      <c r="H19" s="1">
        <f t="shared" si="0"/>
        <v>6.6767262675764813E-5</v>
      </c>
    </row>
    <row r="20" spans="2:8">
      <c r="B20" s="14" t="s">
        <v>142</v>
      </c>
      <c r="C20" s="15">
        <v>0</v>
      </c>
      <c r="D20" s="15">
        <v>0</v>
      </c>
      <c r="E20" s="15">
        <v>146</v>
      </c>
      <c r="F20" s="15"/>
      <c r="G20" s="16"/>
      <c r="H20" s="1">
        <f t="shared" si="0"/>
        <v>0</v>
      </c>
    </row>
    <row r="21" spans="2:8">
      <c r="B21" s="17" t="s">
        <v>35</v>
      </c>
      <c r="C21" s="18">
        <v>81</v>
      </c>
      <c r="D21" s="18">
        <v>0</v>
      </c>
      <c r="E21" s="18">
        <v>97</v>
      </c>
      <c r="F21" s="18"/>
      <c r="G21" s="19"/>
      <c r="H21" s="1">
        <f t="shared" si="0"/>
        <v>0</v>
      </c>
    </row>
    <row r="22" spans="2:8">
      <c r="B22" s="14" t="s">
        <v>43</v>
      </c>
      <c r="C22" s="15">
        <v>0</v>
      </c>
      <c r="D22" s="15">
        <v>0</v>
      </c>
      <c r="E22" s="15">
        <v>6</v>
      </c>
      <c r="F22" s="15"/>
      <c r="G22" s="16"/>
      <c r="H22" s="1">
        <f t="shared" si="0"/>
        <v>0</v>
      </c>
    </row>
    <row r="23" spans="2:8">
      <c r="B23" s="17" t="s">
        <v>143</v>
      </c>
      <c r="C23" s="18">
        <v>8</v>
      </c>
      <c r="D23" s="18">
        <v>17</v>
      </c>
      <c r="E23" s="18">
        <v>0</v>
      </c>
      <c r="F23" s="18"/>
      <c r="G23" s="19"/>
      <c r="H23" s="1">
        <f t="shared" si="0"/>
        <v>0</v>
      </c>
    </row>
    <row r="24" spans="2:8">
      <c r="B24" s="14" t="s">
        <v>144</v>
      </c>
      <c r="C24" s="15">
        <v>0</v>
      </c>
      <c r="D24" s="15">
        <v>0</v>
      </c>
      <c r="E24" s="15">
        <v>0</v>
      </c>
      <c r="F24" s="15">
        <v>2</v>
      </c>
      <c r="G24" s="16"/>
      <c r="H24" s="1">
        <f t="shared" si="0"/>
        <v>0</v>
      </c>
    </row>
    <row r="25" spans="2:8">
      <c r="B25" s="17" t="s">
        <v>145</v>
      </c>
      <c r="C25" s="18">
        <v>14</v>
      </c>
      <c r="D25" s="18">
        <v>0</v>
      </c>
      <c r="E25" s="18">
        <v>0</v>
      </c>
      <c r="F25" s="18"/>
      <c r="G25" s="19"/>
      <c r="H25" s="1">
        <f t="shared" si="0"/>
        <v>0</v>
      </c>
    </row>
    <row r="26" spans="2:8">
      <c r="B26" s="14" t="s">
        <v>146</v>
      </c>
      <c r="C26" s="15">
        <v>0</v>
      </c>
      <c r="D26" s="15">
        <v>30</v>
      </c>
      <c r="E26" s="15">
        <v>91</v>
      </c>
      <c r="F26" s="15">
        <v>27</v>
      </c>
      <c r="G26" s="16"/>
      <c r="H26" s="1">
        <f t="shared" si="0"/>
        <v>0</v>
      </c>
    </row>
    <row r="27" spans="2:8">
      <c r="B27" s="17" t="s">
        <v>147</v>
      </c>
      <c r="C27" s="18">
        <v>267</v>
      </c>
      <c r="D27" s="18">
        <v>0</v>
      </c>
      <c r="E27" s="18">
        <v>0</v>
      </c>
      <c r="F27" s="18"/>
      <c r="G27" s="19"/>
      <c r="H27" s="1">
        <f t="shared" si="0"/>
        <v>0</v>
      </c>
    </row>
    <row r="28" spans="2:8" ht="21.6">
      <c r="B28" s="14" t="s">
        <v>148</v>
      </c>
      <c r="C28" s="15">
        <v>4</v>
      </c>
      <c r="D28" s="15">
        <v>0</v>
      </c>
      <c r="E28" s="15">
        <v>0</v>
      </c>
      <c r="F28" s="15"/>
      <c r="G28" s="16"/>
      <c r="H28" s="1">
        <f t="shared" si="0"/>
        <v>0</v>
      </c>
    </row>
    <row r="29" spans="2:8">
      <c r="B29" s="20" t="s">
        <v>149</v>
      </c>
      <c r="C29" s="21">
        <v>61</v>
      </c>
      <c r="D29" s="21">
        <v>0</v>
      </c>
      <c r="E29" s="21">
        <v>4</v>
      </c>
      <c r="F29" s="21"/>
      <c r="G29" s="22"/>
      <c r="H29" s="1">
        <f t="shared" si="0"/>
        <v>0</v>
      </c>
    </row>
  </sheetData>
  <phoneticPr fontId="19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28"/>
  <sheetViews>
    <sheetView zoomScale="86" workbookViewId="0">
      <selection activeCell="L10" sqref="L10"/>
    </sheetView>
  </sheetViews>
  <sheetFormatPr baseColWidth="10" defaultRowHeight="14.4"/>
  <cols>
    <col min="1" max="1" width="6.109375" customWidth="1"/>
    <col min="3" max="8" width="6.88671875" customWidth="1"/>
    <col min="9" max="9" width="7.44140625" customWidth="1"/>
    <col min="10" max="10" width="6.88671875" customWidth="1"/>
  </cols>
  <sheetData>
    <row r="2" spans="1:17" ht="41.4">
      <c r="A2" s="42" t="s">
        <v>206</v>
      </c>
      <c r="B2" s="31" t="s">
        <v>190</v>
      </c>
      <c r="C2" s="31">
        <v>2018</v>
      </c>
      <c r="D2" s="31">
        <v>2019</v>
      </c>
      <c r="E2" s="31">
        <v>2020</v>
      </c>
      <c r="F2" s="31">
        <v>2021</v>
      </c>
      <c r="G2" s="221">
        <v>2022</v>
      </c>
      <c r="H2" s="4" t="s">
        <v>96</v>
      </c>
      <c r="I2" s="4" t="s">
        <v>95</v>
      </c>
      <c r="J2" s="4" t="s">
        <v>97</v>
      </c>
      <c r="L2" s="31"/>
      <c r="M2" s="31">
        <v>2018</v>
      </c>
      <c r="N2" s="31">
        <v>2019</v>
      </c>
      <c r="O2" s="31">
        <v>2020</v>
      </c>
      <c r="P2" s="31">
        <v>2021</v>
      </c>
      <c r="Q2" s="31">
        <v>2022</v>
      </c>
    </row>
    <row r="3" spans="1:17">
      <c r="A3" s="97"/>
      <c r="B3" s="32" t="s">
        <v>89</v>
      </c>
      <c r="C3" s="59">
        <v>33721</v>
      </c>
      <c r="D3" s="59">
        <v>31768</v>
      </c>
      <c r="E3" s="59">
        <v>36783</v>
      </c>
      <c r="F3" s="59">
        <v>28289</v>
      </c>
      <c r="G3" s="222">
        <v>30254</v>
      </c>
      <c r="H3" s="239">
        <f>G3/$G$3</f>
        <v>1</v>
      </c>
      <c r="I3" s="239">
        <f>(G3/F3)-1</f>
        <v>6.9461628194704694E-2</v>
      </c>
      <c r="J3" s="239">
        <f>((G3/C3)^(1/4))-1</f>
        <v>-2.675856737939708E-2</v>
      </c>
      <c r="L3" s="6" t="s">
        <v>133</v>
      </c>
      <c r="M3" s="6">
        <v>15963</v>
      </c>
      <c r="N3" s="6">
        <v>14528</v>
      </c>
      <c r="O3" s="6">
        <v>14673</v>
      </c>
      <c r="P3" s="6">
        <v>12978</v>
      </c>
      <c r="Q3" s="6">
        <v>14021</v>
      </c>
    </row>
    <row r="4" spans="1:17">
      <c r="A4" s="97">
        <v>1</v>
      </c>
      <c r="B4" s="32" t="s">
        <v>133</v>
      </c>
      <c r="C4" s="59">
        <v>15963</v>
      </c>
      <c r="D4" s="59">
        <v>14528</v>
      </c>
      <c r="E4" s="59">
        <v>14673</v>
      </c>
      <c r="F4" s="59">
        <v>12978</v>
      </c>
      <c r="G4" s="222">
        <v>14021</v>
      </c>
      <c r="H4" s="239">
        <f t="shared" ref="H4:H28" si="0">G4/$G$3</f>
        <v>0.46344285053216105</v>
      </c>
      <c r="I4" s="239">
        <f t="shared" ref="I4:I28" si="1">(G4/F4)-1</f>
        <v>8.0366774541531738E-2</v>
      </c>
      <c r="J4" s="239">
        <f t="shared" ref="J4:J28" si="2">((G4/C4)^(1/4))-1</f>
        <v>-3.1909142092746201E-2</v>
      </c>
      <c r="L4" s="6" t="s">
        <v>134</v>
      </c>
      <c r="M4" s="6">
        <v>14981</v>
      </c>
      <c r="N4" s="6">
        <v>13438</v>
      </c>
      <c r="O4" s="6">
        <v>17738</v>
      </c>
      <c r="P4" s="6">
        <v>9684</v>
      </c>
      <c r="Q4" s="6">
        <v>12463</v>
      </c>
    </row>
    <row r="5" spans="1:17">
      <c r="A5" s="97">
        <v>2</v>
      </c>
      <c r="B5" s="32" t="s">
        <v>134</v>
      </c>
      <c r="C5" s="59">
        <v>14981</v>
      </c>
      <c r="D5" s="59">
        <v>13438</v>
      </c>
      <c r="E5" s="59">
        <v>17738</v>
      </c>
      <c r="F5" s="59">
        <v>9684</v>
      </c>
      <c r="G5" s="222">
        <v>12463</v>
      </c>
      <c r="H5" s="239">
        <f t="shared" si="0"/>
        <v>0.41194552786408412</v>
      </c>
      <c r="I5" s="239">
        <f t="shared" si="1"/>
        <v>0.28696819496076009</v>
      </c>
      <c r="J5" s="239">
        <f t="shared" si="2"/>
        <v>-4.4962449302904717E-2</v>
      </c>
      <c r="L5" s="6" t="s">
        <v>135</v>
      </c>
      <c r="M5" s="6">
        <v>1127</v>
      </c>
      <c r="N5" s="6">
        <v>1262</v>
      </c>
      <c r="O5" s="6">
        <v>2093</v>
      </c>
      <c r="P5" s="6">
        <v>3104</v>
      </c>
      <c r="Q5" s="6">
        <v>2403</v>
      </c>
    </row>
    <row r="6" spans="1:17">
      <c r="A6" s="97">
        <v>3</v>
      </c>
      <c r="B6" s="32" t="s">
        <v>135</v>
      </c>
      <c r="C6" s="59">
        <v>1127</v>
      </c>
      <c r="D6" s="59">
        <v>1262</v>
      </c>
      <c r="E6" s="59">
        <v>2093</v>
      </c>
      <c r="F6" s="59">
        <v>3104</v>
      </c>
      <c r="G6" s="222">
        <v>2403</v>
      </c>
      <c r="H6" s="239">
        <f t="shared" si="0"/>
        <v>7.942751371719442E-2</v>
      </c>
      <c r="I6" s="239">
        <f t="shared" si="1"/>
        <v>-0.22583762886597936</v>
      </c>
      <c r="J6" s="239">
        <f t="shared" si="2"/>
        <v>0.20839094898955635</v>
      </c>
      <c r="L6" s="6" t="s">
        <v>136</v>
      </c>
      <c r="M6" s="6">
        <v>630</v>
      </c>
      <c r="N6" s="6">
        <v>1641</v>
      </c>
      <c r="O6" s="6">
        <v>1570</v>
      </c>
      <c r="P6" s="6">
        <v>2052</v>
      </c>
      <c r="Q6" s="6">
        <v>589</v>
      </c>
    </row>
    <row r="7" spans="1:17">
      <c r="A7" s="97">
        <v>4</v>
      </c>
      <c r="B7" s="32" t="s">
        <v>136</v>
      </c>
      <c r="C7" s="59">
        <v>630</v>
      </c>
      <c r="D7" s="59">
        <v>1641</v>
      </c>
      <c r="E7" s="59">
        <v>1570</v>
      </c>
      <c r="F7" s="59">
        <v>2052</v>
      </c>
      <c r="G7" s="222">
        <v>589</v>
      </c>
      <c r="H7" s="239">
        <f t="shared" si="0"/>
        <v>1.946850003305348E-2</v>
      </c>
      <c r="I7" s="239">
        <f t="shared" si="1"/>
        <v>-0.71296296296296302</v>
      </c>
      <c r="J7" s="239">
        <f t="shared" si="2"/>
        <v>-1.6682685643018225E-2</v>
      </c>
      <c r="L7" s="6" t="s">
        <v>74</v>
      </c>
      <c r="M7" s="6">
        <v>623</v>
      </c>
      <c r="N7" s="6">
        <v>497</v>
      </c>
      <c r="O7" s="6">
        <v>245</v>
      </c>
      <c r="P7" s="6">
        <v>192</v>
      </c>
      <c r="Q7" s="6">
        <v>372</v>
      </c>
    </row>
    <row r="8" spans="1:17">
      <c r="A8" s="97">
        <v>5</v>
      </c>
      <c r="B8" s="32" t="s">
        <v>74</v>
      </c>
      <c r="C8" s="59">
        <v>623</v>
      </c>
      <c r="D8" s="59">
        <v>497</v>
      </c>
      <c r="E8" s="59">
        <v>245</v>
      </c>
      <c r="F8" s="59">
        <v>192</v>
      </c>
      <c r="G8" s="222">
        <v>372</v>
      </c>
      <c r="H8" s="239">
        <f t="shared" si="0"/>
        <v>1.2295894757717987E-2</v>
      </c>
      <c r="I8" s="239">
        <f t="shared" si="1"/>
        <v>0.9375</v>
      </c>
      <c r="J8" s="239">
        <f t="shared" si="2"/>
        <v>-0.12094970642822711</v>
      </c>
      <c r="L8" s="6" t="s">
        <v>203</v>
      </c>
      <c r="M8" s="6">
        <v>398</v>
      </c>
      <c r="N8" s="6">
        <v>403</v>
      </c>
      <c r="O8" s="6">
        <v>464</v>
      </c>
      <c r="P8" s="6">
        <v>279</v>
      </c>
      <c r="Q8" s="6">
        <v>383</v>
      </c>
    </row>
    <row r="9" spans="1:17">
      <c r="A9" s="97"/>
      <c r="B9" s="32" t="s">
        <v>203</v>
      </c>
      <c r="C9" s="59">
        <f>SUM(C10:C28)</f>
        <v>398</v>
      </c>
      <c r="D9" s="59">
        <f t="shared" ref="D9:G9" si="3">SUM(D10:D28)</f>
        <v>403</v>
      </c>
      <c r="E9" s="59">
        <f t="shared" si="3"/>
        <v>464</v>
      </c>
      <c r="F9" s="59">
        <f t="shared" si="3"/>
        <v>279</v>
      </c>
      <c r="G9" s="222">
        <f t="shared" si="3"/>
        <v>383</v>
      </c>
      <c r="H9" s="178">
        <f t="shared" si="0"/>
        <v>1.2659483043564488E-2</v>
      </c>
      <c r="I9" s="178">
        <f t="shared" si="1"/>
        <v>0.37275985663082434</v>
      </c>
      <c r="J9" s="178">
        <f t="shared" si="2"/>
        <v>-9.5582804765206308E-3</v>
      </c>
    </row>
    <row r="10" spans="1:17">
      <c r="A10" s="97"/>
      <c r="B10" s="32" t="s">
        <v>31</v>
      </c>
      <c r="C10" s="59">
        <v>154</v>
      </c>
      <c r="D10" s="59">
        <v>319</v>
      </c>
      <c r="E10" s="59">
        <v>145</v>
      </c>
      <c r="F10" s="59">
        <v>145</v>
      </c>
      <c r="G10" s="59">
        <v>273</v>
      </c>
      <c r="H10" s="240">
        <f t="shared" si="0"/>
        <v>9.023600185099491E-3</v>
      </c>
      <c r="I10" s="35">
        <f t="shared" si="1"/>
        <v>0.88275862068965516</v>
      </c>
      <c r="J10" s="35">
        <f t="shared" si="2"/>
        <v>0.15387956342847664</v>
      </c>
    </row>
    <row r="11" spans="1:17">
      <c r="B11" s="32" t="s">
        <v>137</v>
      </c>
      <c r="C11" s="59">
        <v>47</v>
      </c>
      <c r="D11" s="59">
        <v>40</v>
      </c>
      <c r="E11" s="59">
        <v>104</v>
      </c>
      <c r="F11" s="59">
        <v>34</v>
      </c>
      <c r="G11" s="59">
        <v>31</v>
      </c>
      <c r="H11" s="35">
        <f t="shared" si="0"/>
        <v>1.0246578964764989E-3</v>
      </c>
      <c r="I11" s="35">
        <f t="shared" si="1"/>
        <v>-8.8235294117647078E-2</v>
      </c>
      <c r="J11" s="35">
        <f t="shared" si="2"/>
        <v>-9.8810840363422137E-2</v>
      </c>
    </row>
    <row r="12" spans="1:17">
      <c r="B12" s="32" t="s">
        <v>138</v>
      </c>
      <c r="C12" s="59">
        <v>49</v>
      </c>
      <c r="D12" s="59">
        <v>4</v>
      </c>
      <c r="E12" s="59"/>
      <c r="F12" s="59">
        <v>8</v>
      </c>
      <c r="G12" s="59">
        <v>26</v>
      </c>
      <c r="H12" s="35">
        <f t="shared" si="0"/>
        <v>8.5939049381899917E-4</v>
      </c>
      <c r="I12" s="35">
        <f t="shared" si="1"/>
        <v>2.25</v>
      </c>
      <c r="J12" s="35">
        <f t="shared" si="2"/>
        <v>-0.14651809680305261</v>
      </c>
    </row>
    <row r="13" spans="1:17">
      <c r="B13" s="32" t="s">
        <v>11</v>
      </c>
      <c r="C13" s="59">
        <v>27</v>
      </c>
      <c r="D13" s="59">
        <v>12</v>
      </c>
      <c r="E13" s="59">
        <v>17</v>
      </c>
      <c r="F13" s="59">
        <v>52</v>
      </c>
      <c r="G13" s="59">
        <v>21</v>
      </c>
      <c r="H13" s="35">
        <f t="shared" si="0"/>
        <v>6.941230911614993E-4</v>
      </c>
      <c r="I13" s="35">
        <f t="shared" si="1"/>
        <v>-0.59615384615384615</v>
      </c>
      <c r="J13" s="35">
        <f t="shared" si="2"/>
        <v>-6.0895584246247525E-2</v>
      </c>
    </row>
    <row r="14" spans="1:17">
      <c r="B14" s="62" t="s">
        <v>9</v>
      </c>
      <c r="C14" s="60">
        <v>0</v>
      </c>
      <c r="D14" s="60">
        <v>0</v>
      </c>
      <c r="E14" s="60">
        <v>61</v>
      </c>
      <c r="F14" s="60">
        <v>0</v>
      </c>
      <c r="G14" s="61">
        <v>18</v>
      </c>
      <c r="H14" s="44">
        <f t="shared" si="0"/>
        <v>5.9496264956699946E-4</v>
      </c>
      <c r="I14" s="35" t="e">
        <f t="shared" si="1"/>
        <v>#DIV/0!</v>
      </c>
      <c r="J14" s="35" t="e">
        <f t="shared" si="2"/>
        <v>#DIV/0!</v>
      </c>
    </row>
    <row r="15" spans="1:17">
      <c r="B15" s="23" t="s">
        <v>140</v>
      </c>
      <c r="C15" s="24"/>
      <c r="D15" s="24"/>
      <c r="E15" s="24">
        <v>9</v>
      </c>
      <c r="F15" s="24">
        <v>31</v>
      </c>
      <c r="G15" s="25">
        <v>9</v>
      </c>
      <c r="H15" s="35">
        <f t="shared" si="0"/>
        <v>2.9748132478349973E-4</v>
      </c>
      <c r="I15" s="35">
        <f t="shared" si="1"/>
        <v>-0.70967741935483875</v>
      </c>
      <c r="J15" s="35" t="e">
        <f t="shared" si="2"/>
        <v>#DIV/0!</v>
      </c>
    </row>
    <row r="16" spans="1:17">
      <c r="B16" s="17" t="s">
        <v>29</v>
      </c>
      <c r="C16" s="18"/>
      <c r="D16" s="18"/>
      <c r="E16" s="18"/>
      <c r="F16" s="18"/>
      <c r="G16" s="19">
        <v>3</v>
      </c>
      <c r="H16" s="35">
        <f t="shared" si="0"/>
        <v>9.9160441594499905E-5</v>
      </c>
      <c r="I16" s="35" t="e">
        <f t="shared" si="1"/>
        <v>#DIV/0!</v>
      </c>
      <c r="J16" s="35" t="e">
        <f t="shared" si="2"/>
        <v>#DIV/0!</v>
      </c>
    </row>
    <row r="17" spans="2:10" ht="21.6">
      <c r="B17" s="14" t="s">
        <v>141</v>
      </c>
      <c r="C17" s="15"/>
      <c r="D17" s="15"/>
      <c r="E17" s="15"/>
      <c r="F17" s="15">
        <v>1</v>
      </c>
      <c r="G17" s="16">
        <v>1</v>
      </c>
      <c r="H17" s="35">
        <f t="shared" si="0"/>
        <v>3.3053480531499964E-5</v>
      </c>
      <c r="I17" s="35">
        <f t="shared" si="1"/>
        <v>0</v>
      </c>
      <c r="J17" s="35" t="e">
        <f t="shared" si="2"/>
        <v>#DIV/0!</v>
      </c>
    </row>
    <row r="18" spans="2:10">
      <c r="B18" s="17" t="s">
        <v>58</v>
      </c>
      <c r="C18" s="18">
        <v>2</v>
      </c>
      <c r="D18" s="18">
        <v>2</v>
      </c>
      <c r="E18" s="18">
        <v>1</v>
      </c>
      <c r="F18" s="18">
        <v>2</v>
      </c>
      <c r="G18" s="19">
        <v>1</v>
      </c>
      <c r="H18" s="35">
        <f t="shared" si="0"/>
        <v>3.3053480531499964E-5</v>
      </c>
      <c r="I18" s="35">
        <f t="shared" si="1"/>
        <v>-0.5</v>
      </c>
      <c r="J18" s="35">
        <f t="shared" si="2"/>
        <v>-0.1591035847462855</v>
      </c>
    </row>
    <row r="19" spans="2:10">
      <c r="B19" s="14" t="s">
        <v>142</v>
      </c>
      <c r="C19" s="15"/>
      <c r="D19" s="15"/>
      <c r="E19" s="15">
        <v>58</v>
      </c>
      <c r="F19" s="15"/>
      <c r="G19" s="16"/>
      <c r="H19" s="35">
        <f t="shared" si="0"/>
        <v>0</v>
      </c>
      <c r="I19" s="35" t="e">
        <f t="shared" si="1"/>
        <v>#DIV/0!</v>
      </c>
      <c r="J19" s="35" t="e">
        <f t="shared" si="2"/>
        <v>#DIV/0!</v>
      </c>
    </row>
    <row r="20" spans="2:10">
      <c r="B20" s="17" t="s">
        <v>35</v>
      </c>
      <c r="C20" s="18">
        <v>40</v>
      </c>
      <c r="D20" s="18"/>
      <c r="E20" s="18">
        <v>40</v>
      </c>
      <c r="F20" s="18"/>
      <c r="G20" s="19"/>
      <c r="H20" s="35">
        <f t="shared" si="0"/>
        <v>0</v>
      </c>
      <c r="I20" s="35" t="e">
        <f t="shared" si="1"/>
        <v>#DIV/0!</v>
      </c>
      <c r="J20" s="35">
        <f t="shared" si="2"/>
        <v>-1</v>
      </c>
    </row>
    <row r="21" spans="2:10">
      <c r="B21" s="14" t="s">
        <v>43</v>
      </c>
      <c r="C21" s="15"/>
      <c r="D21" s="15"/>
      <c r="E21" s="15">
        <v>1</v>
      </c>
      <c r="F21" s="15"/>
      <c r="G21" s="16"/>
      <c r="H21" s="35">
        <f t="shared" si="0"/>
        <v>0</v>
      </c>
      <c r="I21" s="35" t="e">
        <f t="shared" si="1"/>
        <v>#DIV/0!</v>
      </c>
      <c r="J21" s="35" t="e">
        <f t="shared" si="2"/>
        <v>#DIV/0!</v>
      </c>
    </row>
    <row r="22" spans="2:10">
      <c r="B22" s="17" t="s">
        <v>143</v>
      </c>
      <c r="C22" s="18">
        <v>1</v>
      </c>
      <c r="D22" s="18">
        <v>20</v>
      </c>
      <c r="E22" s="18"/>
      <c r="F22" s="18"/>
      <c r="G22" s="19"/>
      <c r="H22" s="35">
        <f t="shared" si="0"/>
        <v>0</v>
      </c>
      <c r="I22" s="35" t="e">
        <f t="shared" si="1"/>
        <v>#DIV/0!</v>
      </c>
      <c r="J22" s="35">
        <f t="shared" si="2"/>
        <v>-1</v>
      </c>
    </row>
    <row r="23" spans="2:10">
      <c r="B23" s="14" t="s">
        <v>144</v>
      </c>
      <c r="C23" s="15"/>
      <c r="D23" s="15"/>
      <c r="E23" s="15"/>
      <c r="F23" s="15">
        <v>3</v>
      </c>
      <c r="G23" s="16"/>
      <c r="H23" s="35">
        <f t="shared" si="0"/>
        <v>0</v>
      </c>
      <c r="I23" s="35">
        <f t="shared" si="1"/>
        <v>-1</v>
      </c>
      <c r="J23" s="35" t="e">
        <f t="shared" si="2"/>
        <v>#DIV/0!</v>
      </c>
    </row>
    <row r="24" spans="2:10">
      <c r="B24" s="17" t="s">
        <v>145</v>
      </c>
      <c r="C24" s="18">
        <v>3</v>
      </c>
      <c r="D24" s="18"/>
      <c r="E24" s="18"/>
      <c r="F24" s="18"/>
      <c r="G24" s="19"/>
      <c r="H24" s="35">
        <f t="shared" si="0"/>
        <v>0</v>
      </c>
      <c r="I24" s="35" t="e">
        <f t="shared" si="1"/>
        <v>#DIV/0!</v>
      </c>
      <c r="J24" s="35">
        <f t="shared" si="2"/>
        <v>-1</v>
      </c>
    </row>
    <row r="25" spans="2:10">
      <c r="B25" s="14" t="s">
        <v>146</v>
      </c>
      <c r="C25" s="15"/>
      <c r="D25" s="15">
        <v>6</v>
      </c>
      <c r="E25" s="15">
        <v>28</v>
      </c>
      <c r="F25" s="15">
        <v>3</v>
      </c>
      <c r="G25" s="16"/>
      <c r="H25" s="35">
        <f t="shared" si="0"/>
        <v>0</v>
      </c>
      <c r="I25" s="35">
        <f t="shared" si="1"/>
        <v>-1</v>
      </c>
      <c r="J25" s="35" t="e">
        <f t="shared" si="2"/>
        <v>#DIV/0!</v>
      </c>
    </row>
    <row r="26" spans="2:10">
      <c r="B26" s="17" t="s">
        <v>147</v>
      </c>
      <c r="C26" s="18">
        <v>64</v>
      </c>
      <c r="D26" s="18"/>
      <c r="E26" s="18"/>
      <c r="F26" s="18"/>
      <c r="G26" s="19"/>
      <c r="H26" s="35">
        <f t="shared" si="0"/>
        <v>0</v>
      </c>
      <c r="I26" s="35" t="e">
        <f t="shared" si="1"/>
        <v>#DIV/0!</v>
      </c>
      <c r="J26" s="35">
        <f t="shared" si="2"/>
        <v>-1</v>
      </c>
    </row>
    <row r="27" spans="2:10" ht="21.6">
      <c r="B27" s="14" t="s">
        <v>148</v>
      </c>
      <c r="C27" s="15">
        <v>1</v>
      </c>
      <c r="D27" s="15"/>
      <c r="E27" s="15"/>
      <c r="F27" s="15"/>
      <c r="G27" s="16"/>
      <c r="H27" s="35">
        <f t="shared" si="0"/>
        <v>0</v>
      </c>
      <c r="I27" s="35" t="e">
        <f t="shared" si="1"/>
        <v>#DIV/0!</v>
      </c>
      <c r="J27" s="35">
        <f t="shared" si="2"/>
        <v>-1</v>
      </c>
    </row>
    <row r="28" spans="2:10">
      <c r="B28" s="20" t="s">
        <v>149</v>
      </c>
      <c r="C28" s="21">
        <v>10</v>
      </c>
      <c r="D28" s="21"/>
      <c r="E28" s="21">
        <v>0</v>
      </c>
      <c r="F28" s="21"/>
      <c r="G28" s="22"/>
      <c r="H28" s="35">
        <f t="shared" si="0"/>
        <v>0</v>
      </c>
      <c r="I28" s="35" t="e">
        <f t="shared" si="1"/>
        <v>#DIV/0!</v>
      </c>
      <c r="J28" s="35">
        <f t="shared" si="2"/>
        <v>-1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01B0D-E06B-459F-B18F-DDA646AEE6F4}">
  <dimension ref="A1:AC29"/>
  <sheetViews>
    <sheetView workbookViewId="0">
      <selection activeCell="A21" sqref="A21:O21"/>
    </sheetView>
  </sheetViews>
  <sheetFormatPr baseColWidth="10" defaultRowHeight="14.4"/>
  <cols>
    <col min="1" max="1" width="5.6640625" customWidth="1"/>
    <col min="2" max="2" width="10.109375" customWidth="1"/>
    <col min="3" max="14" width="6" customWidth="1"/>
    <col min="15" max="15" width="7.44140625" customWidth="1"/>
    <col min="18" max="29" width="6" customWidth="1"/>
  </cols>
  <sheetData>
    <row r="1" spans="1:29">
      <c r="A1" s="263">
        <v>2020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</row>
    <row r="2" spans="1:29" ht="28.5" customHeight="1">
      <c r="A2" s="155" t="s">
        <v>206</v>
      </c>
      <c r="B2" s="156" t="s">
        <v>190</v>
      </c>
      <c r="C2" s="145" t="s">
        <v>191</v>
      </c>
      <c r="D2" s="145" t="s">
        <v>192</v>
      </c>
      <c r="E2" s="145" t="s">
        <v>193</v>
      </c>
      <c r="F2" s="145" t="s">
        <v>194</v>
      </c>
      <c r="G2" s="145" t="s">
        <v>195</v>
      </c>
      <c r="H2" s="145" t="s">
        <v>196</v>
      </c>
      <c r="I2" s="145" t="s">
        <v>197</v>
      </c>
      <c r="J2" s="145" t="s">
        <v>198</v>
      </c>
      <c r="K2" s="145" t="s">
        <v>199</v>
      </c>
      <c r="L2" s="145" t="s">
        <v>200</v>
      </c>
      <c r="M2" s="145" t="s">
        <v>201</v>
      </c>
      <c r="N2" s="145" t="s">
        <v>202</v>
      </c>
      <c r="O2" s="146" t="s">
        <v>89</v>
      </c>
      <c r="Q2" s="5"/>
      <c r="R2" s="5" t="s">
        <v>191</v>
      </c>
      <c r="S2" s="5" t="s">
        <v>192</v>
      </c>
      <c r="T2" s="5" t="s">
        <v>193</v>
      </c>
      <c r="U2" s="5" t="s">
        <v>194</v>
      </c>
      <c r="V2" s="5" t="s">
        <v>195</v>
      </c>
      <c r="W2" s="5" t="s">
        <v>196</v>
      </c>
      <c r="X2" s="5" t="s">
        <v>197</v>
      </c>
      <c r="Y2" s="5" t="s">
        <v>198</v>
      </c>
      <c r="Z2" s="5" t="s">
        <v>199</v>
      </c>
      <c r="AA2" s="5" t="s">
        <v>200</v>
      </c>
      <c r="AB2" s="5" t="s">
        <v>201</v>
      </c>
      <c r="AC2" s="5" t="s">
        <v>202</v>
      </c>
    </row>
    <row r="3" spans="1:29">
      <c r="A3" s="55"/>
      <c r="B3" s="147" t="s">
        <v>89</v>
      </c>
      <c r="C3" s="85">
        <v>8510</v>
      </c>
      <c r="D3" s="85">
        <v>4428</v>
      </c>
      <c r="E3" s="85">
        <v>8232</v>
      </c>
      <c r="F3" s="85">
        <v>8405</v>
      </c>
      <c r="G3" s="85">
        <v>9916</v>
      </c>
      <c r="H3" s="85">
        <v>9574</v>
      </c>
      <c r="I3" s="85">
        <v>13318</v>
      </c>
      <c r="J3" s="85">
        <v>8348</v>
      </c>
      <c r="K3" s="85">
        <v>6869</v>
      </c>
      <c r="L3" s="85">
        <v>8005</v>
      </c>
      <c r="M3" s="85">
        <v>8190</v>
      </c>
      <c r="N3" s="148">
        <v>7371</v>
      </c>
      <c r="O3" s="87">
        <f t="shared" ref="O3:O8" si="0">SUM(C3:N3)</f>
        <v>101166</v>
      </c>
      <c r="Q3" s="137">
        <v>2020</v>
      </c>
      <c r="R3" s="138">
        <v>8510</v>
      </c>
      <c r="S3" s="138">
        <v>4428</v>
      </c>
      <c r="T3" s="138">
        <v>8232</v>
      </c>
      <c r="U3" s="138">
        <v>8405</v>
      </c>
      <c r="V3" s="138">
        <v>9916</v>
      </c>
      <c r="W3" s="138">
        <v>9574</v>
      </c>
      <c r="X3" s="138">
        <v>13318</v>
      </c>
      <c r="Y3" s="138">
        <v>8348</v>
      </c>
      <c r="Z3" s="138">
        <v>6869</v>
      </c>
      <c r="AA3" s="138">
        <v>8005</v>
      </c>
      <c r="AB3" s="138">
        <v>8190</v>
      </c>
      <c r="AC3" s="138">
        <v>7371</v>
      </c>
    </row>
    <row r="4" spans="1:29">
      <c r="A4" s="71">
        <v>1</v>
      </c>
      <c r="B4" s="147" t="s">
        <v>134</v>
      </c>
      <c r="C4" s="85">
        <v>2510</v>
      </c>
      <c r="D4" s="85">
        <v>1765</v>
      </c>
      <c r="E4" s="85">
        <v>3365</v>
      </c>
      <c r="F4" s="85">
        <v>4273</v>
      </c>
      <c r="G4" s="85">
        <v>5897</v>
      </c>
      <c r="H4" s="85">
        <v>4558</v>
      </c>
      <c r="I4" s="85">
        <v>7649</v>
      </c>
      <c r="J4" s="85">
        <v>3770</v>
      </c>
      <c r="K4" s="85">
        <v>2857</v>
      </c>
      <c r="L4" s="85">
        <v>4204</v>
      </c>
      <c r="M4" s="85">
        <v>3820</v>
      </c>
      <c r="N4" s="148">
        <v>3833</v>
      </c>
      <c r="O4" s="87">
        <f t="shared" si="0"/>
        <v>48501</v>
      </c>
      <c r="Q4" s="137">
        <v>2021</v>
      </c>
      <c r="R4" s="138">
        <v>8510</v>
      </c>
      <c r="S4" s="138">
        <v>4428</v>
      </c>
      <c r="T4" s="138">
        <v>8232</v>
      </c>
      <c r="U4" s="138">
        <v>8405</v>
      </c>
      <c r="V4" s="138">
        <v>9916</v>
      </c>
      <c r="W4" s="138">
        <v>9574</v>
      </c>
      <c r="X4" s="138">
        <v>13318</v>
      </c>
      <c r="Y4" s="138">
        <v>8348</v>
      </c>
      <c r="Z4" s="138">
        <v>6869</v>
      </c>
      <c r="AA4" s="138">
        <v>8005</v>
      </c>
      <c r="AB4" s="138">
        <v>8190</v>
      </c>
      <c r="AC4" s="138">
        <v>7371</v>
      </c>
    </row>
    <row r="5" spans="1:29">
      <c r="A5" s="55">
        <v>2</v>
      </c>
      <c r="B5" s="147" t="s">
        <v>627</v>
      </c>
      <c r="C5" s="85">
        <v>4572</v>
      </c>
      <c r="D5" s="85">
        <v>2304</v>
      </c>
      <c r="E5" s="85">
        <v>4139</v>
      </c>
      <c r="F5" s="85">
        <v>3124</v>
      </c>
      <c r="G5" s="85">
        <v>3139</v>
      </c>
      <c r="H5" s="85">
        <v>3209</v>
      </c>
      <c r="I5" s="85">
        <v>5190</v>
      </c>
      <c r="J5" s="85">
        <v>3719</v>
      </c>
      <c r="K5" s="85">
        <v>3406</v>
      </c>
      <c r="L5" s="85">
        <v>3030</v>
      </c>
      <c r="M5" s="85">
        <v>3655</v>
      </c>
      <c r="N5" s="148">
        <v>3124</v>
      </c>
      <c r="O5" s="87">
        <f t="shared" si="0"/>
        <v>42611</v>
      </c>
      <c r="Q5" s="137">
        <v>2022</v>
      </c>
      <c r="R5" s="133">
        <v>9446</v>
      </c>
      <c r="S5" s="133">
        <v>4801</v>
      </c>
      <c r="T5" s="133">
        <v>6209</v>
      </c>
      <c r="U5" s="133">
        <v>5312</v>
      </c>
      <c r="V5" s="133">
        <v>5889</v>
      </c>
      <c r="W5" s="133">
        <v>5586</v>
      </c>
      <c r="X5" s="133">
        <v>6094</v>
      </c>
      <c r="Y5" s="133">
        <v>5883</v>
      </c>
      <c r="Z5" s="133">
        <v>4747</v>
      </c>
      <c r="AA5" s="133">
        <v>7104</v>
      </c>
      <c r="AB5" s="133">
        <v>7064</v>
      </c>
      <c r="AC5" s="133">
        <v>6752</v>
      </c>
    </row>
    <row r="6" spans="1:29">
      <c r="A6" s="55">
        <v>3</v>
      </c>
      <c r="B6" s="147" t="s">
        <v>6</v>
      </c>
      <c r="C6" s="85">
        <v>833</v>
      </c>
      <c r="D6" s="85">
        <v>0</v>
      </c>
      <c r="E6" s="85">
        <v>235</v>
      </c>
      <c r="F6" s="85">
        <v>333</v>
      </c>
      <c r="G6" s="85">
        <v>445</v>
      </c>
      <c r="H6" s="85">
        <v>1244</v>
      </c>
      <c r="I6" s="85">
        <v>50</v>
      </c>
      <c r="J6" s="85">
        <v>302</v>
      </c>
      <c r="K6" s="85">
        <v>207</v>
      </c>
      <c r="L6" s="85">
        <v>362</v>
      </c>
      <c r="M6" s="85">
        <v>313</v>
      </c>
      <c r="N6" s="148">
        <v>162</v>
      </c>
      <c r="O6" s="87">
        <f t="shared" si="0"/>
        <v>4486</v>
      </c>
    </row>
    <row r="7" spans="1:29">
      <c r="A7" s="71">
        <v>4</v>
      </c>
      <c r="B7" s="147" t="s">
        <v>2</v>
      </c>
      <c r="C7" s="85">
        <v>282</v>
      </c>
      <c r="D7" s="85">
        <v>233</v>
      </c>
      <c r="E7" s="85">
        <v>298</v>
      </c>
      <c r="F7" s="85">
        <v>450</v>
      </c>
      <c r="G7" s="85">
        <v>256</v>
      </c>
      <c r="H7" s="85">
        <v>419</v>
      </c>
      <c r="I7" s="85">
        <v>223</v>
      </c>
      <c r="J7" s="85">
        <v>245</v>
      </c>
      <c r="K7" s="85">
        <v>243</v>
      </c>
      <c r="L7" s="85">
        <v>291</v>
      </c>
      <c r="M7" s="85">
        <v>218</v>
      </c>
      <c r="N7" s="148">
        <v>250</v>
      </c>
      <c r="O7" s="87">
        <f t="shared" si="0"/>
        <v>3408</v>
      </c>
    </row>
    <row r="8" spans="1:29">
      <c r="A8" s="55">
        <v>5</v>
      </c>
      <c r="B8" s="149" t="s">
        <v>74</v>
      </c>
      <c r="C8" s="85">
        <v>164</v>
      </c>
      <c r="D8" s="85">
        <v>69</v>
      </c>
      <c r="E8" s="85">
        <v>158</v>
      </c>
      <c r="F8" s="85">
        <v>166</v>
      </c>
      <c r="G8" s="85">
        <v>86</v>
      </c>
      <c r="H8" s="85">
        <v>0</v>
      </c>
      <c r="I8" s="85">
        <v>86</v>
      </c>
      <c r="J8" s="85">
        <v>0</v>
      </c>
      <c r="K8" s="85">
        <v>86</v>
      </c>
      <c r="L8" s="85">
        <v>0</v>
      </c>
      <c r="M8" s="85">
        <v>0</v>
      </c>
      <c r="N8" s="148">
        <v>0</v>
      </c>
      <c r="O8" s="87">
        <f t="shared" si="0"/>
        <v>815</v>
      </c>
    </row>
    <row r="9" spans="1:29">
      <c r="A9" s="55"/>
      <c r="B9" s="149" t="s">
        <v>203</v>
      </c>
      <c r="C9" s="85">
        <v>149</v>
      </c>
      <c r="D9" s="85">
        <v>57</v>
      </c>
      <c r="E9" s="85">
        <v>37</v>
      </c>
      <c r="F9" s="85">
        <v>59</v>
      </c>
      <c r="G9" s="85">
        <v>93</v>
      </c>
      <c r="H9" s="85">
        <v>144</v>
      </c>
      <c r="I9" s="85">
        <v>120</v>
      </c>
      <c r="J9" s="85">
        <v>312</v>
      </c>
      <c r="K9" s="85">
        <v>70</v>
      </c>
      <c r="L9" s="85">
        <v>118</v>
      </c>
      <c r="M9" s="85">
        <v>184</v>
      </c>
      <c r="N9" s="85">
        <v>2</v>
      </c>
      <c r="O9" s="85">
        <v>1345</v>
      </c>
    </row>
    <row r="11" spans="1:29">
      <c r="A11" s="263">
        <v>2021</v>
      </c>
      <c r="B11" s="263"/>
      <c r="C11" s="263"/>
      <c r="D11" s="263"/>
      <c r="E11" s="263"/>
      <c r="F11" s="263"/>
      <c r="G11" s="263"/>
      <c r="H11" s="263"/>
      <c r="I11" s="263"/>
      <c r="J11" s="263"/>
      <c r="K11" s="263"/>
      <c r="L11" s="263"/>
      <c r="M11" s="263"/>
      <c r="N11" s="263"/>
      <c r="O11" s="263"/>
    </row>
    <row r="12" spans="1:29" ht="28.8">
      <c r="A12" s="155" t="s">
        <v>206</v>
      </c>
      <c r="B12" s="156" t="s">
        <v>190</v>
      </c>
      <c r="C12" s="143" t="s">
        <v>191</v>
      </c>
      <c r="D12" s="143" t="s">
        <v>192</v>
      </c>
      <c r="E12" s="143" t="s">
        <v>193</v>
      </c>
      <c r="F12" s="143" t="s">
        <v>194</v>
      </c>
      <c r="G12" s="143" t="s">
        <v>195</v>
      </c>
      <c r="H12" s="143" t="s">
        <v>196</v>
      </c>
      <c r="I12" s="143" t="s">
        <v>197</v>
      </c>
      <c r="J12" s="143" t="s">
        <v>198</v>
      </c>
      <c r="K12" s="143" t="s">
        <v>199</v>
      </c>
      <c r="L12" s="143" t="s">
        <v>200</v>
      </c>
      <c r="M12" s="143" t="s">
        <v>201</v>
      </c>
      <c r="N12" s="143" t="s">
        <v>202</v>
      </c>
      <c r="O12" s="144" t="s">
        <v>89</v>
      </c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</row>
    <row r="13" spans="1:29">
      <c r="A13" s="55"/>
      <c r="B13" s="150" t="s">
        <v>89</v>
      </c>
      <c r="C13" s="151">
        <v>5330</v>
      </c>
      <c r="D13" s="151">
        <v>5505</v>
      </c>
      <c r="E13" s="151">
        <v>6089</v>
      </c>
      <c r="F13" s="151">
        <v>8470</v>
      </c>
      <c r="G13" s="151">
        <v>4403</v>
      </c>
      <c r="H13" s="151">
        <v>5977</v>
      </c>
      <c r="I13" s="151">
        <v>6364</v>
      </c>
      <c r="J13" s="152">
        <v>7043</v>
      </c>
      <c r="K13" s="85">
        <v>4861</v>
      </c>
      <c r="L13" s="85">
        <v>5234</v>
      </c>
      <c r="M13" s="85">
        <v>5716</v>
      </c>
      <c r="N13" s="148">
        <v>3875</v>
      </c>
      <c r="O13" s="153">
        <f t="shared" ref="O13:O18" si="1">SUM(C13:N13)</f>
        <v>68867</v>
      </c>
      <c r="Q13" s="134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</row>
    <row r="14" spans="1:29">
      <c r="A14" s="71">
        <v>1</v>
      </c>
      <c r="B14" s="150" t="s">
        <v>627</v>
      </c>
      <c r="C14" s="151">
        <v>3059</v>
      </c>
      <c r="D14" s="151">
        <v>2253</v>
      </c>
      <c r="E14" s="151">
        <v>3179</v>
      </c>
      <c r="F14" s="151">
        <v>3388</v>
      </c>
      <c r="G14" s="151">
        <v>2318</v>
      </c>
      <c r="H14" s="151">
        <v>3137</v>
      </c>
      <c r="I14" s="151">
        <v>2624</v>
      </c>
      <c r="J14" s="152">
        <v>3162</v>
      </c>
      <c r="K14" s="85">
        <v>2456</v>
      </c>
      <c r="L14" s="85">
        <v>2611</v>
      </c>
      <c r="M14" s="85">
        <v>3357</v>
      </c>
      <c r="N14" s="148">
        <v>1764</v>
      </c>
      <c r="O14" s="153">
        <f t="shared" si="1"/>
        <v>33308</v>
      </c>
    </row>
    <row r="15" spans="1:29">
      <c r="A15" s="55">
        <v>2</v>
      </c>
      <c r="B15" s="150" t="s">
        <v>134</v>
      </c>
      <c r="C15" s="151">
        <v>1505</v>
      </c>
      <c r="D15" s="151">
        <v>2690</v>
      </c>
      <c r="E15" s="151">
        <v>2066</v>
      </c>
      <c r="F15" s="151">
        <v>3997</v>
      </c>
      <c r="G15" s="151">
        <v>877</v>
      </c>
      <c r="H15" s="151">
        <v>1743</v>
      </c>
      <c r="I15" s="151">
        <v>2655</v>
      </c>
      <c r="J15" s="152">
        <v>2875</v>
      </c>
      <c r="K15" s="85">
        <v>1623</v>
      </c>
      <c r="L15" s="85">
        <v>1665</v>
      </c>
      <c r="M15" s="85">
        <v>1402</v>
      </c>
      <c r="N15" s="148">
        <v>1174</v>
      </c>
      <c r="O15" s="153">
        <f t="shared" si="1"/>
        <v>24272</v>
      </c>
    </row>
    <row r="16" spans="1:29">
      <c r="A16" s="55">
        <v>3</v>
      </c>
      <c r="B16" s="150" t="s">
        <v>2</v>
      </c>
      <c r="C16" s="151">
        <v>466</v>
      </c>
      <c r="D16" s="151">
        <v>391</v>
      </c>
      <c r="E16" s="151">
        <v>471</v>
      </c>
      <c r="F16" s="151">
        <v>466</v>
      </c>
      <c r="G16" s="151">
        <v>479</v>
      </c>
      <c r="H16" s="151">
        <v>538</v>
      </c>
      <c r="I16" s="151">
        <v>480</v>
      </c>
      <c r="J16" s="152">
        <v>506</v>
      </c>
      <c r="K16" s="85">
        <v>433</v>
      </c>
      <c r="L16" s="85">
        <v>448</v>
      </c>
      <c r="M16" s="85">
        <v>500</v>
      </c>
      <c r="N16" s="148">
        <v>627</v>
      </c>
      <c r="O16" s="153">
        <f t="shared" si="1"/>
        <v>5805</v>
      </c>
    </row>
    <row r="17" spans="1:15">
      <c r="A17" s="71">
        <v>4</v>
      </c>
      <c r="B17" s="150" t="s">
        <v>6</v>
      </c>
      <c r="C17" s="151">
        <v>112</v>
      </c>
      <c r="D17" s="151">
        <v>59</v>
      </c>
      <c r="E17" s="151">
        <v>236</v>
      </c>
      <c r="F17" s="151">
        <v>539</v>
      </c>
      <c r="G17" s="151">
        <v>657</v>
      </c>
      <c r="H17" s="151">
        <v>502</v>
      </c>
      <c r="I17" s="151">
        <v>241</v>
      </c>
      <c r="J17" s="152">
        <v>425</v>
      </c>
      <c r="K17" s="85">
        <v>244</v>
      </c>
      <c r="L17" s="85">
        <v>451</v>
      </c>
      <c r="M17" s="85">
        <v>327</v>
      </c>
      <c r="N17" s="148">
        <v>200</v>
      </c>
      <c r="O17" s="153">
        <f t="shared" si="1"/>
        <v>3993</v>
      </c>
    </row>
    <row r="18" spans="1:15">
      <c r="A18" s="55">
        <v>5</v>
      </c>
      <c r="B18" s="154" t="s">
        <v>74</v>
      </c>
      <c r="C18" s="151">
        <v>29</v>
      </c>
      <c r="D18" s="151">
        <v>90</v>
      </c>
      <c r="E18" s="151">
        <v>0</v>
      </c>
      <c r="F18" s="151">
        <v>47</v>
      </c>
      <c r="G18" s="151">
        <v>0</v>
      </c>
      <c r="H18" s="151">
        <v>0</v>
      </c>
      <c r="I18" s="151">
        <v>271</v>
      </c>
      <c r="J18" s="152">
        <v>38</v>
      </c>
      <c r="K18" s="85">
        <v>39</v>
      </c>
      <c r="L18" s="85">
        <v>6</v>
      </c>
      <c r="M18" s="85">
        <v>38</v>
      </c>
      <c r="N18" s="148">
        <v>35</v>
      </c>
      <c r="O18" s="153">
        <f t="shared" si="1"/>
        <v>593</v>
      </c>
    </row>
    <row r="19" spans="1:15">
      <c r="A19" s="55"/>
      <c r="B19" s="154" t="s">
        <v>203</v>
      </c>
      <c r="C19" s="151">
        <v>159</v>
      </c>
      <c r="D19" s="151">
        <v>22</v>
      </c>
      <c r="E19" s="151">
        <v>137</v>
      </c>
      <c r="F19" s="151">
        <v>33</v>
      </c>
      <c r="G19" s="151">
        <v>72</v>
      </c>
      <c r="H19" s="151">
        <v>57</v>
      </c>
      <c r="I19" s="151">
        <v>93</v>
      </c>
      <c r="J19" s="151">
        <v>37</v>
      </c>
      <c r="K19" s="151">
        <v>66</v>
      </c>
      <c r="L19" s="151">
        <v>53</v>
      </c>
      <c r="M19" s="151">
        <v>92</v>
      </c>
      <c r="N19" s="151">
        <v>75</v>
      </c>
      <c r="O19" s="151">
        <v>896</v>
      </c>
    </row>
    <row r="20" spans="1:15">
      <c r="O20" s="142"/>
    </row>
    <row r="21" spans="1:15">
      <c r="A21" s="263">
        <v>2022</v>
      </c>
      <c r="B21" s="263"/>
      <c r="C21" s="263"/>
      <c r="D21" s="263"/>
      <c r="E21" s="263"/>
      <c r="F21" s="263"/>
      <c r="G21" s="263"/>
      <c r="H21" s="263"/>
      <c r="I21" s="263"/>
      <c r="J21" s="263"/>
      <c r="K21" s="263"/>
      <c r="L21" s="263"/>
      <c r="M21" s="263"/>
      <c r="N21" s="263"/>
      <c r="O21" s="263"/>
    </row>
    <row r="22" spans="1:15" ht="28.8">
      <c r="A22" s="155" t="s">
        <v>206</v>
      </c>
      <c r="B22" s="156" t="s">
        <v>190</v>
      </c>
      <c r="C22" s="139" t="s">
        <v>191</v>
      </c>
      <c r="D22" s="139" t="s">
        <v>192</v>
      </c>
      <c r="E22" s="139" t="s">
        <v>193</v>
      </c>
      <c r="F22" s="139" t="s">
        <v>194</v>
      </c>
      <c r="G22" s="139" t="s">
        <v>195</v>
      </c>
      <c r="H22" s="139" t="s">
        <v>196</v>
      </c>
      <c r="I22" s="139" t="s">
        <v>197</v>
      </c>
      <c r="J22" s="139" t="s">
        <v>198</v>
      </c>
      <c r="K22" s="139" t="s">
        <v>199</v>
      </c>
      <c r="L22" s="139" t="s">
        <v>200</v>
      </c>
      <c r="M22" s="139" t="s">
        <v>201</v>
      </c>
      <c r="N22" s="140" t="s">
        <v>202</v>
      </c>
      <c r="O22" s="141" t="s">
        <v>89</v>
      </c>
    </row>
    <row r="23" spans="1:15">
      <c r="A23" s="55"/>
      <c r="B23" s="56" t="s">
        <v>89</v>
      </c>
      <c r="C23" s="54">
        <v>9446</v>
      </c>
      <c r="D23" s="54">
        <v>4801</v>
      </c>
      <c r="E23" s="54">
        <v>6209</v>
      </c>
      <c r="F23" s="54">
        <v>5312</v>
      </c>
      <c r="G23" s="54">
        <v>5889</v>
      </c>
      <c r="H23" s="54">
        <v>5586</v>
      </c>
      <c r="I23" s="54">
        <v>6094</v>
      </c>
      <c r="J23" s="54">
        <v>5883</v>
      </c>
      <c r="K23" s="54">
        <v>4747</v>
      </c>
      <c r="L23" s="54">
        <v>7104</v>
      </c>
      <c r="M23" s="54">
        <v>7064</v>
      </c>
      <c r="N23" s="70">
        <v>6752</v>
      </c>
      <c r="O23" s="6">
        <f t="shared" ref="O23:O28" si="2">SUM(C23:N23)</f>
        <v>74887</v>
      </c>
    </row>
    <row r="24" spans="1:15">
      <c r="A24" s="71">
        <v>1</v>
      </c>
      <c r="B24" s="56" t="s">
        <v>133</v>
      </c>
      <c r="C24" s="54">
        <v>2758</v>
      </c>
      <c r="D24" s="54">
        <v>2504</v>
      </c>
      <c r="E24" s="54">
        <v>3796</v>
      </c>
      <c r="F24" s="54">
        <v>3508</v>
      </c>
      <c r="G24" s="54">
        <v>3308</v>
      </c>
      <c r="H24" s="54">
        <v>2344</v>
      </c>
      <c r="I24" s="54">
        <v>2763</v>
      </c>
      <c r="J24" s="54">
        <v>2554</v>
      </c>
      <c r="K24" s="54">
        <v>2450</v>
      </c>
      <c r="L24" s="54">
        <v>3044</v>
      </c>
      <c r="M24" s="54">
        <v>3206</v>
      </c>
      <c r="N24" s="70">
        <v>2902</v>
      </c>
      <c r="O24" s="12">
        <f t="shared" si="2"/>
        <v>35137</v>
      </c>
    </row>
    <row r="25" spans="1:15">
      <c r="A25" s="55">
        <v>2</v>
      </c>
      <c r="B25" s="56" t="s">
        <v>134</v>
      </c>
      <c r="C25" s="54">
        <v>5918</v>
      </c>
      <c r="D25" s="54">
        <v>1548</v>
      </c>
      <c r="E25" s="54">
        <v>1564</v>
      </c>
      <c r="F25" s="54">
        <v>1168</v>
      </c>
      <c r="G25" s="54">
        <v>2043</v>
      </c>
      <c r="H25" s="54">
        <v>2711</v>
      </c>
      <c r="I25" s="54">
        <v>3018</v>
      </c>
      <c r="J25" s="54">
        <v>2427</v>
      </c>
      <c r="K25" s="54">
        <v>1258</v>
      </c>
      <c r="L25" s="54">
        <v>2974</v>
      </c>
      <c r="M25" s="54">
        <v>3271</v>
      </c>
      <c r="N25" s="70">
        <v>3464</v>
      </c>
      <c r="O25" s="6">
        <f t="shared" si="2"/>
        <v>31364</v>
      </c>
    </row>
    <row r="26" spans="1:15">
      <c r="A26" s="55">
        <v>3</v>
      </c>
      <c r="B26" s="56" t="s">
        <v>135</v>
      </c>
      <c r="C26" s="54">
        <v>509</v>
      </c>
      <c r="D26" s="54">
        <v>481</v>
      </c>
      <c r="E26" s="54">
        <v>596</v>
      </c>
      <c r="F26" s="54">
        <v>453</v>
      </c>
      <c r="G26" s="54">
        <v>403</v>
      </c>
      <c r="H26" s="54">
        <v>378</v>
      </c>
      <c r="I26" s="54">
        <v>219</v>
      </c>
      <c r="J26" s="54">
        <v>453</v>
      </c>
      <c r="K26" s="54">
        <v>402</v>
      </c>
      <c r="L26" s="54">
        <v>627</v>
      </c>
      <c r="M26" s="54">
        <v>227</v>
      </c>
      <c r="N26" s="70">
        <v>200</v>
      </c>
      <c r="O26" s="6">
        <f t="shared" si="2"/>
        <v>4948</v>
      </c>
    </row>
    <row r="27" spans="1:15">
      <c r="A27" s="71">
        <v>4</v>
      </c>
      <c r="B27" s="56" t="s">
        <v>136</v>
      </c>
      <c r="C27" s="54">
        <v>93</v>
      </c>
      <c r="D27" s="54">
        <v>0</v>
      </c>
      <c r="E27" s="54">
        <v>88</v>
      </c>
      <c r="F27" s="54">
        <v>39</v>
      </c>
      <c r="G27" s="54">
        <v>0</v>
      </c>
      <c r="H27" s="54">
        <v>48</v>
      </c>
      <c r="I27" s="54">
        <v>0</v>
      </c>
      <c r="J27" s="54">
        <v>268</v>
      </c>
      <c r="K27" s="54">
        <v>282</v>
      </c>
      <c r="L27" s="54">
        <v>356</v>
      </c>
      <c r="M27" s="54">
        <v>128</v>
      </c>
      <c r="N27" s="70">
        <v>86</v>
      </c>
      <c r="O27" s="6">
        <f t="shared" si="2"/>
        <v>1388</v>
      </c>
    </row>
    <row r="28" spans="1:15">
      <c r="A28" s="55">
        <v>5</v>
      </c>
      <c r="B28" s="56" t="s">
        <v>74</v>
      </c>
      <c r="C28" s="54">
        <v>71</v>
      </c>
      <c r="D28" s="54">
        <v>0</v>
      </c>
      <c r="E28" s="54">
        <v>36</v>
      </c>
      <c r="F28" s="54">
        <v>117</v>
      </c>
      <c r="G28" s="54">
        <v>93</v>
      </c>
      <c r="H28" s="54">
        <v>79</v>
      </c>
      <c r="I28" s="54">
        <v>77</v>
      </c>
      <c r="J28" s="54">
        <v>82</v>
      </c>
      <c r="K28" s="54">
        <v>237</v>
      </c>
      <c r="L28" s="54">
        <v>78</v>
      </c>
      <c r="M28" s="54">
        <v>0</v>
      </c>
      <c r="N28" s="70">
        <v>0</v>
      </c>
      <c r="O28" s="6">
        <f t="shared" si="2"/>
        <v>870</v>
      </c>
    </row>
    <row r="29" spans="1:15">
      <c r="A29" s="55"/>
      <c r="B29" s="56" t="s">
        <v>203</v>
      </c>
      <c r="C29" s="54">
        <v>96</v>
      </c>
      <c r="D29" s="54">
        <v>269</v>
      </c>
      <c r="E29" s="54">
        <v>128</v>
      </c>
      <c r="F29" s="54">
        <v>27</v>
      </c>
      <c r="G29" s="54">
        <v>42</v>
      </c>
      <c r="H29" s="54">
        <v>28</v>
      </c>
      <c r="I29" s="54">
        <v>16</v>
      </c>
      <c r="J29" s="54">
        <v>149</v>
      </c>
      <c r="K29" s="54">
        <v>118</v>
      </c>
      <c r="L29" s="54">
        <v>25</v>
      </c>
      <c r="M29" s="54">
        <v>232</v>
      </c>
      <c r="N29" s="54">
        <v>100</v>
      </c>
      <c r="O29" s="54">
        <v>1230</v>
      </c>
    </row>
  </sheetData>
  <sortState xmlns:xlrd2="http://schemas.microsoft.com/office/spreadsheetml/2017/richdata2" ref="B3:O9">
    <sortCondition descending="1" ref="O3:O9"/>
  </sortState>
  <mergeCells count="3">
    <mergeCell ref="A1:O1"/>
    <mergeCell ref="A21:O21"/>
    <mergeCell ref="A11:O11"/>
  </mergeCells>
  <phoneticPr fontId="19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5A9BF-0D17-4D08-9039-F946656FA9FA}">
  <dimension ref="A1:AC30"/>
  <sheetViews>
    <sheetView workbookViewId="0">
      <selection sqref="A1:O9"/>
    </sheetView>
  </sheetViews>
  <sheetFormatPr baseColWidth="10" defaultRowHeight="14.4"/>
  <cols>
    <col min="1" max="1" width="5" customWidth="1"/>
    <col min="2" max="2" width="8.109375" customWidth="1"/>
    <col min="3" max="14" width="6.6640625" customWidth="1"/>
    <col min="15" max="15" width="7.6640625" customWidth="1"/>
  </cols>
  <sheetData>
    <row r="1" spans="1:29" ht="18.75" customHeight="1">
      <c r="A1" s="264">
        <v>2020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</row>
    <row r="2" spans="1:29" ht="24.6">
      <c r="A2" s="196" t="s">
        <v>206</v>
      </c>
      <c r="B2" s="181" t="s">
        <v>190</v>
      </c>
      <c r="C2" s="183" t="s">
        <v>191</v>
      </c>
      <c r="D2" s="183" t="s">
        <v>192</v>
      </c>
      <c r="E2" s="183" t="s">
        <v>193</v>
      </c>
      <c r="F2" s="183" t="s">
        <v>194</v>
      </c>
      <c r="G2" s="183" t="s">
        <v>195</v>
      </c>
      <c r="H2" s="183" t="s">
        <v>196</v>
      </c>
      <c r="I2" s="183" t="s">
        <v>197</v>
      </c>
      <c r="J2" s="183" t="s">
        <v>198</v>
      </c>
      <c r="K2" s="183" t="s">
        <v>199</v>
      </c>
      <c r="L2" s="183" t="s">
        <v>200</v>
      </c>
      <c r="M2" s="183" t="s">
        <v>201</v>
      </c>
      <c r="N2" s="183" t="s">
        <v>202</v>
      </c>
      <c r="O2" s="183" t="s">
        <v>89</v>
      </c>
      <c r="Q2" s="164"/>
      <c r="R2" s="170" t="s">
        <v>191</v>
      </c>
      <c r="S2" s="146" t="s">
        <v>192</v>
      </c>
      <c r="T2" s="146" t="s">
        <v>193</v>
      </c>
      <c r="U2" s="146" t="s">
        <v>194</v>
      </c>
      <c r="V2" s="146" t="s">
        <v>195</v>
      </c>
      <c r="W2" s="146" t="s">
        <v>196</v>
      </c>
      <c r="X2" s="146" t="s">
        <v>197</v>
      </c>
      <c r="Y2" s="146" t="s">
        <v>198</v>
      </c>
      <c r="Z2" s="146" t="s">
        <v>199</v>
      </c>
      <c r="AA2" s="146" t="s">
        <v>200</v>
      </c>
      <c r="AB2" s="146" t="s">
        <v>201</v>
      </c>
      <c r="AC2" s="146" t="s">
        <v>202</v>
      </c>
    </row>
    <row r="3" spans="1:29" s="157" customFormat="1">
      <c r="A3" s="197"/>
      <c r="B3" s="199" t="s">
        <v>89</v>
      </c>
      <c r="C3" s="194">
        <v>2943570</v>
      </c>
      <c r="D3" s="194">
        <v>1478888</v>
      </c>
      <c r="E3" s="194">
        <v>2793614</v>
      </c>
      <c r="F3" s="194">
        <v>3061986</v>
      </c>
      <c r="G3" s="194">
        <v>3607548</v>
      </c>
      <c r="H3" s="194">
        <v>3537074</v>
      </c>
      <c r="I3" s="194">
        <v>4865874</v>
      </c>
      <c r="J3" s="194">
        <v>3024051</v>
      </c>
      <c r="K3" s="194">
        <v>2511456</v>
      </c>
      <c r="L3" s="194">
        <v>3073208</v>
      </c>
      <c r="M3" s="194">
        <v>3101543</v>
      </c>
      <c r="N3" s="194">
        <v>2784620</v>
      </c>
      <c r="O3" s="198">
        <f t="shared" ref="O3:O9" si="0">SUM(C3:N3)</f>
        <v>36783432</v>
      </c>
      <c r="Q3" s="138">
        <v>2020</v>
      </c>
      <c r="R3" s="167">
        <v>2943570</v>
      </c>
      <c r="S3" s="138">
        <v>1478888</v>
      </c>
      <c r="T3" s="138">
        <v>2793614</v>
      </c>
      <c r="U3" s="138">
        <v>3061986</v>
      </c>
      <c r="V3" s="138">
        <v>3607548</v>
      </c>
      <c r="W3" s="138">
        <v>3537074</v>
      </c>
      <c r="X3" s="138">
        <v>4865874</v>
      </c>
      <c r="Y3" s="138">
        <v>3024051</v>
      </c>
      <c r="Z3" s="138">
        <v>2511456</v>
      </c>
      <c r="AA3" s="138">
        <v>3073208</v>
      </c>
      <c r="AB3" s="138">
        <v>3101543</v>
      </c>
      <c r="AC3" s="138">
        <v>2784620</v>
      </c>
    </row>
    <row r="4" spans="1:29">
      <c r="A4" s="197">
        <v>1</v>
      </c>
      <c r="B4" s="199" t="s">
        <v>134</v>
      </c>
      <c r="C4" s="194">
        <v>818558</v>
      </c>
      <c r="D4" s="194">
        <v>584958</v>
      </c>
      <c r="E4" s="194">
        <v>1124715</v>
      </c>
      <c r="F4" s="194">
        <v>1444923</v>
      </c>
      <c r="G4" s="194">
        <v>2159878</v>
      </c>
      <c r="H4" s="194">
        <v>1695162</v>
      </c>
      <c r="I4" s="194">
        <v>2897649</v>
      </c>
      <c r="J4" s="194">
        <v>1416528</v>
      </c>
      <c r="K4" s="194">
        <v>1084717</v>
      </c>
      <c r="L4" s="194">
        <v>1595125</v>
      </c>
      <c r="M4" s="194">
        <v>1446880</v>
      </c>
      <c r="N4" s="194">
        <v>1468584</v>
      </c>
      <c r="O4" s="198">
        <f t="shared" si="0"/>
        <v>17737677</v>
      </c>
      <c r="Q4" s="138">
        <v>2021</v>
      </c>
      <c r="R4" s="168">
        <v>2132652</v>
      </c>
      <c r="S4" s="153">
        <v>2145061</v>
      </c>
      <c r="T4" s="153">
        <v>2549006</v>
      </c>
      <c r="U4" s="153">
        <v>3403258</v>
      </c>
      <c r="V4" s="153">
        <v>1843359</v>
      </c>
      <c r="W4" s="153">
        <v>2526616</v>
      </c>
      <c r="X4" s="153">
        <v>2581011</v>
      </c>
      <c r="Y4" s="153">
        <v>2963562</v>
      </c>
      <c r="Z4" s="153">
        <v>2033855</v>
      </c>
      <c r="AA4" s="153">
        <v>2216895</v>
      </c>
      <c r="AB4" s="153">
        <v>2333047</v>
      </c>
      <c r="AC4" s="153">
        <v>1602475</v>
      </c>
    </row>
    <row r="5" spans="1:29">
      <c r="A5" s="197">
        <v>2</v>
      </c>
      <c r="B5" s="199" t="s">
        <v>627</v>
      </c>
      <c r="C5" s="194">
        <v>1514637</v>
      </c>
      <c r="D5" s="194">
        <v>730590</v>
      </c>
      <c r="E5" s="194">
        <v>1366984</v>
      </c>
      <c r="F5" s="194">
        <v>1068827</v>
      </c>
      <c r="G5" s="194">
        <v>1096419</v>
      </c>
      <c r="H5" s="194">
        <v>1095840</v>
      </c>
      <c r="I5" s="194">
        <v>1797653</v>
      </c>
      <c r="J5" s="194">
        <v>1252148</v>
      </c>
      <c r="K5" s="194">
        <v>1195074</v>
      </c>
      <c r="L5" s="194">
        <v>1117990</v>
      </c>
      <c r="M5" s="194">
        <v>1337148</v>
      </c>
      <c r="N5" s="194">
        <v>1099510</v>
      </c>
      <c r="O5" s="198">
        <f t="shared" si="0"/>
        <v>14672820</v>
      </c>
      <c r="Q5" s="138">
        <v>2022</v>
      </c>
      <c r="R5" s="169">
        <v>3974882</v>
      </c>
      <c r="S5" s="165">
        <v>2119840</v>
      </c>
      <c r="T5" s="165">
        <v>2633627</v>
      </c>
      <c r="U5" s="165">
        <v>2154815</v>
      </c>
      <c r="V5" s="165">
        <v>2377710</v>
      </c>
      <c r="W5" s="165">
        <v>2138429</v>
      </c>
      <c r="X5" s="165">
        <v>2424063</v>
      </c>
      <c r="Y5" s="165">
        <v>2392974</v>
      </c>
      <c r="Z5" s="165">
        <v>1844987</v>
      </c>
      <c r="AA5" s="165">
        <v>2790486</v>
      </c>
      <c r="AB5" s="166">
        <v>2772120</v>
      </c>
      <c r="AC5" s="36">
        <v>2629619</v>
      </c>
    </row>
    <row r="6" spans="1:29">
      <c r="A6" s="197">
        <v>3</v>
      </c>
      <c r="B6" s="199" t="s">
        <v>2</v>
      </c>
      <c r="C6" s="194">
        <v>192146</v>
      </c>
      <c r="D6" s="194">
        <v>127690</v>
      </c>
      <c r="E6" s="194">
        <v>180274</v>
      </c>
      <c r="F6" s="194">
        <v>302857</v>
      </c>
      <c r="G6" s="194">
        <v>139719</v>
      </c>
      <c r="H6" s="194">
        <v>203959</v>
      </c>
      <c r="I6" s="194">
        <v>81767</v>
      </c>
      <c r="J6" s="194">
        <v>169568</v>
      </c>
      <c r="K6" s="194">
        <v>163215</v>
      </c>
      <c r="L6" s="194">
        <v>231357</v>
      </c>
      <c r="M6" s="194">
        <v>159148</v>
      </c>
      <c r="N6" s="194">
        <v>141422</v>
      </c>
      <c r="O6" s="198">
        <f t="shared" si="0"/>
        <v>2093122</v>
      </c>
    </row>
    <row r="7" spans="1:29">
      <c r="A7" s="197">
        <v>4</v>
      </c>
      <c r="B7" s="199" t="s">
        <v>6</v>
      </c>
      <c r="C7" s="194">
        <v>317942</v>
      </c>
      <c r="D7" s="194">
        <v>0</v>
      </c>
      <c r="E7" s="194">
        <v>59464</v>
      </c>
      <c r="F7" s="194">
        <v>200000</v>
      </c>
      <c r="G7" s="194">
        <v>148976</v>
      </c>
      <c r="H7" s="194">
        <v>467896</v>
      </c>
      <c r="I7" s="194">
        <v>12001</v>
      </c>
      <c r="J7" s="194">
        <v>72012</v>
      </c>
      <c r="K7" s="194">
        <v>47969</v>
      </c>
      <c r="L7" s="194">
        <v>90616</v>
      </c>
      <c r="M7" s="194">
        <v>79009</v>
      </c>
      <c r="N7" s="194">
        <v>74514</v>
      </c>
      <c r="O7" s="198">
        <f t="shared" si="0"/>
        <v>1570399</v>
      </c>
    </row>
    <row r="8" spans="1:29">
      <c r="A8" s="197">
        <v>5</v>
      </c>
      <c r="B8" s="199" t="s">
        <v>74</v>
      </c>
      <c r="C8" s="194">
        <v>51215</v>
      </c>
      <c r="D8" s="194">
        <v>22108</v>
      </c>
      <c r="E8" s="194">
        <v>56274</v>
      </c>
      <c r="F8" s="194">
        <v>33216</v>
      </c>
      <c r="G8" s="194">
        <v>35800</v>
      </c>
      <c r="H8" s="194">
        <v>0</v>
      </c>
      <c r="I8" s="194">
        <v>36375</v>
      </c>
      <c r="J8" s="194">
        <v>0</v>
      </c>
      <c r="K8" s="194">
        <v>10390</v>
      </c>
      <c r="L8" s="194">
        <v>0</v>
      </c>
      <c r="M8" s="194">
        <v>0</v>
      </c>
      <c r="N8" s="194">
        <v>0</v>
      </c>
      <c r="O8" s="198">
        <f t="shared" si="0"/>
        <v>245378</v>
      </c>
    </row>
    <row r="9" spans="1:29">
      <c r="A9" s="197"/>
      <c r="B9" s="199" t="s">
        <v>203</v>
      </c>
      <c r="C9" s="194">
        <v>49072</v>
      </c>
      <c r="D9" s="194">
        <v>13542</v>
      </c>
      <c r="E9" s="194">
        <v>5903</v>
      </c>
      <c r="F9" s="194">
        <v>12163</v>
      </c>
      <c r="G9" s="194">
        <v>26756</v>
      </c>
      <c r="H9" s="194">
        <v>74217</v>
      </c>
      <c r="I9" s="194">
        <v>40429</v>
      </c>
      <c r="J9" s="194">
        <v>113795</v>
      </c>
      <c r="K9" s="194">
        <v>10091</v>
      </c>
      <c r="L9" s="194">
        <v>38120</v>
      </c>
      <c r="M9" s="194">
        <v>79358</v>
      </c>
      <c r="N9" s="194">
        <v>590</v>
      </c>
      <c r="O9" s="198">
        <f t="shared" si="0"/>
        <v>464036</v>
      </c>
    </row>
    <row r="11" spans="1:29">
      <c r="A11" s="265">
        <v>2021</v>
      </c>
      <c r="B11" s="265"/>
      <c r="C11" s="265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5"/>
    </row>
    <row r="12" spans="1:29" ht="24.6">
      <c r="A12" s="191" t="s">
        <v>206</v>
      </c>
      <c r="B12" s="192" t="s">
        <v>190</v>
      </c>
      <c r="C12" s="193" t="s">
        <v>191</v>
      </c>
      <c r="D12" s="193" t="s">
        <v>192</v>
      </c>
      <c r="E12" s="193" t="s">
        <v>193</v>
      </c>
      <c r="F12" s="193" t="s">
        <v>194</v>
      </c>
      <c r="G12" s="193" t="s">
        <v>195</v>
      </c>
      <c r="H12" s="193" t="s">
        <v>196</v>
      </c>
      <c r="I12" s="193" t="s">
        <v>197</v>
      </c>
      <c r="J12" s="193" t="s">
        <v>198</v>
      </c>
      <c r="K12" s="193" t="s">
        <v>199</v>
      </c>
      <c r="L12" s="193" t="s">
        <v>200</v>
      </c>
      <c r="M12" s="193" t="s">
        <v>201</v>
      </c>
      <c r="N12" s="193" t="s">
        <v>202</v>
      </c>
      <c r="O12" s="193" t="s">
        <v>89</v>
      </c>
    </row>
    <row r="13" spans="1:29">
      <c r="A13" s="176"/>
      <c r="B13" s="185" t="s">
        <v>89</v>
      </c>
      <c r="C13" s="194">
        <v>2132652</v>
      </c>
      <c r="D13" s="194">
        <v>2145061</v>
      </c>
      <c r="E13" s="194">
        <v>2549006</v>
      </c>
      <c r="F13" s="194">
        <v>3403258</v>
      </c>
      <c r="G13" s="194">
        <v>1843359</v>
      </c>
      <c r="H13" s="194">
        <v>2526616</v>
      </c>
      <c r="I13" s="194">
        <v>2581011</v>
      </c>
      <c r="J13" s="194">
        <v>2963562</v>
      </c>
      <c r="K13" s="194">
        <v>2033855</v>
      </c>
      <c r="L13" s="194">
        <v>2216895</v>
      </c>
      <c r="M13" s="194">
        <v>2333047</v>
      </c>
      <c r="N13" s="194">
        <v>1602475</v>
      </c>
      <c r="O13" s="176">
        <f t="shared" ref="O13:O19" si="1">SUM(C13:N13)</f>
        <v>28330797</v>
      </c>
    </row>
    <row r="14" spans="1:29">
      <c r="A14" s="195">
        <v>1</v>
      </c>
      <c r="B14" s="185" t="s">
        <v>627</v>
      </c>
      <c r="C14" s="194">
        <v>1159450</v>
      </c>
      <c r="D14" s="194">
        <v>838738</v>
      </c>
      <c r="E14" s="194">
        <v>1252153</v>
      </c>
      <c r="F14" s="194">
        <v>1281432</v>
      </c>
      <c r="G14" s="194">
        <v>892670</v>
      </c>
      <c r="H14" s="194">
        <v>1209521</v>
      </c>
      <c r="I14" s="194">
        <v>1006722</v>
      </c>
      <c r="J14" s="194">
        <v>1315581</v>
      </c>
      <c r="K14" s="194">
        <v>944401</v>
      </c>
      <c r="L14" s="194">
        <v>1060387</v>
      </c>
      <c r="M14" s="194">
        <v>1355981</v>
      </c>
      <c r="N14" s="194">
        <v>702270</v>
      </c>
      <c r="O14" s="176">
        <f t="shared" si="1"/>
        <v>13019306</v>
      </c>
    </row>
    <row r="15" spans="1:29">
      <c r="A15" s="195">
        <v>2</v>
      </c>
      <c r="B15" s="185" t="s">
        <v>134</v>
      </c>
      <c r="C15" s="194">
        <v>579583</v>
      </c>
      <c r="D15" s="194">
        <v>1059187</v>
      </c>
      <c r="E15" s="194">
        <v>827188</v>
      </c>
      <c r="F15" s="194">
        <v>1572986</v>
      </c>
      <c r="G15" s="194">
        <v>348676</v>
      </c>
      <c r="H15" s="194">
        <v>695608</v>
      </c>
      <c r="I15" s="194">
        <v>1077627</v>
      </c>
      <c r="J15" s="194">
        <v>1153911</v>
      </c>
      <c r="K15" s="194">
        <v>657820</v>
      </c>
      <c r="L15" s="194">
        <v>650752</v>
      </c>
      <c r="M15" s="194">
        <v>545383</v>
      </c>
      <c r="N15" s="194">
        <v>515678</v>
      </c>
      <c r="O15" s="176">
        <f t="shared" si="1"/>
        <v>9684399</v>
      </c>
    </row>
    <row r="16" spans="1:29">
      <c r="A16" s="195">
        <v>3</v>
      </c>
      <c r="B16" s="185" t="s">
        <v>2</v>
      </c>
      <c r="C16" s="194">
        <v>276112</v>
      </c>
      <c r="D16" s="194">
        <v>212197</v>
      </c>
      <c r="E16" s="194">
        <v>311908</v>
      </c>
      <c r="F16" s="194">
        <v>279190</v>
      </c>
      <c r="G16" s="194">
        <v>268553</v>
      </c>
      <c r="H16" s="194">
        <v>292699</v>
      </c>
      <c r="I16" s="194">
        <v>242330</v>
      </c>
      <c r="J16" s="194">
        <v>237143</v>
      </c>
      <c r="K16" s="194">
        <v>234385</v>
      </c>
      <c r="L16" s="194">
        <v>252089</v>
      </c>
      <c r="M16" s="194">
        <v>221431</v>
      </c>
      <c r="N16" s="194">
        <v>276006</v>
      </c>
      <c r="O16" s="176">
        <f t="shared" si="1"/>
        <v>3104043</v>
      </c>
    </row>
    <row r="17" spans="1:15">
      <c r="A17" s="195">
        <v>4</v>
      </c>
      <c r="B17" s="185" t="s">
        <v>6</v>
      </c>
      <c r="C17" s="194">
        <v>30884</v>
      </c>
      <c r="D17" s="194">
        <v>19000</v>
      </c>
      <c r="E17" s="194">
        <v>97000</v>
      </c>
      <c r="F17" s="194">
        <v>257880</v>
      </c>
      <c r="G17" s="194">
        <v>318000</v>
      </c>
      <c r="H17" s="194">
        <v>319000</v>
      </c>
      <c r="I17" s="194">
        <v>138000</v>
      </c>
      <c r="J17" s="194">
        <v>236000</v>
      </c>
      <c r="K17" s="194">
        <v>142325</v>
      </c>
      <c r="L17" s="194">
        <v>238930</v>
      </c>
      <c r="M17" s="194">
        <v>179000</v>
      </c>
      <c r="N17" s="194">
        <v>76000</v>
      </c>
      <c r="O17" s="176">
        <f t="shared" si="1"/>
        <v>2052019</v>
      </c>
    </row>
    <row r="18" spans="1:15">
      <c r="A18" s="195">
        <v>5</v>
      </c>
      <c r="B18" s="185" t="s">
        <v>74</v>
      </c>
      <c r="C18" s="194">
        <v>8376</v>
      </c>
      <c r="D18" s="194">
        <v>9285</v>
      </c>
      <c r="E18" s="194">
        <v>0</v>
      </c>
      <c r="F18" s="194">
        <v>5395</v>
      </c>
      <c r="G18" s="194">
        <v>0</v>
      </c>
      <c r="H18" s="194">
        <v>0</v>
      </c>
      <c r="I18" s="194">
        <v>103436</v>
      </c>
      <c r="J18" s="194">
        <v>16240</v>
      </c>
      <c r="K18" s="194">
        <v>16783</v>
      </c>
      <c r="L18" s="194">
        <v>1371</v>
      </c>
      <c r="M18" s="194">
        <v>17237</v>
      </c>
      <c r="N18" s="194">
        <v>14199</v>
      </c>
      <c r="O18" s="176">
        <f t="shared" si="1"/>
        <v>192322</v>
      </c>
    </row>
    <row r="19" spans="1:15">
      <c r="A19" s="176"/>
      <c r="B19" s="185" t="s">
        <v>203</v>
      </c>
      <c r="C19" s="194">
        <v>78247</v>
      </c>
      <c r="D19" s="194">
        <v>6654</v>
      </c>
      <c r="E19" s="194">
        <v>60757</v>
      </c>
      <c r="F19" s="194">
        <v>6375</v>
      </c>
      <c r="G19" s="194">
        <v>15460</v>
      </c>
      <c r="H19" s="194">
        <v>9788</v>
      </c>
      <c r="I19" s="194">
        <v>12896</v>
      </c>
      <c r="J19" s="194">
        <v>4687</v>
      </c>
      <c r="K19" s="194">
        <v>38141</v>
      </c>
      <c r="L19" s="194">
        <v>13366</v>
      </c>
      <c r="M19" s="194">
        <v>14015</v>
      </c>
      <c r="N19" s="194">
        <v>18322</v>
      </c>
      <c r="O19" s="176">
        <f t="shared" si="1"/>
        <v>278708</v>
      </c>
    </row>
    <row r="22" spans="1:15">
      <c r="A22" s="265">
        <v>2022</v>
      </c>
      <c r="B22" s="265"/>
      <c r="C22" s="265"/>
      <c r="D22" s="265"/>
      <c r="E22" s="265"/>
      <c r="F22" s="265"/>
      <c r="G22" s="265"/>
      <c r="H22" s="265"/>
      <c r="I22" s="265"/>
      <c r="J22" s="265"/>
      <c r="K22" s="265"/>
      <c r="L22" s="265"/>
      <c r="M22" s="265"/>
      <c r="N22" s="265"/>
      <c r="O22" s="265"/>
    </row>
    <row r="23" spans="1:15" ht="24.6">
      <c r="A23" s="180" t="s">
        <v>206</v>
      </c>
      <c r="B23" s="181" t="s">
        <v>190</v>
      </c>
      <c r="C23" s="182" t="s">
        <v>191</v>
      </c>
      <c r="D23" s="182" t="s">
        <v>192</v>
      </c>
      <c r="E23" s="182" t="s">
        <v>193</v>
      </c>
      <c r="F23" s="182" t="s">
        <v>194</v>
      </c>
      <c r="G23" s="182" t="s">
        <v>195</v>
      </c>
      <c r="H23" s="182" t="s">
        <v>196</v>
      </c>
      <c r="I23" s="182" t="s">
        <v>197</v>
      </c>
      <c r="J23" s="182" t="s">
        <v>198</v>
      </c>
      <c r="K23" s="182" t="s">
        <v>199</v>
      </c>
      <c r="L23" s="182" t="s">
        <v>200</v>
      </c>
      <c r="M23" s="182" t="s">
        <v>201</v>
      </c>
      <c r="N23" s="182" t="s">
        <v>202</v>
      </c>
      <c r="O23" s="183" t="s">
        <v>89</v>
      </c>
    </row>
    <row r="24" spans="1:15">
      <c r="A24" s="184"/>
      <c r="B24" s="185" t="s">
        <v>89</v>
      </c>
      <c r="C24" s="186">
        <v>3974882</v>
      </c>
      <c r="D24" s="186">
        <v>2119840</v>
      </c>
      <c r="E24" s="186">
        <v>2633627</v>
      </c>
      <c r="F24" s="186">
        <v>2154815</v>
      </c>
      <c r="G24" s="186">
        <v>2377710</v>
      </c>
      <c r="H24" s="186">
        <v>2138429</v>
      </c>
      <c r="I24" s="186">
        <v>2424063</v>
      </c>
      <c r="J24" s="186">
        <v>2392974</v>
      </c>
      <c r="K24" s="186">
        <v>1844987</v>
      </c>
      <c r="L24" s="186">
        <v>2790486</v>
      </c>
      <c r="M24" s="186">
        <v>2772120</v>
      </c>
      <c r="N24" s="187">
        <v>2629619</v>
      </c>
      <c r="O24" s="188">
        <v>30253552</v>
      </c>
    </row>
    <row r="25" spans="1:15">
      <c r="A25" s="184">
        <v>1</v>
      </c>
      <c r="B25" s="189" t="s">
        <v>627</v>
      </c>
      <c r="C25" s="186">
        <v>1080960</v>
      </c>
      <c r="D25" s="186">
        <v>1014722</v>
      </c>
      <c r="E25" s="186">
        <v>1497664</v>
      </c>
      <c r="F25" s="186">
        <v>1371184</v>
      </c>
      <c r="G25" s="186">
        <v>1350359</v>
      </c>
      <c r="H25" s="186">
        <v>874979</v>
      </c>
      <c r="I25" s="186">
        <v>1088428</v>
      </c>
      <c r="J25" s="186">
        <v>1014933</v>
      </c>
      <c r="K25" s="186">
        <v>970510</v>
      </c>
      <c r="L25" s="186">
        <v>1194908</v>
      </c>
      <c r="M25" s="186">
        <v>1339400</v>
      </c>
      <c r="N25" s="187">
        <v>1222951</v>
      </c>
      <c r="O25" s="188">
        <v>14020998</v>
      </c>
    </row>
    <row r="26" spans="1:15">
      <c r="A26" s="184">
        <v>2</v>
      </c>
      <c r="B26" s="189" t="s">
        <v>134</v>
      </c>
      <c r="C26" s="186">
        <v>2526816</v>
      </c>
      <c r="D26" s="186">
        <v>666273</v>
      </c>
      <c r="E26" s="186">
        <v>690073</v>
      </c>
      <c r="F26" s="186">
        <v>465265</v>
      </c>
      <c r="G26" s="186">
        <v>756611</v>
      </c>
      <c r="H26" s="186">
        <v>1046118</v>
      </c>
      <c r="I26" s="186">
        <v>1206640</v>
      </c>
      <c r="J26" s="186">
        <v>972358</v>
      </c>
      <c r="K26" s="186">
        <v>481988</v>
      </c>
      <c r="L26" s="186">
        <v>1130721</v>
      </c>
      <c r="M26" s="186">
        <v>1233822</v>
      </c>
      <c r="N26" s="187">
        <v>1285869</v>
      </c>
      <c r="O26" s="188">
        <v>12462554</v>
      </c>
    </row>
    <row r="27" spans="1:15">
      <c r="A27" s="184">
        <v>3</v>
      </c>
      <c r="B27" s="189" t="s">
        <v>2</v>
      </c>
      <c r="C27" s="186">
        <v>287699</v>
      </c>
      <c r="D27" s="186">
        <v>309375</v>
      </c>
      <c r="E27" s="186">
        <v>335936</v>
      </c>
      <c r="F27" s="186">
        <v>241530</v>
      </c>
      <c r="G27" s="186">
        <v>222625</v>
      </c>
      <c r="H27" s="186">
        <v>162636</v>
      </c>
      <c r="I27" s="186">
        <v>96233</v>
      </c>
      <c r="J27" s="186">
        <v>174863</v>
      </c>
      <c r="K27" s="186">
        <v>146630</v>
      </c>
      <c r="L27" s="186">
        <v>268248</v>
      </c>
      <c r="M27" s="186">
        <v>83906</v>
      </c>
      <c r="N27" s="187">
        <v>73289</v>
      </c>
      <c r="O27" s="188">
        <v>2402970</v>
      </c>
    </row>
    <row r="28" spans="1:15">
      <c r="A28" s="184">
        <v>4</v>
      </c>
      <c r="B28" s="189" t="s">
        <v>6</v>
      </c>
      <c r="C28" s="186">
        <v>38000</v>
      </c>
      <c r="D28" s="186">
        <v>0</v>
      </c>
      <c r="E28" s="186">
        <v>31002</v>
      </c>
      <c r="F28" s="186">
        <v>19000</v>
      </c>
      <c r="G28" s="186">
        <v>0</v>
      </c>
      <c r="H28" s="186">
        <v>12467</v>
      </c>
      <c r="I28" s="186">
        <v>0</v>
      </c>
      <c r="J28" s="186">
        <v>153902</v>
      </c>
      <c r="K28" s="186">
        <v>113798</v>
      </c>
      <c r="L28" s="186">
        <v>160829</v>
      </c>
      <c r="M28" s="186">
        <v>36005</v>
      </c>
      <c r="N28" s="187">
        <v>23986</v>
      </c>
      <c r="O28" s="188">
        <v>588989</v>
      </c>
    </row>
    <row r="29" spans="1:15">
      <c r="A29" s="184">
        <v>5</v>
      </c>
      <c r="B29" s="189" t="s">
        <v>74</v>
      </c>
      <c r="C29" s="186">
        <v>31412</v>
      </c>
      <c r="D29" s="186">
        <v>0</v>
      </c>
      <c r="E29" s="186">
        <v>15422</v>
      </c>
      <c r="F29" s="186">
        <v>53978</v>
      </c>
      <c r="G29" s="186">
        <v>38154</v>
      </c>
      <c r="H29" s="186">
        <v>36011</v>
      </c>
      <c r="I29" s="186">
        <v>29938</v>
      </c>
      <c r="J29" s="186">
        <v>38397</v>
      </c>
      <c r="K29" s="186">
        <v>97794</v>
      </c>
      <c r="L29" s="186">
        <v>31388</v>
      </c>
      <c r="M29" s="186">
        <v>0</v>
      </c>
      <c r="N29" s="187">
        <v>0</v>
      </c>
      <c r="O29" s="188">
        <v>372494</v>
      </c>
    </row>
    <row r="30" spans="1:15">
      <c r="A30" s="184"/>
      <c r="B30" s="189" t="s">
        <v>203</v>
      </c>
      <c r="C30" s="186">
        <v>9995</v>
      </c>
      <c r="D30" s="186">
        <v>129470</v>
      </c>
      <c r="E30" s="186">
        <v>63530</v>
      </c>
      <c r="F30" s="186">
        <v>3858</v>
      </c>
      <c r="G30" s="186">
        <v>9961</v>
      </c>
      <c r="H30" s="186">
        <v>6218</v>
      </c>
      <c r="I30" s="186">
        <v>2824</v>
      </c>
      <c r="J30" s="186">
        <v>38521</v>
      </c>
      <c r="K30" s="186">
        <v>34267</v>
      </c>
      <c r="L30" s="186">
        <v>4392</v>
      </c>
      <c r="M30" s="186">
        <v>78987</v>
      </c>
      <c r="N30" s="186">
        <v>23524</v>
      </c>
      <c r="O30" s="186">
        <v>405547</v>
      </c>
    </row>
  </sheetData>
  <sortState xmlns:xlrd2="http://schemas.microsoft.com/office/spreadsheetml/2017/richdata2" ref="A13:O19">
    <sortCondition descending="1" ref="O13:O19"/>
  </sortState>
  <mergeCells count="3">
    <mergeCell ref="A1:O1"/>
    <mergeCell ref="A22:O22"/>
    <mergeCell ref="A11:O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714B7-FEDE-48C8-B346-D23B7333396E}">
  <dimension ref="B1:Q11"/>
  <sheetViews>
    <sheetView workbookViewId="0">
      <selection activeCell="H3" sqref="H3:J3"/>
    </sheetView>
  </sheetViews>
  <sheetFormatPr baseColWidth="10" defaultRowHeight="14.4"/>
  <cols>
    <col min="1" max="1" width="7.44140625" customWidth="1"/>
    <col min="2" max="2" width="12.33203125" customWidth="1"/>
    <col min="3" max="7" width="7.44140625" customWidth="1"/>
    <col min="8" max="8" width="8.109375" customWidth="1"/>
    <col min="9" max="9" width="8.6640625" customWidth="1"/>
    <col min="10" max="10" width="6.44140625" customWidth="1"/>
  </cols>
  <sheetData>
    <row r="1" spans="2:17">
      <c r="C1" s="266"/>
      <c r="D1" s="266"/>
      <c r="E1" s="266"/>
      <c r="F1" s="266"/>
      <c r="G1" s="266"/>
      <c r="H1" s="266"/>
      <c r="I1" s="266"/>
    </row>
    <row r="2" spans="2:17" ht="43.2">
      <c r="B2" s="210" t="s">
        <v>204</v>
      </c>
      <c r="C2" s="210">
        <v>2018</v>
      </c>
      <c r="D2" s="210">
        <v>2019</v>
      </c>
      <c r="E2" s="210">
        <v>2020</v>
      </c>
      <c r="F2" s="210">
        <v>2021</v>
      </c>
      <c r="G2" s="210">
        <v>2022</v>
      </c>
      <c r="H2" s="210" t="s">
        <v>96</v>
      </c>
      <c r="I2" s="210" t="s">
        <v>95</v>
      </c>
      <c r="J2" s="210" t="s">
        <v>97</v>
      </c>
      <c r="L2" s="5"/>
      <c r="M2" s="5">
        <v>2018</v>
      </c>
      <c r="N2" s="5">
        <v>2019</v>
      </c>
      <c r="O2" s="5">
        <v>2020</v>
      </c>
      <c r="P2" s="5">
        <v>2021</v>
      </c>
      <c r="Q2" s="5">
        <v>2022</v>
      </c>
    </row>
    <row r="3" spans="2:17" s="58" customFormat="1">
      <c r="B3" s="217" t="s">
        <v>99</v>
      </c>
      <c r="C3" s="218">
        <v>46264</v>
      </c>
      <c r="D3" s="218">
        <v>48878</v>
      </c>
      <c r="E3" s="218">
        <v>46051</v>
      </c>
      <c r="F3" s="218">
        <v>35793</v>
      </c>
      <c r="G3" s="218">
        <v>37690</v>
      </c>
      <c r="H3" s="211">
        <f>G3/$G$3</f>
        <v>1</v>
      </c>
      <c r="I3" s="212">
        <f>(G3/F3)-1</f>
        <v>5.2999189785712275E-2</v>
      </c>
      <c r="J3" s="213">
        <f>((G3/C3)^(1/4))-1</f>
        <v>-4.9951581072485429E-2</v>
      </c>
      <c r="L3" s="86">
        <v>1008500010</v>
      </c>
      <c r="M3" s="85">
        <v>16389</v>
      </c>
      <c r="N3" s="85">
        <v>16603</v>
      </c>
      <c r="O3" s="85">
        <v>24097</v>
      </c>
      <c r="P3" s="85">
        <v>20694</v>
      </c>
      <c r="Q3" s="85">
        <v>19876</v>
      </c>
    </row>
    <row r="4" spans="2:17" ht="17.25" customHeight="1">
      <c r="B4" s="219">
        <v>1008500010</v>
      </c>
      <c r="C4" s="220">
        <v>16389</v>
      </c>
      <c r="D4" s="220">
        <v>16603</v>
      </c>
      <c r="E4" s="220">
        <v>24097</v>
      </c>
      <c r="F4" s="220">
        <v>20694</v>
      </c>
      <c r="G4" s="220">
        <v>19876</v>
      </c>
      <c r="H4" s="214">
        <f t="shared" ref="H4:H6" si="0">G4/$G$3</f>
        <v>0.52735473600424521</v>
      </c>
      <c r="I4" s="215">
        <f t="shared" ref="I4:I6" si="1">(G4/F4)-1</f>
        <v>-3.9528365709867619E-2</v>
      </c>
      <c r="J4" s="216">
        <f t="shared" ref="J4:J6" si="2">((G4/C4)^(1/4))-1</f>
        <v>4.9407426256617759E-2</v>
      </c>
      <c r="L4" s="86">
        <v>1008500090</v>
      </c>
      <c r="M4" s="85">
        <v>26420</v>
      </c>
      <c r="N4" s="85">
        <v>28310</v>
      </c>
      <c r="O4" s="85">
        <v>18515</v>
      </c>
      <c r="P4" s="85">
        <v>12614</v>
      </c>
      <c r="Q4" s="85">
        <v>15261</v>
      </c>
    </row>
    <row r="5" spans="2:17" ht="15.75" customHeight="1">
      <c r="B5" s="217">
        <v>1008500090</v>
      </c>
      <c r="C5" s="218">
        <v>26420</v>
      </c>
      <c r="D5" s="218">
        <v>28310</v>
      </c>
      <c r="E5" s="218">
        <v>18515</v>
      </c>
      <c r="F5" s="218">
        <v>12614</v>
      </c>
      <c r="G5" s="218">
        <v>15261</v>
      </c>
      <c r="H5" s="211">
        <f t="shared" si="0"/>
        <v>0.40490846378349693</v>
      </c>
      <c r="I5" s="212">
        <f t="shared" si="1"/>
        <v>0.20984620263199627</v>
      </c>
      <c r="J5" s="213">
        <f t="shared" si="2"/>
        <v>-0.12820867172402317</v>
      </c>
      <c r="L5" s="86">
        <v>1008900140</v>
      </c>
      <c r="M5" s="85">
        <v>3455</v>
      </c>
      <c r="N5" s="85">
        <v>3965</v>
      </c>
      <c r="O5" s="85">
        <v>3439</v>
      </c>
      <c r="P5" s="85">
        <v>2485</v>
      </c>
      <c r="Q5" s="85">
        <v>2553</v>
      </c>
    </row>
    <row r="6" spans="2:17">
      <c r="B6" s="219">
        <v>1008900140</v>
      </c>
      <c r="C6" s="220">
        <v>3455</v>
      </c>
      <c r="D6" s="220">
        <v>3965</v>
      </c>
      <c r="E6" s="220">
        <v>3439</v>
      </c>
      <c r="F6" s="220">
        <v>2485</v>
      </c>
      <c r="G6" s="220">
        <v>2553</v>
      </c>
      <c r="H6" s="214">
        <f t="shared" si="0"/>
        <v>6.7736800212257892E-2</v>
      </c>
      <c r="I6" s="215">
        <f t="shared" si="1"/>
        <v>2.7364185110664074E-2</v>
      </c>
      <c r="J6" s="216">
        <f t="shared" si="2"/>
        <v>-7.2848530958705582E-2</v>
      </c>
    </row>
    <row r="7" spans="2:17">
      <c r="B7" s="83"/>
      <c r="C7" s="83"/>
      <c r="D7" s="83"/>
      <c r="E7" s="83"/>
      <c r="F7" s="83"/>
      <c r="G7" s="83"/>
    </row>
    <row r="8" spans="2:17">
      <c r="H8" s="84"/>
    </row>
    <row r="9" spans="2:17" ht="21" customHeight="1"/>
    <row r="10" spans="2:17" ht="21" customHeight="1"/>
    <row r="11" spans="2:17" ht="21" customHeight="1"/>
  </sheetData>
  <mergeCells count="1">
    <mergeCell ref="C1:I1"/>
  </mergeCells>
  <phoneticPr fontId="19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E721B-D0AB-44E2-9A18-47A4A218BF7C}">
  <dimension ref="A1:Y32"/>
  <sheetViews>
    <sheetView topLeftCell="A7" workbookViewId="0">
      <selection activeCell="N25" sqref="N24:N25"/>
    </sheetView>
  </sheetViews>
  <sheetFormatPr baseColWidth="10" defaultRowHeight="14.4"/>
  <cols>
    <col min="1" max="1" width="9.44140625" customWidth="1"/>
    <col min="2" max="12" width="6.5546875" customWidth="1"/>
    <col min="14" max="25" width="5.88671875" customWidth="1"/>
  </cols>
  <sheetData>
    <row r="1" spans="1:25">
      <c r="A1" s="241" t="s">
        <v>632</v>
      </c>
      <c r="B1" s="242">
        <v>2012</v>
      </c>
      <c r="C1" s="242">
        <v>2013</v>
      </c>
      <c r="D1" s="242">
        <v>2014</v>
      </c>
      <c r="E1" s="242">
        <v>2015</v>
      </c>
      <c r="F1" s="242">
        <v>2016</v>
      </c>
      <c r="G1" s="242">
        <v>2017</v>
      </c>
      <c r="H1" s="242">
        <v>2018</v>
      </c>
      <c r="I1" s="242">
        <v>2019</v>
      </c>
      <c r="J1" s="242">
        <v>2020</v>
      </c>
      <c r="K1" s="242">
        <v>2021</v>
      </c>
      <c r="L1" s="242">
        <v>2022</v>
      </c>
      <c r="N1" s="241"/>
      <c r="O1" s="242">
        <v>2012</v>
      </c>
      <c r="P1" s="242">
        <v>2013</v>
      </c>
      <c r="Q1" s="242">
        <v>2014</v>
      </c>
      <c r="R1" s="242">
        <v>2015</v>
      </c>
      <c r="S1" s="242">
        <v>2016</v>
      </c>
      <c r="T1" s="242">
        <v>2017</v>
      </c>
      <c r="U1" s="242">
        <v>2018</v>
      </c>
      <c r="V1" s="242">
        <v>2019</v>
      </c>
      <c r="W1" s="242">
        <v>2020</v>
      </c>
      <c r="X1" s="242">
        <v>2021</v>
      </c>
      <c r="Y1" s="242">
        <v>2022</v>
      </c>
    </row>
    <row r="2" spans="1:25">
      <c r="A2" s="14" t="s">
        <v>633</v>
      </c>
      <c r="B2" s="15">
        <v>41741</v>
      </c>
      <c r="C2" s="15">
        <v>93254</v>
      </c>
      <c r="D2" s="15">
        <v>159180</v>
      </c>
      <c r="E2" s="15">
        <v>114505</v>
      </c>
      <c r="F2" s="15">
        <v>89928</v>
      </c>
      <c r="G2" s="15">
        <v>86787</v>
      </c>
      <c r="H2" s="15">
        <v>87638</v>
      </c>
      <c r="I2" s="15">
        <v>93454</v>
      </c>
      <c r="J2" s="15">
        <v>101167</v>
      </c>
      <c r="K2" s="15">
        <v>68774</v>
      </c>
      <c r="L2" s="16">
        <v>74887</v>
      </c>
      <c r="N2" s="14" t="s">
        <v>633</v>
      </c>
      <c r="O2" s="15">
        <v>41741</v>
      </c>
      <c r="P2" s="15">
        <v>93254</v>
      </c>
      <c r="Q2" s="15">
        <v>159180</v>
      </c>
      <c r="R2" s="15">
        <v>114505</v>
      </c>
      <c r="S2" s="15">
        <v>89928</v>
      </c>
      <c r="T2" s="15">
        <v>86787</v>
      </c>
      <c r="U2" s="15">
        <v>87638</v>
      </c>
      <c r="V2" s="15">
        <v>93454</v>
      </c>
      <c r="W2" s="15">
        <v>101167</v>
      </c>
      <c r="X2" s="15">
        <v>68774</v>
      </c>
      <c r="Y2" s="16">
        <v>74887</v>
      </c>
    </row>
    <row r="3" spans="1:25">
      <c r="A3" s="17" t="s">
        <v>627</v>
      </c>
      <c r="B3" s="18">
        <v>10360</v>
      </c>
      <c r="C3" s="18">
        <v>25696</v>
      </c>
      <c r="D3" s="18">
        <v>69553</v>
      </c>
      <c r="E3" s="18">
        <v>59576</v>
      </c>
      <c r="F3" s="18">
        <v>45214</v>
      </c>
      <c r="G3" s="18">
        <v>43383</v>
      </c>
      <c r="H3" s="18">
        <v>42809</v>
      </c>
      <c r="I3" s="18">
        <v>44913</v>
      </c>
      <c r="J3" s="18">
        <v>42612</v>
      </c>
      <c r="K3" s="18">
        <v>33215</v>
      </c>
      <c r="L3" s="19">
        <v>35137</v>
      </c>
    </row>
    <row r="4" spans="1:25">
      <c r="A4" s="14" t="s">
        <v>134</v>
      </c>
      <c r="B4" s="15">
        <v>30334</v>
      </c>
      <c r="C4" s="15">
        <v>65822</v>
      </c>
      <c r="D4" s="15">
        <v>85337</v>
      </c>
      <c r="E4" s="15">
        <v>50529</v>
      </c>
      <c r="F4" s="15">
        <v>39513</v>
      </c>
      <c r="G4" s="15">
        <v>38022</v>
      </c>
      <c r="H4" s="15">
        <v>38599</v>
      </c>
      <c r="I4" s="15">
        <v>40258</v>
      </c>
      <c r="J4" s="15">
        <v>48501</v>
      </c>
      <c r="K4" s="15">
        <v>24272</v>
      </c>
      <c r="L4" s="16">
        <v>31364</v>
      </c>
    </row>
    <row r="5" spans="1:25">
      <c r="A5" s="17" t="s">
        <v>2</v>
      </c>
      <c r="B5" s="18">
        <v>5</v>
      </c>
      <c r="C5" s="18">
        <v>185</v>
      </c>
      <c r="D5" s="18">
        <v>245</v>
      </c>
      <c r="E5" s="18">
        <v>1063</v>
      </c>
      <c r="F5" s="18">
        <v>1537</v>
      </c>
      <c r="G5" s="18">
        <v>1794</v>
      </c>
      <c r="H5" s="18">
        <v>1760</v>
      </c>
      <c r="I5" s="18">
        <v>1982</v>
      </c>
      <c r="J5" s="18">
        <v>3408</v>
      </c>
      <c r="K5" s="18">
        <v>5803</v>
      </c>
      <c r="L5" s="19">
        <v>4948</v>
      </c>
    </row>
    <row r="6" spans="1:25">
      <c r="A6" s="14" t="s">
        <v>6</v>
      </c>
      <c r="B6" s="15">
        <v>0</v>
      </c>
      <c r="C6" s="15">
        <v>0</v>
      </c>
      <c r="D6" s="15">
        <v>5</v>
      </c>
      <c r="E6" s="15">
        <v>45</v>
      </c>
      <c r="F6" s="15">
        <v>41</v>
      </c>
      <c r="G6" s="15">
        <v>199</v>
      </c>
      <c r="H6" s="15">
        <v>1462</v>
      </c>
      <c r="I6" s="15">
        <v>3901</v>
      </c>
      <c r="J6" s="15">
        <v>4485</v>
      </c>
      <c r="K6" s="15">
        <v>3993</v>
      </c>
      <c r="L6" s="16">
        <v>1387</v>
      </c>
    </row>
    <row r="7" spans="1:25">
      <c r="A7" s="17" t="s">
        <v>74</v>
      </c>
      <c r="B7" s="18">
        <v>806</v>
      </c>
      <c r="C7" s="18">
        <v>638</v>
      </c>
      <c r="D7" s="18">
        <v>2582</v>
      </c>
      <c r="E7" s="18">
        <v>2023</v>
      </c>
      <c r="F7" s="18">
        <v>2236</v>
      </c>
      <c r="G7" s="18">
        <v>2190</v>
      </c>
      <c r="H7" s="18">
        <v>1797</v>
      </c>
      <c r="I7" s="18">
        <v>1559</v>
      </c>
      <c r="J7" s="18">
        <v>816</v>
      </c>
      <c r="K7" s="18">
        <v>594</v>
      </c>
      <c r="L7" s="19">
        <v>870</v>
      </c>
    </row>
    <row r="8" spans="1:25">
      <c r="A8" s="14" t="s">
        <v>31</v>
      </c>
      <c r="B8" s="15">
        <v>202</v>
      </c>
      <c r="C8" s="15">
        <v>649</v>
      </c>
      <c r="D8" s="15">
        <v>383</v>
      </c>
      <c r="E8" s="15">
        <v>438</v>
      </c>
      <c r="F8" s="15">
        <v>0</v>
      </c>
      <c r="G8" s="15">
        <v>225</v>
      </c>
      <c r="H8" s="15">
        <v>224</v>
      </c>
      <c r="I8" s="15">
        <v>512</v>
      </c>
      <c r="J8" s="15">
        <v>193</v>
      </c>
      <c r="K8" s="15">
        <v>246</v>
      </c>
      <c r="L8" s="16">
        <v>584</v>
      </c>
    </row>
    <row r="9" spans="1:25">
      <c r="A9" s="17" t="s">
        <v>3</v>
      </c>
      <c r="B9" s="18">
        <v>0</v>
      </c>
      <c r="C9" s="18">
        <v>106</v>
      </c>
      <c r="D9" s="18">
        <v>59</v>
      </c>
      <c r="E9" s="18">
        <v>70</v>
      </c>
      <c r="F9" s="18">
        <v>374</v>
      </c>
      <c r="G9" s="18">
        <v>188</v>
      </c>
      <c r="H9" s="18">
        <v>256</v>
      </c>
      <c r="I9" s="18">
        <v>219</v>
      </c>
      <c r="J9" s="18">
        <v>498</v>
      </c>
      <c r="K9" s="18">
        <v>189</v>
      </c>
      <c r="L9" s="19">
        <v>171</v>
      </c>
    </row>
    <row r="10" spans="1:25">
      <c r="A10" s="14" t="s">
        <v>11</v>
      </c>
      <c r="B10" s="15">
        <v>33</v>
      </c>
      <c r="C10" s="15">
        <v>0</v>
      </c>
      <c r="D10" s="15">
        <v>62</v>
      </c>
      <c r="E10" s="15">
        <v>183</v>
      </c>
      <c r="F10" s="15">
        <v>37</v>
      </c>
      <c r="G10" s="15">
        <v>108</v>
      </c>
      <c r="H10" s="15">
        <v>79</v>
      </c>
      <c r="I10" s="15">
        <v>37</v>
      </c>
      <c r="J10" s="15">
        <v>116</v>
      </c>
      <c r="K10" s="15">
        <v>298</v>
      </c>
      <c r="L10" s="16">
        <v>166</v>
      </c>
    </row>
    <row r="11" spans="1:25">
      <c r="A11" s="17" t="s">
        <v>7</v>
      </c>
      <c r="B11" s="18">
        <v>0</v>
      </c>
      <c r="C11" s="18">
        <v>58</v>
      </c>
      <c r="D11" s="18">
        <v>446</v>
      </c>
      <c r="E11" s="18">
        <v>112</v>
      </c>
      <c r="F11" s="18">
        <v>322</v>
      </c>
      <c r="G11" s="18">
        <v>250</v>
      </c>
      <c r="H11" s="18">
        <v>211</v>
      </c>
      <c r="I11" s="18">
        <v>21</v>
      </c>
      <c r="J11" s="18">
        <v>0</v>
      </c>
      <c r="K11" s="18">
        <v>46</v>
      </c>
      <c r="L11" s="19">
        <v>106</v>
      </c>
    </row>
    <row r="12" spans="1:25">
      <c r="A12" s="14" t="s">
        <v>634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/>
      <c r="L12" s="16">
        <v>51</v>
      </c>
    </row>
    <row r="13" spans="1:25">
      <c r="A13" s="17" t="s">
        <v>9</v>
      </c>
      <c r="B13" s="18">
        <v>0</v>
      </c>
      <c r="C13" s="18">
        <v>73</v>
      </c>
      <c r="D13" s="18">
        <v>289</v>
      </c>
      <c r="E13" s="18">
        <v>233</v>
      </c>
      <c r="F13" s="18">
        <v>0</v>
      </c>
      <c r="G13" s="18">
        <v>56</v>
      </c>
      <c r="H13" s="18">
        <v>0</v>
      </c>
      <c r="I13" s="18">
        <v>0</v>
      </c>
      <c r="J13" s="18">
        <v>174</v>
      </c>
      <c r="K13" s="18"/>
      <c r="L13" s="19">
        <v>44</v>
      </c>
    </row>
    <row r="14" spans="1:25">
      <c r="A14" s="14" t="s">
        <v>17</v>
      </c>
      <c r="B14" s="15">
        <v>0</v>
      </c>
      <c r="C14" s="15">
        <v>0</v>
      </c>
      <c r="D14" s="15">
        <v>0</v>
      </c>
      <c r="E14" s="15">
        <v>0</v>
      </c>
      <c r="F14" s="15">
        <v>15</v>
      </c>
      <c r="G14" s="15">
        <v>0</v>
      </c>
      <c r="H14" s="15">
        <v>0</v>
      </c>
      <c r="I14" s="15">
        <v>0</v>
      </c>
      <c r="J14" s="15">
        <v>18</v>
      </c>
      <c r="K14" s="15">
        <v>74</v>
      </c>
      <c r="L14" s="16">
        <v>35</v>
      </c>
    </row>
    <row r="15" spans="1:25">
      <c r="A15" s="17" t="s">
        <v>635</v>
      </c>
      <c r="B15" s="18">
        <v>0</v>
      </c>
      <c r="C15" s="18">
        <v>0</v>
      </c>
      <c r="D15" s="18">
        <v>0</v>
      </c>
      <c r="E15" s="18">
        <v>23</v>
      </c>
      <c r="F15" s="18">
        <v>0</v>
      </c>
      <c r="G15" s="18">
        <v>7</v>
      </c>
      <c r="H15" s="18">
        <v>0</v>
      </c>
      <c r="I15" s="18">
        <v>0</v>
      </c>
      <c r="J15" s="18">
        <v>0</v>
      </c>
      <c r="K15" s="18">
        <v>9</v>
      </c>
      <c r="L15" s="19">
        <v>10</v>
      </c>
    </row>
    <row r="16" spans="1:25">
      <c r="A16" s="14" t="s">
        <v>29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/>
      <c r="L16" s="16">
        <v>8</v>
      </c>
    </row>
    <row r="17" spans="1:12">
      <c r="A17" s="17" t="s">
        <v>58</v>
      </c>
      <c r="B17" s="18">
        <v>0</v>
      </c>
      <c r="C17" s="18">
        <v>0</v>
      </c>
      <c r="D17" s="18">
        <v>151</v>
      </c>
      <c r="E17" s="18">
        <v>0</v>
      </c>
      <c r="F17" s="18">
        <v>59</v>
      </c>
      <c r="G17" s="18">
        <v>0</v>
      </c>
      <c r="H17" s="18">
        <v>5</v>
      </c>
      <c r="I17" s="18">
        <v>6</v>
      </c>
      <c r="J17" s="18">
        <v>2</v>
      </c>
      <c r="K17" s="18">
        <v>5</v>
      </c>
      <c r="L17" s="19">
        <v>5</v>
      </c>
    </row>
    <row r="18" spans="1:12">
      <c r="A18" s="14" t="s">
        <v>71</v>
      </c>
      <c r="B18" s="15">
        <v>0</v>
      </c>
      <c r="C18" s="15">
        <v>6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/>
      <c r="L18" s="16"/>
    </row>
    <row r="19" spans="1:12">
      <c r="A19" s="17" t="s">
        <v>10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146</v>
      </c>
      <c r="K19" s="18"/>
      <c r="L19" s="19"/>
    </row>
    <row r="20" spans="1:12">
      <c r="A20" s="14" t="s">
        <v>35</v>
      </c>
      <c r="B20" s="15">
        <v>0</v>
      </c>
      <c r="C20" s="15">
        <v>0</v>
      </c>
      <c r="D20" s="15">
        <v>0</v>
      </c>
      <c r="E20" s="15">
        <v>164</v>
      </c>
      <c r="F20" s="15">
        <v>527</v>
      </c>
      <c r="G20" s="15">
        <v>266</v>
      </c>
      <c r="H20" s="15">
        <v>81</v>
      </c>
      <c r="I20" s="15">
        <v>0</v>
      </c>
      <c r="J20" s="15">
        <v>97</v>
      </c>
      <c r="K20" s="15"/>
      <c r="L20" s="16"/>
    </row>
    <row r="21" spans="1:12">
      <c r="A21" s="17" t="s">
        <v>43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6</v>
      </c>
      <c r="K21" s="18"/>
      <c r="L21" s="19"/>
    </row>
    <row r="22" spans="1:12">
      <c r="A22" s="14" t="s">
        <v>20</v>
      </c>
      <c r="B22" s="15">
        <v>0</v>
      </c>
      <c r="C22" s="15">
        <v>21</v>
      </c>
      <c r="D22" s="15">
        <v>68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/>
      <c r="L22" s="16"/>
    </row>
    <row r="23" spans="1:12">
      <c r="A23" s="17" t="s">
        <v>5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8</v>
      </c>
      <c r="I23" s="18">
        <v>17</v>
      </c>
      <c r="J23" s="18">
        <v>0</v>
      </c>
      <c r="K23" s="18"/>
      <c r="L23" s="19"/>
    </row>
    <row r="24" spans="1:12">
      <c r="A24" s="14" t="s">
        <v>144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2</v>
      </c>
      <c r="L24" s="16"/>
    </row>
    <row r="25" spans="1:12">
      <c r="A25" s="17" t="s">
        <v>636</v>
      </c>
      <c r="B25" s="18">
        <v>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14</v>
      </c>
      <c r="I25" s="18">
        <v>0</v>
      </c>
      <c r="J25" s="18">
        <v>0</v>
      </c>
      <c r="K25" s="18"/>
      <c r="L25" s="19"/>
    </row>
    <row r="26" spans="1:12">
      <c r="A26" s="14" t="s">
        <v>36</v>
      </c>
      <c r="B26" s="15">
        <v>0</v>
      </c>
      <c r="C26" s="15">
        <v>0</v>
      </c>
      <c r="D26" s="15">
        <v>0</v>
      </c>
      <c r="E26" s="15">
        <v>3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/>
      <c r="L26" s="16"/>
    </row>
    <row r="27" spans="1:12">
      <c r="A27" s="17" t="s">
        <v>622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57</v>
      </c>
      <c r="H27" s="18">
        <v>0</v>
      </c>
      <c r="I27" s="18">
        <v>30</v>
      </c>
      <c r="J27" s="18">
        <v>91</v>
      </c>
      <c r="K27" s="18">
        <v>27</v>
      </c>
      <c r="L27" s="19"/>
    </row>
    <row r="28" spans="1:12">
      <c r="A28" s="14" t="s">
        <v>84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41</v>
      </c>
      <c r="H28" s="15">
        <v>267</v>
      </c>
      <c r="I28" s="15">
        <v>0</v>
      </c>
      <c r="J28" s="15">
        <v>0</v>
      </c>
      <c r="K28" s="15"/>
      <c r="L28" s="16"/>
    </row>
    <row r="29" spans="1:12">
      <c r="A29" s="17" t="s">
        <v>637</v>
      </c>
      <c r="B29" s="18">
        <v>0</v>
      </c>
      <c r="C29" s="18">
        <v>0</v>
      </c>
      <c r="D29" s="18">
        <v>0</v>
      </c>
      <c r="E29" s="18">
        <v>21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/>
      <c r="L29" s="19"/>
    </row>
    <row r="30" spans="1:12" ht="21.6">
      <c r="A30" s="14" t="s">
        <v>638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4</v>
      </c>
      <c r="I30" s="15">
        <v>0</v>
      </c>
      <c r="J30" s="15">
        <v>0</v>
      </c>
      <c r="K30" s="15"/>
      <c r="L30" s="16"/>
    </row>
    <row r="31" spans="1:12">
      <c r="A31" s="17" t="s">
        <v>639</v>
      </c>
      <c r="B31" s="18">
        <v>0</v>
      </c>
      <c r="C31" s="18">
        <v>0</v>
      </c>
      <c r="D31" s="18">
        <v>0</v>
      </c>
      <c r="E31" s="18">
        <v>25</v>
      </c>
      <c r="F31" s="18">
        <v>54</v>
      </c>
      <c r="G31" s="18">
        <v>0</v>
      </c>
      <c r="H31" s="18">
        <v>0</v>
      </c>
      <c r="I31" s="18">
        <v>0</v>
      </c>
      <c r="J31" s="18">
        <v>0</v>
      </c>
      <c r="K31" s="18"/>
      <c r="L31" s="19"/>
    </row>
    <row r="32" spans="1:12">
      <c r="A32" s="45" t="s">
        <v>4</v>
      </c>
      <c r="B32" s="46">
        <v>0</v>
      </c>
      <c r="C32" s="46">
        <v>0</v>
      </c>
      <c r="D32" s="46">
        <v>0</v>
      </c>
      <c r="E32" s="46">
        <v>0</v>
      </c>
      <c r="F32" s="46">
        <v>0</v>
      </c>
      <c r="G32" s="46">
        <v>0</v>
      </c>
      <c r="H32" s="46">
        <v>61</v>
      </c>
      <c r="I32" s="46">
        <v>0</v>
      </c>
      <c r="J32" s="46">
        <v>4</v>
      </c>
      <c r="K32" s="46"/>
      <c r="L32" s="47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FF426-3440-4C52-ADE4-FF51B6BC6EFB}">
  <dimension ref="A1:O5837"/>
  <sheetViews>
    <sheetView workbookViewId="0">
      <selection activeCell="B2" sqref="B2:H8"/>
    </sheetView>
  </sheetViews>
  <sheetFormatPr baseColWidth="10" defaultRowHeight="14.4"/>
  <cols>
    <col min="2" max="2" width="9.44140625" customWidth="1"/>
    <col min="3" max="3" width="47.33203125" style="248" customWidth="1"/>
    <col min="4" max="8" width="7.44140625" customWidth="1"/>
  </cols>
  <sheetData>
    <row r="1" spans="1:15">
      <c r="C1" s="249" t="s">
        <v>640</v>
      </c>
    </row>
    <row r="2" spans="1:15">
      <c r="B2" s="255" t="s">
        <v>11781</v>
      </c>
      <c r="C2" s="252" t="s">
        <v>5948</v>
      </c>
      <c r="D2" s="253">
        <v>2018</v>
      </c>
      <c r="E2" s="253">
        <v>2019</v>
      </c>
      <c r="F2" s="253">
        <v>2020</v>
      </c>
      <c r="G2" s="253">
        <v>2021</v>
      </c>
      <c r="H2" s="253">
        <v>2022</v>
      </c>
      <c r="J2" s="244"/>
      <c r="K2" s="243">
        <v>2018</v>
      </c>
      <c r="L2" s="243">
        <v>2019</v>
      </c>
      <c r="M2" s="243">
        <v>2020</v>
      </c>
      <c r="N2" s="243">
        <v>2021</v>
      </c>
      <c r="O2" s="243">
        <v>2022</v>
      </c>
    </row>
    <row r="3" spans="1:15">
      <c r="B3" s="256" t="s">
        <v>5956</v>
      </c>
      <c r="C3" s="190" t="s">
        <v>5949</v>
      </c>
      <c r="D3" s="254">
        <v>8269790</v>
      </c>
      <c r="E3" s="254">
        <v>6508600</v>
      </c>
      <c r="F3" s="254">
        <v>5928744</v>
      </c>
      <c r="G3" s="254">
        <v>7333740</v>
      </c>
      <c r="H3" s="254">
        <v>9272371</v>
      </c>
      <c r="J3" s="246" t="s">
        <v>5952</v>
      </c>
      <c r="K3" s="18">
        <v>307273</v>
      </c>
      <c r="L3" s="18">
        <v>518618</v>
      </c>
      <c r="M3" s="18">
        <v>553787</v>
      </c>
      <c r="N3" s="18">
        <v>727323</v>
      </c>
      <c r="O3" s="18">
        <v>857881</v>
      </c>
    </row>
    <row r="4" spans="1:15" ht="21.6">
      <c r="A4">
        <v>1</v>
      </c>
      <c r="B4" s="256">
        <v>81040</v>
      </c>
      <c r="C4" s="190" t="s">
        <v>641</v>
      </c>
      <c r="D4" s="254">
        <v>307273</v>
      </c>
      <c r="E4" s="254">
        <v>518618</v>
      </c>
      <c r="F4" s="254">
        <v>553787</v>
      </c>
      <c r="G4" s="254">
        <v>727323</v>
      </c>
      <c r="H4" s="254">
        <v>857881</v>
      </c>
      <c r="J4" s="245" t="s">
        <v>642</v>
      </c>
      <c r="K4" s="15">
        <v>402850</v>
      </c>
      <c r="L4" s="15">
        <v>422716</v>
      </c>
      <c r="M4" s="15">
        <v>598119</v>
      </c>
      <c r="N4" s="15">
        <v>616451</v>
      </c>
      <c r="O4" s="15">
        <v>847511</v>
      </c>
    </row>
    <row r="5" spans="1:15">
      <c r="A5">
        <v>2</v>
      </c>
      <c r="B5" s="257">
        <v>80610</v>
      </c>
      <c r="C5" s="190" t="s">
        <v>642</v>
      </c>
      <c r="D5" s="254">
        <v>402850</v>
      </c>
      <c r="E5" s="254">
        <v>422716</v>
      </c>
      <c r="F5" s="254">
        <v>598119</v>
      </c>
      <c r="G5" s="254">
        <v>616451</v>
      </c>
      <c r="H5" s="254">
        <v>847511</v>
      </c>
      <c r="J5" s="246" t="s">
        <v>5950</v>
      </c>
      <c r="K5" s="18">
        <v>125783</v>
      </c>
      <c r="L5" s="18">
        <v>60047</v>
      </c>
      <c r="M5" s="18">
        <v>100628</v>
      </c>
      <c r="N5" s="18">
        <v>266133</v>
      </c>
      <c r="O5" s="18">
        <v>472102</v>
      </c>
    </row>
    <row r="6" spans="1:15">
      <c r="A6">
        <v>3</v>
      </c>
      <c r="B6" s="256">
        <v>740311</v>
      </c>
      <c r="C6" s="190" t="s">
        <v>643</v>
      </c>
      <c r="D6" s="254">
        <v>125783</v>
      </c>
      <c r="E6" s="254">
        <v>60047</v>
      </c>
      <c r="F6" s="254">
        <v>100628</v>
      </c>
      <c r="G6" s="254">
        <v>266133</v>
      </c>
      <c r="H6" s="254">
        <v>472102</v>
      </c>
      <c r="J6" s="245" t="s">
        <v>5951</v>
      </c>
      <c r="K6" s="15">
        <v>363937</v>
      </c>
      <c r="L6" s="15">
        <v>331153</v>
      </c>
      <c r="M6" s="15">
        <v>159241</v>
      </c>
      <c r="N6" s="15">
        <v>285183</v>
      </c>
      <c r="O6" s="15">
        <v>409680</v>
      </c>
    </row>
    <row r="7" spans="1:15">
      <c r="A7">
        <v>4</v>
      </c>
      <c r="B7" s="256">
        <v>261390</v>
      </c>
      <c r="C7" s="190" t="s">
        <v>644</v>
      </c>
      <c r="D7" s="254">
        <v>363937</v>
      </c>
      <c r="E7" s="254">
        <v>331153</v>
      </c>
      <c r="F7" s="254">
        <v>159241</v>
      </c>
      <c r="G7" s="254">
        <v>285183</v>
      </c>
      <c r="H7" s="254">
        <v>409680</v>
      </c>
      <c r="J7" s="246" t="s">
        <v>645</v>
      </c>
      <c r="K7" s="18">
        <v>202929</v>
      </c>
      <c r="L7" s="18">
        <v>208333</v>
      </c>
      <c r="M7" s="18">
        <v>203098</v>
      </c>
      <c r="N7" s="18">
        <v>171411</v>
      </c>
      <c r="O7" s="18">
        <v>341423</v>
      </c>
    </row>
    <row r="8" spans="1:15">
      <c r="A8">
        <v>5</v>
      </c>
      <c r="B8" s="256">
        <v>90111</v>
      </c>
      <c r="C8" s="190" t="s">
        <v>645</v>
      </c>
      <c r="D8" s="254">
        <v>202929</v>
      </c>
      <c r="E8" s="254">
        <v>208333</v>
      </c>
      <c r="F8" s="254">
        <v>203098</v>
      </c>
      <c r="G8" s="254">
        <v>171411</v>
      </c>
      <c r="H8" s="254">
        <v>341423</v>
      </c>
      <c r="J8" s="245" t="s">
        <v>5953</v>
      </c>
      <c r="K8" s="15">
        <v>171915</v>
      </c>
      <c r="L8" s="15">
        <v>155854</v>
      </c>
      <c r="M8" s="15">
        <v>171571</v>
      </c>
      <c r="N8" s="15">
        <v>208940</v>
      </c>
      <c r="O8" s="15">
        <v>339464</v>
      </c>
    </row>
    <row r="9" spans="1:15" ht="21.6">
      <c r="A9">
        <v>6</v>
      </c>
      <c r="B9" s="256">
        <v>251010</v>
      </c>
      <c r="C9" s="190" t="s">
        <v>646</v>
      </c>
      <c r="D9" s="254">
        <v>171915</v>
      </c>
      <c r="E9" s="254">
        <v>155854</v>
      </c>
      <c r="F9" s="254">
        <v>171571</v>
      </c>
      <c r="G9" s="254">
        <v>208940</v>
      </c>
      <c r="H9" s="254">
        <v>339464</v>
      </c>
      <c r="J9" s="246" t="s">
        <v>647</v>
      </c>
      <c r="K9" s="18">
        <v>138262</v>
      </c>
      <c r="L9" s="18">
        <v>154669</v>
      </c>
      <c r="M9" s="18">
        <v>156515</v>
      </c>
      <c r="N9" s="18">
        <v>352261</v>
      </c>
      <c r="O9" s="18">
        <v>323791</v>
      </c>
    </row>
    <row r="10" spans="1:15">
      <c r="A10">
        <v>7</v>
      </c>
      <c r="B10" s="256">
        <v>800110</v>
      </c>
      <c r="C10" s="190" t="s">
        <v>647</v>
      </c>
      <c r="D10" s="254">
        <v>138262</v>
      </c>
      <c r="E10" s="254">
        <v>154669</v>
      </c>
      <c r="F10" s="254">
        <v>156515</v>
      </c>
      <c r="G10" s="254">
        <v>352261</v>
      </c>
      <c r="H10" s="254">
        <v>323791</v>
      </c>
      <c r="J10" s="245" t="s">
        <v>648</v>
      </c>
      <c r="K10" s="15">
        <v>321037</v>
      </c>
      <c r="L10" s="15">
        <v>315693</v>
      </c>
      <c r="M10" s="15">
        <v>327654</v>
      </c>
      <c r="N10" s="15">
        <v>332915</v>
      </c>
      <c r="O10" s="15">
        <v>309959</v>
      </c>
    </row>
    <row r="11" spans="1:15">
      <c r="A11">
        <v>8</v>
      </c>
      <c r="B11" s="256">
        <v>70920</v>
      </c>
      <c r="C11" s="190" t="s">
        <v>648</v>
      </c>
      <c r="D11" s="254">
        <v>321037</v>
      </c>
      <c r="E11" s="254">
        <v>315693</v>
      </c>
      <c r="F11" s="254">
        <v>327654</v>
      </c>
      <c r="G11" s="254">
        <v>332915</v>
      </c>
      <c r="H11" s="254">
        <v>309959</v>
      </c>
      <c r="J11" s="246" t="s">
        <v>5955</v>
      </c>
      <c r="K11" s="18">
        <v>197852</v>
      </c>
      <c r="L11" s="18">
        <v>246422</v>
      </c>
      <c r="M11" s="18">
        <v>190553</v>
      </c>
      <c r="N11" s="18">
        <v>201275</v>
      </c>
      <c r="O11" s="18">
        <v>301565</v>
      </c>
    </row>
    <row r="12" spans="1:15">
      <c r="A12">
        <v>9</v>
      </c>
      <c r="B12" s="256">
        <v>80440</v>
      </c>
      <c r="C12" s="190" t="s">
        <v>649</v>
      </c>
      <c r="D12" s="254">
        <v>197852</v>
      </c>
      <c r="E12" s="254">
        <v>246422</v>
      </c>
      <c r="F12" s="254">
        <v>190553</v>
      </c>
      <c r="G12" s="254">
        <v>201275</v>
      </c>
      <c r="H12" s="254">
        <v>301565</v>
      </c>
      <c r="J12" s="245" t="s">
        <v>5954</v>
      </c>
      <c r="K12" s="15">
        <v>196257</v>
      </c>
      <c r="L12" s="15">
        <v>199252</v>
      </c>
      <c r="M12" s="15">
        <v>149749</v>
      </c>
      <c r="N12" s="15">
        <v>228327</v>
      </c>
      <c r="O12" s="15">
        <v>262615</v>
      </c>
    </row>
    <row r="13" spans="1:15">
      <c r="A13">
        <v>10</v>
      </c>
      <c r="B13" s="256">
        <v>610910</v>
      </c>
      <c r="C13" s="190" t="s">
        <v>650</v>
      </c>
      <c r="D13" s="254">
        <v>196257</v>
      </c>
      <c r="E13" s="254">
        <v>199252</v>
      </c>
      <c r="F13" s="254">
        <v>149749</v>
      </c>
      <c r="G13" s="254">
        <v>228327</v>
      </c>
      <c r="H13" s="254">
        <v>262615</v>
      </c>
    </row>
    <row r="14" spans="1:15">
      <c r="B14" s="17" t="s">
        <v>5957</v>
      </c>
      <c r="C14" s="250" t="s">
        <v>651</v>
      </c>
      <c r="D14" s="251">
        <v>17958</v>
      </c>
      <c r="E14" s="251">
        <v>29386</v>
      </c>
      <c r="F14" s="251">
        <v>128239</v>
      </c>
      <c r="G14" s="251">
        <v>245075</v>
      </c>
      <c r="H14" s="251">
        <v>261413</v>
      </c>
    </row>
    <row r="15" spans="1:15">
      <c r="B15" s="14" t="s">
        <v>5958</v>
      </c>
      <c r="C15" s="245" t="s">
        <v>652</v>
      </c>
      <c r="D15" s="15">
        <v>121551</v>
      </c>
      <c r="E15" s="15">
        <v>164258</v>
      </c>
      <c r="F15" s="15">
        <v>171246</v>
      </c>
      <c r="G15" s="15">
        <v>306822</v>
      </c>
      <c r="H15" s="15">
        <v>243376</v>
      </c>
    </row>
    <row r="16" spans="1:15">
      <c r="B16" s="17" t="s">
        <v>5959</v>
      </c>
      <c r="C16" s="246" t="s">
        <v>653</v>
      </c>
      <c r="D16" s="18">
        <v>154358</v>
      </c>
      <c r="E16" s="18">
        <v>137934</v>
      </c>
      <c r="F16" s="18">
        <v>131457</v>
      </c>
      <c r="G16" s="18">
        <v>153009</v>
      </c>
      <c r="H16" s="18">
        <v>207575</v>
      </c>
    </row>
    <row r="17" spans="2:8">
      <c r="B17" s="14" t="s">
        <v>5960</v>
      </c>
      <c r="C17" s="245" t="s">
        <v>654</v>
      </c>
      <c r="D17" s="15">
        <v>97543</v>
      </c>
      <c r="E17" s="15">
        <v>90477</v>
      </c>
      <c r="F17" s="15">
        <v>145741</v>
      </c>
      <c r="G17" s="15">
        <v>123699</v>
      </c>
      <c r="H17" s="15">
        <v>205285</v>
      </c>
    </row>
    <row r="18" spans="2:8">
      <c r="B18" s="17" t="s">
        <v>5961</v>
      </c>
      <c r="C18" s="246" t="s">
        <v>655</v>
      </c>
      <c r="D18" s="18">
        <v>99258</v>
      </c>
      <c r="E18" s="18">
        <v>94792</v>
      </c>
      <c r="F18" s="18">
        <v>75827</v>
      </c>
      <c r="G18" s="18">
        <v>118586</v>
      </c>
      <c r="H18" s="18">
        <v>155929</v>
      </c>
    </row>
    <row r="19" spans="2:8">
      <c r="B19" s="14" t="s">
        <v>5962</v>
      </c>
      <c r="C19" s="245" t="s">
        <v>656</v>
      </c>
      <c r="D19" s="15">
        <v>106288</v>
      </c>
      <c r="E19" s="15">
        <v>152796</v>
      </c>
      <c r="F19" s="15">
        <v>95089</v>
      </c>
      <c r="G19" s="15">
        <v>104647</v>
      </c>
      <c r="H19" s="15">
        <v>140488</v>
      </c>
    </row>
    <row r="20" spans="2:8">
      <c r="B20" s="17" t="s">
        <v>5963</v>
      </c>
      <c r="C20" s="246" t="s">
        <v>657</v>
      </c>
      <c r="D20" s="18">
        <v>89451</v>
      </c>
      <c r="E20" s="18">
        <v>105038</v>
      </c>
      <c r="F20" s="18">
        <v>81076</v>
      </c>
      <c r="G20" s="18">
        <v>86435</v>
      </c>
      <c r="H20" s="18">
        <v>135288</v>
      </c>
    </row>
    <row r="21" spans="2:8">
      <c r="B21" s="14" t="s">
        <v>5964</v>
      </c>
      <c r="C21" s="245" t="s">
        <v>658</v>
      </c>
      <c r="D21" s="15">
        <v>95712</v>
      </c>
      <c r="E21" s="15">
        <v>36025</v>
      </c>
      <c r="F21" s="15">
        <v>55894</v>
      </c>
      <c r="G21" s="15">
        <v>89479</v>
      </c>
      <c r="H21" s="15">
        <v>134563</v>
      </c>
    </row>
    <row r="22" spans="2:8">
      <c r="B22" s="17" t="s">
        <v>5965</v>
      </c>
      <c r="C22" s="246" t="s">
        <v>659</v>
      </c>
      <c r="D22" s="18">
        <v>72375</v>
      </c>
      <c r="E22" s="18">
        <v>95936</v>
      </c>
      <c r="F22" s="18">
        <v>59995</v>
      </c>
      <c r="G22" s="18">
        <v>55097</v>
      </c>
      <c r="H22" s="18">
        <v>123952</v>
      </c>
    </row>
    <row r="23" spans="2:8">
      <c r="B23" s="14" t="s">
        <v>5966</v>
      </c>
      <c r="C23" s="245" t="s">
        <v>660</v>
      </c>
      <c r="D23" s="15">
        <v>71769</v>
      </c>
      <c r="E23" s="15">
        <v>76989</v>
      </c>
      <c r="F23" s="15">
        <v>98905</v>
      </c>
      <c r="G23" s="15">
        <v>105513</v>
      </c>
      <c r="H23" s="15">
        <v>116857</v>
      </c>
    </row>
    <row r="24" spans="2:8">
      <c r="B24" s="17" t="s">
        <v>5967</v>
      </c>
      <c r="C24" s="246" t="s">
        <v>661</v>
      </c>
      <c r="D24" s="18">
        <v>43185</v>
      </c>
      <c r="E24" s="18">
        <v>46678</v>
      </c>
      <c r="F24" s="18">
        <v>66718</v>
      </c>
      <c r="G24" s="18">
        <v>75437</v>
      </c>
      <c r="H24" s="18">
        <v>98447</v>
      </c>
    </row>
    <row r="25" spans="2:8">
      <c r="B25" s="14" t="s">
        <v>5968</v>
      </c>
      <c r="C25" s="245" t="s">
        <v>662</v>
      </c>
      <c r="D25" s="15">
        <v>1790051</v>
      </c>
      <c r="E25" s="15">
        <v>471233</v>
      </c>
      <c r="F25" s="15">
        <v>201404</v>
      </c>
      <c r="G25" s="15">
        <v>183908</v>
      </c>
      <c r="H25" s="15">
        <v>98308</v>
      </c>
    </row>
    <row r="26" spans="2:8">
      <c r="B26" s="17" t="s">
        <v>5969</v>
      </c>
      <c r="C26" s="246" t="s">
        <v>663</v>
      </c>
      <c r="D26" s="18">
        <v>66316</v>
      </c>
      <c r="E26" s="18">
        <v>79961</v>
      </c>
      <c r="F26" s="18">
        <v>81911</v>
      </c>
      <c r="G26" s="18">
        <v>87603</v>
      </c>
      <c r="H26" s="18">
        <v>97073</v>
      </c>
    </row>
    <row r="27" spans="2:8">
      <c r="B27" s="14" t="s">
        <v>5970</v>
      </c>
      <c r="C27" s="245" t="s">
        <v>664</v>
      </c>
      <c r="D27" s="15">
        <v>48301</v>
      </c>
      <c r="E27" s="15">
        <v>43173</v>
      </c>
      <c r="F27" s="15">
        <v>37597</v>
      </c>
      <c r="G27" s="15">
        <v>66610</v>
      </c>
      <c r="H27" s="15">
        <v>89719</v>
      </c>
    </row>
    <row r="28" spans="2:8">
      <c r="B28" s="17" t="s">
        <v>5971</v>
      </c>
      <c r="C28" s="246" t="s">
        <v>665</v>
      </c>
      <c r="D28" s="18">
        <v>35421</v>
      </c>
      <c r="E28" s="18">
        <v>47558</v>
      </c>
      <c r="F28" s="18">
        <v>41432</v>
      </c>
      <c r="G28" s="18">
        <v>68794</v>
      </c>
      <c r="H28" s="18">
        <v>79056</v>
      </c>
    </row>
    <row r="29" spans="2:8">
      <c r="B29" s="14" t="s">
        <v>5972</v>
      </c>
      <c r="C29" s="245" t="s">
        <v>666</v>
      </c>
      <c r="D29" s="15">
        <v>37444</v>
      </c>
      <c r="E29" s="15">
        <v>51298</v>
      </c>
      <c r="F29" s="15">
        <v>54563</v>
      </c>
      <c r="G29" s="15">
        <v>54965</v>
      </c>
      <c r="H29" s="15">
        <v>78291</v>
      </c>
    </row>
    <row r="30" spans="2:8">
      <c r="B30" s="17" t="s">
        <v>5973</v>
      </c>
      <c r="C30" s="246" t="s">
        <v>667</v>
      </c>
      <c r="D30" s="18">
        <v>14631</v>
      </c>
      <c r="E30" s="18">
        <v>14072</v>
      </c>
      <c r="F30" s="18">
        <v>18873</v>
      </c>
      <c r="G30" s="18">
        <v>47618</v>
      </c>
      <c r="H30" s="18">
        <v>74253</v>
      </c>
    </row>
    <row r="31" spans="2:8">
      <c r="B31" s="14" t="s">
        <v>5974</v>
      </c>
      <c r="C31" s="245" t="s">
        <v>668</v>
      </c>
      <c r="D31" s="15">
        <v>26017</v>
      </c>
      <c r="E31" s="15">
        <v>22980</v>
      </c>
      <c r="F31" s="15">
        <v>27245</v>
      </c>
      <c r="G31" s="15">
        <v>39842</v>
      </c>
      <c r="H31" s="15">
        <v>70746</v>
      </c>
    </row>
    <row r="32" spans="2:8">
      <c r="B32" s="17" t="s">
        <v>5975</v>
      </c>
      <c r="C32" s="246" t="s">
        <v>669</v>
      </c>
      <c r="D32" s="18">
        <v>68595</v>
      </c>
      <c r="E32" s="18">
        <v>60054</v>
      </c>
      <c r="F32" s="18">
        <v>40693</v>
      </c>
      <c r="G32" s="18">
        <v>52858</v>
      </c>
      <c r="H32" s="18">
        <v>68844</v>
      </c>
    </row>
    <row r="33" spans="2:8">
      <c r="B33" s="14" t="s">
        <v>5976</v>
      </c>
      <c r="C33" s="245" t="s">
        <v>670</v>
      </c>
      <c r="D33" s="15">
        <v>29454</v>
      </c>
      <c r="E33" s="15">
        <v>33636</v>
      </c>
      <c r="F33" s="15">
        <v>37105</v>
      </c>
      <c r="G33" s="15">
        <v>42050</v>
      </c>
      <c r="H33" s="15">
        <v>64175</v>
      </c>
    </row>
    <row r="34" spans="2:8">
      <c r="B34" s="17" t="s">
        <v>5977</v>
      </c>
      <c r="C34" s="246" t="s">
        <v>671</v>
      </c>
      <c r="D34" s="18">
        <v>475806</v>
      </c>
      <c r="E34" s="18">
        <v>173352</v>
      </c>
      <c r="F34" s="18">
        <v>35979</v>
      </c>
      <c r="G34" s="18">
        <v>32510</v>
      </c>
      <c r="H34" s="18">
        <v>57819</v>
      </c>
    </row>
    <row r="35" spans="2:8">
      <c r="B35" s="14" t="s">
        <v>5978</v>
      </c>
      <c r="C35" s="245" t="s">
        <v>672</v>
      </c>
      <c r="D35" s="15">
        <v>6852</v>
      </c>
      <c r="E35" s="15">
        <v>7631</v>
      </c>
      <c r="F35" s="15">
        <v>4617</v>
      </c>
      <c r="G35" s="15">
        <v>8329</v>
      </c>
      <c r="H35" s="15">
        <v>57788</v>
      </c>
    </row>
    <row r="36" spans="2:8">
      <c r="B36" s="17" t="s">
        <v>5979</v>
      </c>
      <c r="C36" s="246" t="s">
        <v>673</v>
      </c>
      <c r="D36" s="18">
        <v>25087</v>
      </c>
      <c r="E36" s="18">
        <v>26986</v>
      </c>
      <c r="F36" s="18">
        <v>32548</v>
      </c>
      <c r="G36" s="18">
        <v>33154</v>
      </c>
      <c r="H36" s="18">
        <v>43793</v>
      </c>
    </row>
    <row r="37" spans="2:8">
      <c r="B37" s="14" t="s">
        <v>5980</v>
      </c>
      <c r="C37" s="245" t="s">
        <v>674</v>
      </c>
      <c r="D37" s="15">
        <v>7292</v>
      </c>
      <c r="E37" s="15">
        <v>17054</v>
      </c>
      <c r="F37" s="15">
        <v>25607</v>
      </c>
      <c r="G37" s="15">
        <v>32052</v>
      </c>
      <c r="H37" s="15">
        <v>43306</v>
      </c>
    </row>
    <row r="38" spans="2:8">
      <c r="B38" s="17" t="s">
        <v>5981</v>
      </c>
      <c r="C38" s="246" t="s">
        <v>675</v>
      </c>
      <c r="D38" s="18">
        <v>21562</v>
      </c>
      <c r="E38" s="18">
        <v>20167</v>
      </c>
      <c r="F38" s="18">
        <v>44526</v>
      </c>
      <c r="G38" s="18">
        <v>48715</v>
      </c>
      <c r="H38" s="18">
        <v>42812</v>
      </c>
    </row>
    <row r="39" spans="2:8">
      <c r="B39" s="14" t="s">
        <v>5982</v>
      </c>
      <c r="C39" s="245" t="s">
        <v>676</v>
      </c>
      <c r="D39" s="15">
        <v>9935</v>
      </c>
      <c r="E39" s="15">
        <v>46279</v>
      </c>
      <c r="F39" s="15">
        <v>34906</v>
      </c>
      <c r="G39" s="15">
        <v>24071</v>
      </c>
      <c r="H39" s="15">
        <v>41954</v>
      </c>
    </row>
    <row r="40" spans="2:8">
      <c r="B40" s="17" t="s">
        <v>5983</v>
      </c>
      <c r="C40" s="246" t="s">
        <v>677</v>
      </c>
      <c r="D40" s="18">
        <v>22354</v>
      </c>
      <c r="E40" s="18">
        <v>22162</v>
      </c>
      <c r="F40" s="18">
        <v>21895</v>
      </c>
      <c r="G40" s="18">
        <v>26722</v>
      </c>
      <c r="H40" s="18">
        <v>41194</v>
      </c>
    </row>
    <row r="41" spans="2:8">
      <c r="B41" s="14" t="s">
        <v>5984</v>
      </c>
      <c r="C41" s="245" t="s">
        <v>678</v>
      </c>
      <c r="D41" s="15">
        <v>25602</v>
      </c>
      <c r="E41" s="15">
        <v>29666</v>
      </c>
      <c r="F41" s="15">
        <v>27816</v>
      </c>
      <c r="G41" s="15">
        <v>30962</v>
      </c>
      <c r="H41" s="15">
        <v>41107</v>
      </c>
    </row>
    <row r="42" spans="2:8">
      <c r="B42" s="17" t="s">
        <v>5985</v>
      </c>
      <c r="C42" s="246" t="s">
        <v>679</v>
      </c>
      <c r="D42" s="18">
        <v>90433</v>
      </c>
      <c r="E42" s="18">
        <v>58634</v>
      </c>
      <c r="F42" s="18">
        <v>51564</v>
      </c>
      <c r="G42" s="18">
        <v>46637</v>
      </c>
      <c r="H42" s="18">
        <v>38208</v>
      </c>
    </row>
    <row r="43" spans="2:8">
      <c r="B43" s="14" t="s">
        <v>5986</v>
      </c>
      <c r="C43" s="245" t="s">
        <v>680</v>
      </c>
      <c r="D43" s="15">
        <v>40119</v>
      </c>
      <c r="E43" s="15">
        <v>32686</v>
      </c>
      <c r="F43" s="15">
        <v>34226</v>
      </c>
      <c r="G43" s="15">
        <v>29725</v>
      </c>
      <c r="H43" s="15">
        <v>37605</v>
      </c>
    </row>
    <row r="44" spans="2:8">
      <c r="B44" s="17" t="s">
        <v>5987</v>
      </c>
      <c r="C44" s="246" t="s">
        <v>681</v>
      </c>
      <c r="D44" s="18">
        <v>21028</v>
      </c>
      <c r="E44" s="18">
        <v>24192</v>
      </c>
      <c r="F44" s="18">
        <v>28555</v>
      </c>
      <c r="G44" s="18">
        <v>45006</v>
      </c>
      <c r="H44" s="18">
        <v>36533</v>
      </c>
    </row>
    <row r="45" spans="2:8">
      <c r="B45" s="14" t="s">
        <v>5988</v>
      </c>
      <c r="C45" s="245" t="s">
        <v>682</v>
      </c>
      <c r="D45" s="15">
        <v>190123</v>
      </c>
      <c r="E45" s="15">
        <v>39306</v>
      </c>
      <c r="F45" s="15">
        <v>63572</v>
      </c>
      <c r="G45" s="15">
        <v>39122</v>
      </c>
      <c r="H45" s="15">
        <v>35172</v>
      </c>
    </row>
    <row r="46" spans="2:8">
      <c r="B46" s="17" t="s">
        <v>5989</v>
      </c>
      <c r="C46" s="246" t="s">
        <v>683</v>
      </c>
      <c r="D46" s="18">
        <v>42809</v>
      </c>
      <c r="E46" s="18">
        <v>44913</v>
      </c>
      <c r="F46" s="18">
        <v>42612</v>
      </c>
      <c r="G46" s="18">
        <v>33215</v>
      </c>
      <c r="H46" s="18">
        <v>35137</v>
      </c>
    </row>
    <row r="47" spans="2:8">
      <c r="B47" s="14" t="s">
        <v>5990</v>
      </c>
      <c r="C47" s="245" t="s">
        <v>684</v>
      </c>
      <c r="D47" s="15">
        <v>52489</v>
      </c>
      <c r="E47" s="15">
        <v>53040</v>
      </c>
      <c r="F47" s="15">
        <v>48790</v>
      </c>
      <c r="G47" s="15">
        <v>51139</v>
      </c>
      <c r="H47" s="15">
        <v>34514</v>
      </c>
    </row>
    <row r="48" spans="2:8">
      <c r="B48" s="17" t="s">
        <v>5991</v>
      </c>
      <c r="C48" s="246" t="s">
        <v>685</v>
      </c>
      <c r="D48" s="18">
        <v>24481</v>
      </c>
      <c r="E48" s="18">
        <v>20421</v>
      </c>
      <c r="F48" s="18">
        <v>20965</v>
      </c>
      <c r="G48" s="18">
        <v>32365</v>
      </c>
      <c r="H48" s="18">
        <v>33746</v>
      </c>
    </row>
    <row r="49" spans="2:8">
      <c r="B49" s="14" t="s">
        <v>5992</v>
      </c>
      <c r="C49" s="245" t="s">
        <v>655</v>
      </c>
      <c r="D49" s="15">
        <v>39096</v>
      </c>
      <c r="E49" s="15">
        <v>27658</v>
      </c>
      <c r="F49" s="15">
        <v>18275</v>
      </c>
      <c r="G49" s="15">
        <v>30659</v>
      </c>
      <c r="H49" s="15">
        <v>32666</v>
      </c>
    </row>
    <row r="50" spans="2:8">
      <c r="B50" s="17" t="s">
        <v>5993</v>
      </c>
      <c r="C50" s="246" t="s">
        <v>686</v>
      </c>
      <c r="D50" s="18">
        <v>602686</v>
      </c>
      <c r="E50" s="18">
        <v>347480</v>
      </c>
      <c r="F50" s="18">
        <v>140532</v>
      </c>
      <c r="G50" s="18">
        <v>47560</v>
      </c>
      <c r="H50" s="18">
        <v>30556</v>
      </c>
    </row>
    <row r="51" spans="2:8">
      <c r="B51" s="14" t="s">
        <v>5994</v>
      </c>
      <c r="C51" s="245" t="s">
        <v>687</v>
      </c>
      <c r="D51" s="15">
        <v>112</v>
      </c>
      <c r="E51" s="15">
        <v>34</v>
      </c>
      <c r="F51" s="15">
        <v>1507</v>
      </c>
      <c r="G51" s="15">
        <v>5321</v>
      </c>
      <c r="H51" s="15">
        <v>29307</v>
      </c>
    </row>
    <row r="52" spans="2:8">
      <c r="B52" s="17" t="s">
        <v>5995</v>
      </c>
      <c r="C52" s="246" t="s">
        <v>688</v>
      </c>
      <c r="D52" s="18">
        <v>0</v>
      </c>
      <c r="E52" s="18">
        <v>0</v>
      </c>
      <c r="F52" s="18">
        <v>0</v>
      </c>
      <c r="G52" s="18">
        <v>0</v>
      </c>
      <c r="H52" s="18">
        <v>28913</v>
      </c>
    </row>
    <row r="53" spans="2:8">
      <c r="B53" s="14" t="s">
        <v>5996</v>
      </c>
      <c r="C53" s="245" t="s">
        <v>689</v>
      </c>
      <c r="D53" s="15">
        <v>6128</v>
      </c>
      <c r="E53" s="15">
        <v>9241</v>
      </c>
      <c r="F53" s="15">
        <v>19633</v>
      </c>
      <c r="G53" s="15">
        <v>25534</v>
      </c>
      <c r="H53" s="15">
        <v>28225</v>
      </c>
    </row>
    <row r="54" spans="2:8">
      <c r="B54" s="17" t="s">
        <v>5997</v>
      </c>
      <c r="C54" s="246" t="s">
        <v>690</v>
      </c>
      <c r="D54" s="18">
        <v>29864</v>
      </c>
      <c r="E54" s="18">
        <v>30727</v>
      </c>
      <c r="F54" s="18">
        <v>28553</v>
      </c>
      <c r="G54" s="18">
        <v>29484</v>
      </c>
      <c r="H54" s="18">
        <v>27036</v>
      </c>
    </row>
    <row r="55" spans="2:8">
      <c r="B55" s="14" t="s">
        <v>5998</v>
      </c>
      <c r="C55" s="245" t="s">
        <v>691</v>
      </c>
      <c r="D55" s="15">
        <v>0</v>
      </c>
      <c r="E55" s="15">
        <v>6958</v>
      </c>
      <c r="F55" s="15">
        <v>13313</v>
      </c>
      <c r="G55" s="15">
        <v>17392</v>
      </c>
      <c r="H55" s="15">
        <v>25320</v>
      </c>
    </row>
    <row r="56" spans="2:8">
      <c r="B56" s="17" t="s">
        <v>5999</v>
      </c>
      <c r="C56" s="246" t="s">
        <v>692</v>
      </c>
      <c r="D56" s="18">
        <v>12699</v>
      </c>
      <c r="E56" s="18">
        <v>12908</v>
      </c>
      <c r="F56" s="18">
        <v>17977</v>
      </c>
      <c r="G56" s="18">
        <v>15483</v>
      </c>
      <c r="H56" s="18">
        <v>24994</v>
      </c>
    </row>
    <row r="57" spans="2:8">
      <c r="B57" s="14" t="s">
        <v>6000</v>
      </c>
      <c r="C57" s="245" t="s">
        <v>693</v>
      </c>
      <c r="D57" s="15">
        <v>21496</v>
      </c>
      <c r="E57" s="15">
        <v>17416</v>
      </c>
      <c r="F57" s="15">
        <v>14754</v>
      </c>
      <c r="G57" s="15">
        <v>21659</v>
      </c>
      <c r="H57" s="15">
        <v>24781</v>
      </c>
    </row>
    <row r="58" spans="2:8">
      <c r="B58" s="17" t="s">
        <v>6001</v>
      </c>
      <c r="C58" s="246" t="s">
        <v>694</v>
      </c>
      <c r="D58" s="18">
        <v>16612</v>
      </c>
      <c r="E58" s="18">
        <v>18037</v>
      </c>
      <c r="F58" s="18">
        <v>17353</v>
      </c>
      <c r="G58" s="18">
        <v>22427</v>
      </c>
      <c r="H58" s="18">
        <v>24226</v>
      </c>
    </row>
    <row r="59" spans="2:8">
      <c r="B59" s="14" t="s">
        <v>6002</v>
      </c>
      <c r="C59" s="245" t="s">
        <v>695</v>
      </c>
      <c r="D59" s="15">
        <v>15961</v>
      </c>
      <c r="E59" s="15">
        <v>15627</v>
      </c>
      <c r="F59" s="15">
        <v>10079</v>
      </c>
      <c r="G59" s="15">
        <v>14618</v>
      </c>
      <c r="H59" s="15">
        <v>22286</v>
      </c>
    </row>
    <row r="60" spans="2:8">
      <c r="B60" s="17" t="s">
        <v>6003</v>
      </c>
      <c r="C60" s="246" t="s">
        <v>696</v>
      </c>
      <c r="D60" s="18">
        <v>7416</v>
      </c>
      <c r="E60" s="18">
        <v>7880</v>
      </c>
      <c r="F60" s="18">
        <v>9090</v>
      </c>
      <c r="G60" s="18">
        <v>15168</v>
      </c>
      <c r="H60" s="18">
        <v>21887</v>
      </c>
    </row>
    <row r="61" spans="2:8">
      <c r="B61" s="14" t="s">
        <v>6004</v>
      </c>
      <c r="C61" s="245" t="s">
        <v>697</v>
      </c>
      <c r="D61" s="15">
        <v>13656</v>
      </c>
      <c r="E61" s="15">
        <v>15577</v>
      </c>
      <c r="F61" s="15">
        <v>8731</v>
      </c>
      <c r="G61" s="15">
        <v>10085</v>
      </c>
      <c r="H61" s="15">
        <v>21845</v>
      </c>
    </row>
    <row r="62" spans="2:8">
      <c r="B62" s="17" t="s">
        <v>6005</v>
      </c>
      <c r="C62" s="246" t="s">
        <v>698</v>
      </c>
      <c r="D62" s="18">
        <v>13452</v>
      </c>
      <c r="E62" s="18">
        <v>15050</v>
      </c>
      <c r="F62" s="18">
        <v>14672</v>
      </c>
      <c r="G62" s="18">
        <v>26003</v>
      </c>
      <c r="H62" s="18">
        <v>21609</v>
      </c>
    </row>
    <row r="63" spans="2:8">
      <c r="B63" s="14" t="s">
        <v>6006</v>
      </c>
      <c r="C63" s="245" t="s">
        <v>699</v>
      </c>
      <c r="D63" s="15">
        <v>9912</v>
      </c>
      <c r="E63" s="15">
        <v>9274</v>
      </c>
      <c r="F63" s="15">
        <v>7040</v>
      </c>
      <c r="G63" s="15">
        <v>19151</v>
      </c>
      <c r="H63" s="15">
        <v>21319</v>
      </c>
    </row>
    <row r="64" spans="2:8">
      <c r="B64" s="17" t="s">
        <v>6007</v>
      </c>
      <c r="C64" s="246" t="s">
        <v>700</v>
      </c>
      <c r="D64" s="18">
        <v>64039</v>
      </c>
      <c r="E64" s="18">
        <v>44147</v>
      </c>
      <c r="F64" s="18">
        <v>37937</v>
      </c>
      <c r="G64" s="18">
        <v>29436</v>
      </c>
      <c r="H64" s="18">
        <v>20340</v>
      </c>
    </row>
    <row r="65" spans="2:8">
      <c r="B65" s="14" t="s">
        <v>6008</v>
      </c>
      <c r="C65" s="245" t="s">
        <v>701</v>
      </c>
      <c r="D65" s="15">
        <v>15169</v>
      </c>
      <c r="E65" s="15">
        <v>15502</v>
      </c>
      <c r="F65" s="15">
        <v>21900</v>
      </c>
      <c r="G65" s="15">
        <v>22631</v>
      </c>
      <c r="H65" s="15">
        <v>19845</v>
      </c>
    </row>
    <row r="66" spans="2:8">
      <c r="B66" s="17" t="s">
        <v>6009</v>
      </c>
      <c r="C66" s="246" t="s">
        <v>702</v>
      </c>
      <c r="D66" s="18">
        <v>14326</v>
      </c>
      <c r="E66" s="18">
        <v>9200</v>
      </c>
      <c r="F66" s="18">
        <v>7545</v>
      </c>
      <c r="G66" s="18">
        <v>18534</v>
      </c>
      <c r="H66" s="18">
        <v>19666</v>
      </c>
    </row>
    <row r="67" spans="2:8">
      <c r="B67" s="14" t="s">
        <v>6010</v>
      </c>
      <c r="C67" s="245" t="s">
        <v>703</v>
      </c>
      <c r="D67" s="15">
        <v>11524</v>
      </c>
      <c r="E67" s="15">
        <v>11723</v>
      </c>
      <c r="F67" s="15">
        <v>8236</v>
      </c>
      <c r="G67" s="15">
        <v>15683</v>
      </c>
      <c r="H67" s="15">
        <v>18830</v>
      </c>
    </row>
    <row r="68" spans="2:8">
      <c r="B68" s="17" t="s">
        <v>6011</v>
      </c>
      <c r="C68" s="246" t="s">
        <v>704</v>
      </c>
      <c r="D68" s="18">
        <v>10329</v>
      </c>
      <c r="E68" s="18">
        <v>12582</v>
      </c>
      <c r="F68" s="18">
        <v>11073</v>
      </c>
      <c r="G68" s="18">
        <v>15500</v>
      </c>
      <c r="H68" s="18">
        <v>18808</v>
      </c>
    </row>
    <row r="69" spans="2:8">
      <c r="B69" s="14" t="s">
        <v>6012</v>
      </c>
      <c r="C69" s="245" t="s">
        <v>705</v>
      </c>
      <c r="D69" s="15">
        <v>8183</v>
      </c>
      <c r="E69" s="15">
        <v>11149</v>
      </c>
      <c r="F69" s="15">
        <v>10625</v>
      </c>
      <c r="G69" s="15">
        <v>13042</v>
      </c>
      <c r="H69" s="15">
        <v>18345</v>
      </c>
    </row>
    <row r="70" spans="2:8">
      <c r="B70" s="17" t="s">
        <v>6013</v>
      </c>
      <c r="C70" s="246" t="s">
        <v>706</v>
      </c>
      <c r="D70" s="18">
        <v>10958</v>
      </c>
      <c r="E70" s="18">
        <v>8546</v>
      </c>
      <c r="F70" s="18">
        <v>16831</v>
      </c>
      <c r="G70" s="18">
        <v>7253</v>
      </c>
      <c r="H70" s="18">
        <v>17959</v>
      </c>
    </row>
    <row r="71" spans="2:8">
      <c r="B71" s="14" t="s">
        <v>6014</v>
      </c>
      <c r="C71" s="245" t="s">
        <v>707</v>
      </c>
      <c r="D71" s="15">
        <v>6245</v>
      </c>
      <c r="E71" s="15">
        <v>7063</v>
      </c>
      <c r="F71" s="15">
        <v>7363</v>
      </c>
      <c r="G71" s="15">
        <v>9925</v>
      </c>
      <c r="H71" s="15">
        <v>17606</v>
      </c>
    </row>
    <row r="72" spans="2:8">
      <c r="B72" s="17" t="s">
        <v>6015</v>
      </c>
      <c r="C72" s="246" t="s">
        <v>708</v>
      </c>
      <c r="D72" s="18">
        <v>9632</v>
      </c>
      <c r="E72" s="18">
        <v>9852</v>
      </c>
      <c r="F72" s="18">
        <v>12060</v>
      </c>
      <c r="G72" s="18">
        <v>12216</v>
      </c>
      <c r="H72" s="18">
        <v>16709</v>
      </c>
    </row>
    <row r="73" spans="2:8">
      <c r="B73" s="14" t="s">
        <v>6016</v>
      </c>
      <c r="C73" s="245" t="s">
        <v>709</v>
      </c>
      <c r="D73" s="15">
        <v>20923</v>
      </c>
      <c r="E73" s="15">
        <v>20821</v>
      </c>
      <c r="F73" s="15">
        <v>21396</v>
      </c>
      <c r="G73" s="15">
        <v>14709</v>
      </c>
      <c r="H73" s="15">
        <v>16580</v>
      </c>
    </row>
    <row r="74" spans="2:8">
      <c r="B74" s="17" t="s">
        <v>6017</v>
      </c>
      <c r="C74" s="246" t="s">
        <v>710</v>
      </c>
      <c r="D74" s="18">
        <v>5103</v>
      </c>
      <c r="E74" s="18">
        <v>4421</v>
      </c>
      <c r="F74" s="18">
        <v>3769</v>
      </c>
      <c r="G74" s="18">
        <v>8890</v>
      </c>
      <c r="H74" s="18">
        <v>15784</v>
      </c>
    </row>
    <row r="75" spans="2:8">
      <c r="B75" s="14" t="s">
        <v>6018</v>
      </c>
      <c r="C75" s="245" t="s">
        <v>711</v>
      </c>
      <c r="D75" s="15">
        <v>6729</v>
      </c>
      <c r="E75" s="15">
        <v>5522</v>
      </c>
      <c r="F75" s="15">
        <v>5006</v>
      </c>
      <c r="G75" s="15">
        <v>7602</v>
      </c>
      <c r="H75" s="15">
        <v>15607</v>
      </c>
    </row>
    <row r="76" spans="2:8">
      <c r="B76" s="17" t="s">
        <v>6019</v>
      </c>
      <c r="C76" s="246" t="s">
        <v>712</v>
      </c>
      <c r="D76" s="18">
        <v>8236</v>
      </c>
      <c r="E76" s="18">
        <v>9016</v>
      </c>
      <c r="F76" s="18">
        <v>5726</v>
      </c>
      <c r="G76" s="18">
        <v>11245</v>
      </c>
      <c r="H76" s="18">
        <v>15298</v>
      </c>
    </row>
    <row r="77" spans="2:8">
      <c r="B77" s="14" t="s">
        <v>6020</v>
      </c>
      <c r="C77" s="245" t="s">
        <v>713</v>
      </c>
      <c r="D77" s="15">
        <v>7969</v>
      </c>
      <c r="E77" s="15">
        <v>7595</v>
      </c>
      <c r="F77" s="15">
        <v>6744</v>
      </c>
      <c r="G77" s="15">
        <v>13462</v>
      </c>
      <c r="H77" s="15">
        <v>15034</v>
      </c>
    </row>
    <row r="78" spans="2:8">
      <c r="B78" s="17" t="s">
        <v>6021</v>
      </c>
      <c r="C78" s="246" t="s">
        <v>714</v>
      </c>
      <c r="D78" s="18">
        <v>1549</v>
      </c>
      <c r="E78" s="18">
        <v>2105</v>
      </c>
      <c r="F78" s="18">
        <v>1545</v>
      </c>
      <c r="G78" s="18">
        <v>2027</v>
      </c>
      <c r="H78" s="18">
        <v>14990</v>
      </c>
    </row>
    <row r="79" spans="2:8">
      <c r="B79" s="14" t="s">
        <v>6022</v>
      </c>
      <c r="C79" s="245" t="s">
        <v>715</v>
      </c>
      <c r="D79" s="15">
        <v>3485</v>
      </c>
      <c r="E79" s="15">
        <v>10100</v>
      </c>
      <c r="F79" s="15">
        <v>9228</v>
      </c>
      <c r="G79" s="15">
        <v>14181</v>
      </c>
      <c r="H79" s="15">
        <v>14741</v>
      </c>
    </row>
    <row r="80" spans="2:8">
      <c r="B80" s="17" t="s">
        <v>6023</v>
      </c>
      <c r="C80" s="246" t="s">
        <v>716</v>
      </c>
      <c r="D80" s="18">
        <v>10397</v>
      </c>
      <c r="E80" s="18">
        <v>8399</v>
      </c>
      <c r="F80" s="18">
        <v>9585</v>
      </c>
      <c r="G80" s="18">
        <v>10155</v>
      </c>
      <c r="H80" s="18">
        <v>14672</v>
      </c>
    </row>
    <row r="81" spans="2:8">
      <c r="B81" s="14" t="s">
        <v>6024</v>
      </c>
      <c r="C81" s="245" t="s">
        <v>717</v>
      </c>
      <c r="D81" s="15">
        <v>25061</v>
      </c>
      <c r="E81" s="15">
        <v>24764</v>
      </c>
      <c r="F81" s="15">
        <v>18500</v>
      </c>
      <c r="G81" s="15">
        <v>13639</v>
      </c>
      <c r="H81" s="15">
        <v>14636</v>
      </c>
    </row>
    <row r="82" spans="2:8">
      <c r="B82" s="17" t="s">
        <v>6025</v>
      </c>
      <c r="C82" s="246" t="s">
        <v>718</v>
      </c>
      <c r="D82" s="18">
        <v>6191</v>
      </c>
      <c r="E82" s="18">
        <v>10256</v>
      </c>
      <c r="F82" s="18">
        <v>6806</v>
      </c>
      <c r="G82" s="18">
        <v>11686</v>
      </c>
      <c r="H82" s="18">
        <v>14553</v>
      </c>
    </row>
    <row r="83" spans="2:8">
      <c r="B83" s="14" t="s">
        <v>6026</v>
      </c>
      <c r="C83" s="245" t="s">
        <v>719</v>
      </c>
      <c r="D83" s="15">
        <v>10363</v>
      </c>
      <c r="E83" s="15">
        <v>7296</v>
      </c>
      <c r="F83" s="15">
        <v>8420</v>
      </c>
      <c r="G83" s="15">
        <v>10894</v>
      </c>
      <c r="H83" s="15">
        <v>14259</v>
      </c>
    </row>
    <row r="84" spans="2:8">
      <c r="B84" s="17" t="s">
        <v>6027</v>
      </c>
      <c r="C84" s="246" t="s">
        <v>720</v>
      </c>
      <c r="D84" s="18">
        <v>720</v>
      </c>
      <c r="E84" s="18">
        <v>2312</v>
      </c>
      <c r="F84" s="18">
        <v>1711</v>
      </c>
      <c r="G84" s="18">
        <v>5456</v>
      </c>
      <c r="H84" s="18">
        <v>13689</v>
      </c>
    </row>
    <row r="85" spans="2:8">
      <c r="B85" s="14" t="s">
        <v>6028</v>
      </c>
      <c r="C85" s="245" t="s">
        <v>721</v>
      </c>
      <c r="D85" s="15">
        <v>15170</v>
      </c>
      <c r="E85" s="15">
        <v>18067</v>
      </c>
      <c r="F85" s="15">
        <v>11398</v>
      </c>
      <c r="G85" s="15">
        <v>11690</v>
      </c>
      <c r="H85" s="15">
        <v>13447</v>
      </c>
    </row>
    <row r="86" spans="2:8">
      <c r="B86" s="17" t="s">
        <v>6029</v>
      </c>
      <c r="C86" s="246" t="s">
        <v>722</v>
      </c>
      <c r="D86" s="18">
        <v>8795</v>
      </c>
      <c r="E86" s="18">
        <v>7046</v>
      </c>
      <c r="F86" s="18">
        <v>6339</v>
      </c>
      <c r="G86" s="18">
        <v>4815</v>
      </c>
      <c r="H86" s="18">
        <v>13413</v>
      </c>
    </row>
    <row r="87" spans="2:8">
      <c r="B87" s="14" t="s">
        <v>6030</v>
      </c>
      <c r="C87" s="245" t="s">
        <v>723</v>
      </c>
      <c r="D87" s="15">
        <v>8647</v>
      </c>
      <c r="E87" s="15">
        <v>7369</v>
      </c>
      <c r="F87" s="15">
        <v>6819</v>
      </c>
      <c r="G87" s="15">
        <v>9168</v>
      </c>
      <c r="H87" s="15">
        <v>12863</v>
      </c>
    </row>
    <row r="88" spans="2:8">
      <c r="B88" s="17" t="s">
        <v>6031</v>
      </c>
      <c r="C88" s="246" t="s">
        <v>724</v>
      </c>
      <c r="D88" s="18">
        <v>8774</v>
      </c>
      <c r="E88" s="18">
        <v>8354</v>
      </c>
      <c r="F88" s="18">
        <v>8421</v>
      </c>
      <c r="G88" s="18">
        <v>10190</v>
      </c>
      <c r="H88" s="18">
        <v>12761</v>
      </c>
    </row>
    <row r="89" spans="2:8">
      <c r="B89" s="14" t="s">
        <v>6032</v>
      </c>
      <c r="C89" s="245" t="s">
        <v>725</v>
      </c>
      <c r="D89" s="15">
        <v>5612</v>
      </c>
      <c r="E89" s="15">
        <v>6731</v>
      </c>
      <c r="F89" s="15">
        <v>5150</v>
      </c>
      <c r="G89" s="15">
        <v>6893</v>
      </c>
      <c r="H89" s="15">
        <v>12126</v>
      </c>
    </row>
    <row r="90" spans="2:8">
      <c r="B90" s="17" t="s">
        <v>6033</v>
      </c>
      <c r="C90" s="246" t="s">
        <v>726</v>
      </c>
      <c r="D90" s="18">
        <v>12352</v>
      </c>
      <c r="E90" s="18">
        <v>15208</v>
      </c>
      <c r="F90" s="18">
        <v>22478</v>
      </c>
      <c r="G90" s="18">
        <v>16809</v>
      </c>
      <c r="H90" s="18">
        <v>11960</v>
      </c>
    </row>
    <row r="91" spans="2:8">
      <c r="B91" s="14" t="s">
        <v>6034</v>
      </c>
      <c r="C91" s="245" t="s">
        <v>727</v>
      </c>
      <c r="D91" s="15">
        <v>953</v>
      </c>
      <c r="E91" s="15">
        <v>956</v>
      </c>
      <c r="F91" s="15">
        <v>3467</v>
      </c>
      <c r="G91" s="15">
        <v>3933</v>
      </c>
      <c r="H91" s="15">
        <v>11585</v>
      </c>
    </row>
    <row r="92" spans="2:8">
      <c r="B92" s="17" t="s">
        <v>6035</v>
      </c>
      <c r="C92" s="246" t="s">
        <v>728</v>
      </c>
      <c r="D92" s="18">
        <v>3653</v>
      </c>
      <c r="E92" s="18">
        <v>4875</v>
      </c>
      <c r="F92" s="18">
        <v>5083</v>
      </c>
      <c r="G92" s="18">
        <v>6771</v>
      </c>
      <c r="H92" s="18">
        <v>11412</v>
      </c>
    </row>
    <row r="93" spans="2:8">
      <c r="B93" s="14" t="s">
        <v>6036</v>
      </c>
      <c r="C93" s="245" t="s">
        <v>729</v>
      </c>
      <c r="D93" s="15">
        <v>11493</v>
      </c>
      <c r="E93" s="15">
        <v>6792</v>
      </c>
      <c r="F93" s="15">
        <v>9046</v>
      </c>
      <c r="G93" s="15">
        <v>10951</v>
      </c>
      <c r="H93" s="15">
        <v>11340</v>
      </c>
    </row>
    <row r="94" spans="2:8">
      <c r="B94" s="17" t="s">
        <v>6037</v>
      </c>
      <c r="C94" s="246" t="s">
        <v>730</v>
      </c>
      <c r="D94" s="18">
        <v>3744</v>
      </c>
      <c r="E94" s="18">
        <v>3932</v>
      </c>
      <c r="F94" s="18">
        <v>6202</v>
      </c>
      <c r="G94" s="18">
        <v>9887</v>
      </c>
      <c r="H94" s="18">
        <v>11101</v>
      </c>
    </row>
    <row r="95" spans="2:8">
      <c r="B95" s="14" t="s">
        <v>6038</v>
      </c>
      <c r="C95" s="245" t="s">
        <v>731</v>
      </c>
      <c r="D95" s="15">
        <v>6774</v>
      </c>
      <c r="E95" s="15">
        <v>6938</v>
      </c>
      <c r="F95" s="15">
        <v>8091</v>
      </c>
      <c r="G95" s="15">
        <v>7051</v>
      </c>
      <c r="H95" s="15">
        <v>10250</v>
      </c>
    </row>
    <row r="96" spans="2:8">
      <c r="B96" s="17" t="s">
        <v>6039</v>
      </c>
      <c r="C96" s="246" t="s">
        <v>732</v>
      </c>
      <c r="D96" s="18">
        <v>2060</v>
      </c>
      <c r="E96" s="18">
        <v>1896</v>
      </c>
      <c r="F96" s="18">
        <v>2420</v>
      </c>
      <c r="G96" s="18">
        <v>10408</v>
      </c>
      <c r="H96" s="18">
        <v>10142</v>
      </c>
    </row>
    <row r="97" spans="2:8">
      <c r="B97" s="14" t="s">
        <v>6040</v>
      </c>
      <c r="C97" s="245" t="s">
        <v>733</v>
      </c>
      <c r="D97" s="15">
        <v>7856</v>
      </c>
      <c r="E97" s="15">
        <v>7854</v>
      </c>
      <c r="F97" s="15">
        <v>5582</v>
      </c>
      <c r="G97" s="15">
        <v>12380</v>
      </c>
      <c r="H97" s="15">
        <v>10140</v>
      </c>
    </row>
    <row r="98" spans="2:8">
      <c r="B98" s="17" t="s">
        <v>6041</v>
      </c>
      <c r="C98" s="246" t="s">
        <v>734</v>
      </c>
      <c r="D98" s="18">
        <v>11617</v>
      </c>
      <c r="E98" s="18">
        <v>7458</v>
      </c>
      <c r="F98" s="18">
        <v>9876</v>
      </c>
      <c r="G98" s="18">
        <v>11486</v>
      </c>
      <c r="H98" s="18">
        <v>10035</v>
      </c>
    </row>
    <row r="99" spans="2:8">
      <c r="B99" s="14" t="s">
        <v>6042</v>
      </c>
      <c r="C99" s="245" t="s">
        <v>735</v>
      </c>
      <c r="D99" s="15">
        <v>434</v>
      </c>
      <c r="E99" s="15">
        <v>1436</v>
      </c>
      <c r="F99" s="15">
        <v>1293</v>
      </c>
      <c r="G99" s="15">
        <v>2952</v>
      </c>
      <c r="H99" s="15">
        <v>10013</v>
      </c>
    </row>
    <row r="100" spans="2:8">
      <c r="B100" s="17" t="s">
        <v>6043</v>
      </c>
      <c r="C100" s="246" t="s">
        <v>736</v>
      </c>
      <c r="D100" s="18">
        <v>8429</v>
      </c>
      <c r="E100" s="18">
        <v>4808</v>
      </c>
      <c r="F100" s="18">
        <v>5668</v>
      </c>
      <c r="G100" s="18">
        <v>4489</v>
      </c>
      <c r="H100" s="18">
        <v>9839</v>
      </c>
    </row>
    <row r="101" spans="2:8">
      <c r="B101" s="14" t="s">
        <v>6044</v>
      </c>
      <c r="C101" s="245" t="s">
        <v>737</v>
      </c>
      <c r="D101" s="15">
        <v>9077</v>
      </c>
      <c r="E101" s="15">
        <v>15788</v>
      </c>
      <c r="F101" s="15">
        <v>19666</v>
      </c>
      <c r="G101" s="15">
        <v>35743</v>
      </c>
      <c r="H101" s="15">
        <v>9776</v>
      </c>
    </row>
    <row r="102" spans="2:8">
      <c r="B102" s="17" t="s">
        <v>6045</v>
      </c>
      <c r="C102" s="246" t="s">
        <v>738</v>
      </c>
      <c r="D102" s="18">
        <v>6031</v>
      </c>
      <c r="E102" s="18">
        <v>6844</v>
      </c>
      <c r="F102" s="18">
        <v>6677</v>
      </c>
      <c r="G102" s="18">
        <v>8566</v>
      </c>
      <c r="H102" s="18">
        <v>9733</v>
      </c>
    </row>
    <row r="103" spans="2:8">
      <c r="B103" s="14" t="s">
        <v>6046</v>
      </c>
      <c r="C103" s="245" t="s">
        <v>739</v>
      </c>
      <c r="D103" s="15">
        <v>5286</v>
      </c>
      <c r="E103" s="15">
        <v>4519</v>
      </c>
      <c r="F103" s="15">
        <v>6955</v>
      </c>
      <c r="G103" s="15">
        <v>7432</v>
      </c>
      <c r="H103" s="15">
        <v>9300</v>
      </c>
    </row>
    <row r="104" spans="2:8">
      <c r="B104" s="17" t="s">
        <v>6047</v>
      </c>
      <c r="C104" s="246" t="s">
        <v>740</v>
      </c>
      <c r="D104" s="18">
        <v>3950</v>
      </c>
      <c r="E104" s="18">
        <v>5575</v>
      </c>
      <c r="F104" s="18">
        <v>8839</v>
      </c>
      <c r="G104" s="18">
        <v>5943</v>
      </c>
      <c r="H104" s="18">
        <v>9114</v>
      </c>
    </row>
    <row r="105" spans="2:8">
      <c r="B105" s="14" t="s">
        <v>6048</v>
      </c>
      <c r="C105" s="245" t="s">
        <v>741</v>
      </c>
      <c r="D105" s="15">
        <v>4813</v>
      </c>
      <c r="E105" s="15">
        <v>5012</v>
      </c>
      <c r="F105" s="15">
        <v>7511</v>
      </c>
      <c r="G105" s="15">
        <v>5280</v>
      </c>
      <c r="H105" s="15">
        <v>9020</v>
      </c>
    </row>
    <row r="106" spans="2:8">
      <c r="B106" s="17" t="s">
        <v>6049</v>
      </c>
      <c r="C106" s="246" t="s">
        <v>742</v>
      </c>
      <c r="D106" s="18">
        <v>3494</v>
      </c>
      <c r="E106" s="18">
        <v>3340</v>
      </c>
      <c r="F106" s="18">
        <v>2905</v>
      </c>
      <c r="G106" s="18">
        <v>3804</v>
      </c>
      <c r="H106" s="18">
        <v>8892</v>
      </c>
    </row>
    <row r="107" spans="2:8">
      <c r="B107" s="14" t="s">
        <v>6050</v>
      </c>
      <c r="C107" s="245" t="s">
        <v>743</v>
      </c>
      <c r="D107" s="15">
        <v>0</v>
      </c>
      <c r="E107" s="15">
        <v>0</v>
      </c>
      <c r="F107" s="15">
        <v>4364</v>
      </c>
      <c r="G107" s="15">
        <v>11503</v>
      </c>
      <c r="H107" s="15">
        <v>8334</v>
      </c>
    </row>
    <row r="108" spans="2:8">
      <c r="B108" s="17" t="s">
        <v>6051</v>
      </c>
      <c r="C108" s="246" t="s">
        <v>744</v>
      </c>
      <c r="D108" s="18">
        <v>3735</v>
      </c>
      <c r="E108" s="18">
        <v>4224</v>
      </c>
      <c r="F108" s="18">
        <v>4867</v>
      </c>
      <c r="G108" s="18">
        <v>5710</v>
      </c>
      <c r="H108" s="18">
        <v>8205</v>
      </c>
    </row>
    <row r="109" spans="2:8">
      <c r="B109" s="14" t="s">
        <v>6052</v>
      </c>
      <c r="C109" s="245" t="s">
        <v>745</v>
      </c>
      <c r="D109" s="15">
        <v>2503</v>
      </c>
      <c r="E109" s="15">
        <v>3374</v>
      </c>
      <c r="F109" s="15">
        <v>1818</v>
      </c>
      <c r="G109" s="15">
        <v>3550</v>
      </c>
      <c r="H109" s="15">
        <v>7982</v>
      </c>
    </row>
    <row r="110" spans="2:8">
      <c r="B110" s="17" t="s">
        <v>6053</v>
      </c>
      <c r="C110" s="246" t="s">
        <v>746</v>
      </c>
      <c r="D110" s="18">
        <v>7415</v>
      </c>
      <c r="E110" s="18">
        <v>6344</v>
      </c>
      <c r="F110" s="18">
        <v>5350</v>
      </c>
      <c r="G110" s="18">
        <v>8298</v>
      </c>
      <c r="H110" s="18">
        <v>7957</v>
      </c>
    </row>
    <row r="111" spans="2:8">
      <c r="B111" s="14" t="s">
        <v>6054</v>
      </c>
      <c r="C111" s="245" t="s">
        <v>747</v>
      </c>
      <c r="D111" s="15">
        <v>3425</v>
      </c>
      <c r="E111" s="15">
        <v>4214</v>
      </c>
      <c r="F111" s="15">
        <v>4176</v>
      </c>
      <c r="G111" s="15">
        <v>8219</v>
      </c>
      <c r="H111" s="15">
        <v>7863</v>
      </c>
    </row>
    <row r="112" spans="2:8">
      <c r="B112" s="17" t="s">
        <v>6055</v>
      </c>
      <c r="C112" s="246" t="s">
        <v>717</v>
      </c>
      <c r="D112" s="18">
        <v>668</v>
      </c>
      <c r="E112" s="18">
        <v>2309</v>
      </c>
      <c r="F112" s="18">
        <v>5126</v>
      </c>
      <c r="G112" s="18">
        <v>5444</v>
      </c>
      <c r="H112" s="18">
        <v>7795</v>
      </c>
    </row>
    <row r="113" spans="2:8">
      <c r="B113" s="14" t="s">
        <v>6056</v>
      </c>
      <c r="C113" s="245" t="s">
        <v>748</v>
      </c>
      <c r="D113" s="15">
        <v>1646</v>
      </c>
      <c r="E113" s="15">
        <v>4886</v>
      </c>
      <c r="F113" s="15">
        <v>4151</v>
      </c>
      <c r="G113" s="15">
        <v>5367</v>
      </c>
      <c r="H113" s="15">
        <v>7691</v>
      </c>
    </row>
    <row r="114" spans="2:8">
      <c r="B114" s="17" t="s">
        <v>6057</v>
      </c>
      <c r="C114" s="246" t="s">
        <v>749</v>
      </c>
      <c r="D114" s="18">
        <v>1838</v>
      </c>
      <c r="E114" s="18">
        <v>1767</v>
      </c>
      <c r="F114" s="18">
        <v>1568</v>
      </c>
      <c r="G114" s="18">
        <v>4048</v>
      </c>
      <c r="H114" s="18">
        <v>7481</v>
      </c>
    </row>
    <row r="115" spans="2:8">
      <c r="B115" s="14" t="s">
        <v>6058</v>
      </c>
      <c r="C115" s="245" t="s">
        <v>750</v>
      </c>
      <c r="D115" s="15">
        <v>6226</v>
      </c>
      <c r="E115" s="15">
        <v>2396</v>
      </c>
      <c r="F115" s="15">
        <v>2130</v>
      </c>
      <c r="G115" s="15">
        <v>3476</v>
      </c>
      <c r="H115" s="15">
        <v>7298</v>
      </c>
    </row>
    <row r="116" spans="2:8">
      <c r="B116" s="17" t="s">
        <v>6059</v>
      </c>
      <c r="C116" s="246" t="s">
        <v>751</v>
      </c>
      <c r="D116" s="18">
        <v>2082</v>
      </c>
      <c r="E116" s="18">
        <v>5406</v>
      </c>
      <c r="F116" s="18">
        <v>2348</v>
      </c>
      <c r="G116" s="18">
        <v>7321</v>
      </c>
      <c r="H116" s="18">
        <v>7272</v>
      </c>
    </row>
    <row r="117" spans="2:8">
      <c r="B117" s="14" t="s">
        <v>6060</v>
      </c>
      <c r="C117" s="245" t="s">
        <v>752</v>
      </c>
      <c r="D117" s="15">
        <v>2371</v>
      </c>
      <c r="E117" s="15">
        <v>1967</v>
      </c>
      <c r="F117" s="15">
        <v>3796</v>
      </c>
      <c r="G117" s="15">
        <v>2249</v>
      </c>
      <c r="H117" s="15">
        <v>7174</v>
      </c>
    </row>
    <row r="118" spans="2:8">
      <c r="B118" s="17" t="s">
        <v>6061</v>
      </c>
      <c r="C118" s="246" t="s">
        <v>753</v>
      </c>
      <c r="D118" s="18">
        <v>0</v>
      </c>
      <c r="E118" s="18">
        <v>162</v>
      </c>
      <c r="F118" s="18">
        <v>1982</v>
      </c>
      <c r="G118" s="18">
        <v>4333</v>
      </c>
      <c r="H118" s="18">
        <v>7019</v>
      </c>
    </row>
    <row r="119" spans="2:8">
      <c r="B119" s="14" t="s">
        <v>6062</v>
      </c>
      <c r="C119" s="245" t="s">
        <v>754</v>
      </c>
      <c r="D119" s="15">
        <v>122</v>
      </c>
      <c r="E119" s="15">
        <v>79</v>
      </c>
      <c r="F119" s="15">
        <v>52</v>
      </c>
      <c r="G119" s="15">
        <v>2</v>
      </c>
      <c r="H119" s="15">
        <v>6987</v>
      </c>
    </row>
    <row r="120" spans="2:8">
      <c r="B120" s="17" t="s">
        <v>6063</v>
      </c>
      <c r="C120" s="246" t="s">
        <v>755</v>
      </c>
      <c r="D120" s="18">
        <v>2499</v>
      </c>
      <c r="E120" s="18">
        <v>3849</v>
      </c>
      <c r="F120" s="18">
        <v>3524</v>
      </c>
      <c r="G120" s="18">
        <v>4284</v>
      </c>
      <c r="H120" s="18">
        <v>6942</v>
      </c>
    </row>
    <row r="121" spans="2:8">
      <c r="B121" s="14" t="s">
        <v>6064</v>
      </c>
      <c r="C121" s="245" t="s">
        <v>712</v>
      </c>
      <c r="D121" s="15">
        <v>3065</v>
      </c>
      <c r="E121" s="15">
        <v>4187</v>
      </c>
      <c r="F121" s="15">
        <v>3555</v>
      </c>
      <c r="G121" s="15">
        <v>6050</v>
      </c>
      <c r="H121" s="15">
        <v>6788</v>
      </c>
    </row>
    <row r="122" spans="2:8">
      <c r="B122" s="17" t="s">
        <v>6065</v>
      </c>
      <c r="C122" s="246" t="s">
        <v>756</v>
      </c>
      <c r="D122" s="18">
        <v>6870</v>
      </c>
      <c r="E122" s="18">
        <v>10089</v>
      </c>
      <c r="F122" s="18">
        <v>6697</v>
      </c>
      <c r="G122" s="18">
        <v>8112</v>
      </c>
      <c r="H122" s="18">
        <v>6742</v>
      </c>
    </row>
    <row r="123" spans="2:8">
      <c r="B123" s="14" t="s">
        <v>6066</v>
      </c>
      <c r="C123" s="245" t="s">
        <v>757</v>
      </c>
      <c r="D123" s="15">
        <v>0</v>
      </c>
      <c r="E123" s="15">
        <v>17537</v>
      </c>
      <c r="F123" s="15">
        <v>405</v>
      </c>
      <c r="G123" s="15">
        <v>44</v>
      </c>
      <c r="H123" s="15">
        <v>6569</v>
      </c>
    </row>
    <row r="124" spans="2:8">
      <c r="B124" s="17" t="s">
        <v>6067</v>
      </c>
      <c r="C124" s="246" t="s">
        <v>758</v>
      </c>
      <c r="D124" s="18">
        <v>9370</v>
      </c>
      <c r="E124" s="18">
        <v>7203</v>
      </c>
      <c r="F124" s="18">
        <v>2073</v>
      </c>
      <c r="G124" s="18">
        <v>2479</v>
      </c>
      <c r="H124" s="18">
        <v>6537</v>
      </c>
    </row>
    <row r="125" spans="2:8">
      <c r="B125" s="14" t="s">
        <v>6068</v>
      </c>
      <c r="C125" s="245" t="s">
        <v>759</v>
      </c>
      <c r="D125" s="15">
        <v>3221</v>
      </c>
      <c r="E125" s="15">
        <v>2849</v>
      </c>
      <c r="F125" s="15">
        <v>3305</v>
      </c>
      <c r="G125" s="15">
        <v>4345</v>
      </c>
      <c r="H125" s="15">
        <v>6429</v>
      </c>
    </row>
    <row r="126" spans="2:8">
      <c r="B126" s="17" t="s">
        <v>6069</v>
      </c>
      <c r="C126" s="246" t="s">
        <v>760</v>
      </c>
      <c r="D126" s="18">
        <v>2457</v>
      </c>
      <c r="E126" s="18">
        <v>1646</v>
      </c>
      <c r="F126" s="18">
        <v>1515</v>
      </c>
      <c r="G126" s="18">
        <v>3961</v>
      </c>
      <c r="H126" s="18">
        <v>6200</v>
      </c>
    </row>
    <row r="127" spans="2:8">
      <c r="B127" s="14" t="s">
        <v>6070</v>
      </c>
      <c r="C127" s="245" t="s">
        <v>761</v>
      </c>
      <c r="D127" s="15">
        <v>4540</v>
      </c>
      <c r="E127" s="15">
        <v>3540</v>
      </c>
      <c r="F127" s="15">
        <v>4617</v>
      </c>
      <c r="G127" s="15">
        <v>7537</v>
      </c>
      <c r="H127" s="15">
        <v>6170</v>
      </c>
    </row>
    <row r="128" spans="2:8">
      <c r="B128" s="17" t="s">
        <v>6071</v>
      </c>
      <c r="C128" s="246" t="s">
        <v>762</v>
      </c>
      <c r="D128" s="18">
        <v>10462</v>
      </c>
      <c r="E128" s="18">
        <v>11145</v>
      </c>
      <c r="F128" s="18">
        <v>8815</v>
      </c>
      <c r="G128" s="18">
        <v>6310</v>
      </c>
      <c r="H128" s="18">
        <v>6023</v>
      </c>
    </row>
    <row r="129" spans="2:8">
      <c r="B129" s="14" t="s">
        <v>6072</v>
      </c>
      <c r="C129" s="245" t="s">
        <v>763</v>
      </c>
      <c r="D129" s="15">
        <v>3485</v>
      </c>
      <c r="E129" s="15">
        <v>3669</v>
      </c>
      <c r="F129" s="15">
        <v>3421</v>
      </c>
      <c r="G129" s="15">
        <v>3767</v>
      </c>
      <c r="H129" s="15">
        <v>5932</v>
      </c>
    </row>
    <row r="130" spans="2:8">
      <c r="B130" s="17" t="s">
        <v>6073</v>
      </c>
      <c r="C130" s="246" t="s">
        <v>764</v>
      </c>
      <c r="D130" s="18">
        <v>4367</v>
      </c>
      <c r="E130" s="18">
        <v>3395</v>
      </c>
      <c r="F130" s="18">
        <v>2808</v>
      </c>
      <c r="G130" s="18">
        <v>5994</v>
      </c>
      <c r="H130" s="18">
        <v>5668</v>
      </c>
    </row>
    <row r="131" spans="2:8">
      <c r="B131" s="14" t="s">
        <v>6074</v>
      </c>
      <c r="C131" s="245" t="s">
        <v>765</v>
      </c>
      <c r="D131" s="15">
        <v>1093</v>
      </c>
      <c r="E131" s="15">
        <v>1882</v>
      </c>
      <c r="F131" s="15">
        <v>1951</v>
      </c>
      <c r="G131" s="15">
        <v>4065</v>
      </c>
      <c r="H131" s="15">
        <v>5643</v>
      </c>
    </row>
    <row r="132" spans="2:8">
      <c r="B132" s="17" t="s">
        <v>6075</v>
      </c>
      <c r="C132" s="246" t="s">
        <v>766</v>
      </c>
      <c r="D132" s="18">
        <v>30</v>
      </c>
      <c r="E132" s="18">
        <v>44</v>
      </c>
      <c r="F132" s="18">
        <v>37</v>
      </c>
      <c r="G132" s="18">
        <v>54</v>
      </c>
      <c r="H132" s="18">
        <v>5642</v>
      </c>
    </row>
    <row r="133" spans="2:8">
      <c r="B133" s="14" t="s">
        <v>6076</v>
      </c>
      <c r="C133" s="245" t="s">
        <v>767</v>
      </c>
      <c r="D133" s="15">
        <v>1938</v>
      </c>
      <c r="E133" s="15">
        <v>2821</v>
      </c>
      <c r="F133" s="15">
        <v>3532</v>
      </c>
      <c r="G133" s="15">
        <v>4640</v>
      </c>
      <c r="H133" s="15">
        <v>5617</v>
      </c>
    </row>
    <row r="134" spans="2:8">
      <c r="B134" s="17" t="s">
        <v>6077</v>
      </c>
      <c r="C134" s="246" t="s">
        <v>768</v>
      </c>
      <c r="D134" s="18">
        <v>5475</v>
      </c>
      <c r="E134" s="18">
        <v>5911</v>
      </c>
      <c r="F134" s="18">
        <v>4778</v>
      </c>
      <c r="G134" s="18">
        <v>7805</v>
      </c>
      <c r="H134" s="18">
        <v>5570</v>
      </c>
    </row>
    <row r="135" spans="2:8">
      <c r="B135" s="14" t="s">
        <v>6078</v>
      </c>
      <c r="C135" s="245" t="s">
        <v>769</v>
      </c>
      <c r="D135" s="15">
        <v>1107</v>
      </c>
      <c r="E135" s="15">
        <v>1102</v>
      </c>
      <c r="F135" s="15">
        <v>1433</v>
      </c>
      <c r="G135" s="15">
        <v>4259</v>
      </c>
      <c r="H135" s="15">
        <v>5558</v>
      </c>
    </row>
    <row r="136" spans="2:8">
      <c r="B136" s="17" t="s">
        <v>6079</v>
      </c>
      <c r="C136" s="246" t="s">
        <v>770</v>
      </c>
      <c r="D136" s="18">
        <v>10595</v>
      </c>
      <c r="E136" s="18">
        <v>11608</v>
      </c>
      <c r="F136" s="18">
        <v>7010</v>
      </c>
      <c r="G136" s="18">
        <v>5659</v>
      </c>
      <c r="H136" s="18">
        <v>5511</v>
      </c>
    </row>
    <row r="137" spans="2:8">
      <c r="B137" s="14" t="s">
        <v>6080</v>
      </c>
      <c r="C137" s="245" t="s">
        <v>771</v>
      </c>
      <c r="D137" s="15">
        <v>5401</v>
      </c>
      <c r="E137" s="15">
        <v>4291</v>
      </c>
      <c r="F137" s="15">
        <v>5125</v>
      </c>
      <c r="G137" s="15">
        <v>5497</v>
      </c>
      <c r="H137" s="15">
        <v>5378</v>
      </c>
    </row>
    <row r="138" spans="2:8">
      <c r="B138" s="17" t="s">
        <v>6081</v>
      </c>
      <c r="C138" s="246" t="s">
        <v>772</v>
      </c>
      <c r="D138" s="18">
        <v>1</v>
      </c>
      <c r="E138" s="18">
        <v>247</v>
      </c>
      <c r="F138" s="18">
        <v>593</v>
      </c>
      <c r="G138" s="18">
        <v>715</v>
      </c>
      <c r="H138" s="18">
        <v>5324</v>
      </c>
    </row>
    <row r="139" spans="2:8">
      <c r="B139" s="14" t="s">
        <v>6082</v>
      </c>
      <c r="C139" s="245" t="s">
        <v>773</v>
      </c>
      <c r="D139" s="15">
        <v>5223</v>
      </c>
      <c r="E139" s="15">
        <v>4757</v>
      </c>
      <c r="F139" s="15">
        <v>3627</v>
      </c>
      <c r="G139" s="15">
        <v>3048</v>
      </c>
      <c r="H139" s="15">
        <v>5027</v>
      </c>
    </row>
    <row r="140" spans="2:8">
      <c r="B140" s="17" t="s">
        <v>6083</v>
      </c>
      <c r="C140" s="246" t="s">
        <v>774</v>
      </c>
      <c r="D140" s="18">
        <v>9200</v>
      </c>
      <c r="E140" s="18">
        <v>9159</v>
      </c>
      <c r="F140" s="18">
        <v>6740</v>
      </c>
      <c r="G140" s="18">
        <v>782</v>
      </c>
      <c r="H140" s="18">
        <v>4884</v>
      </c>
    </row>
    <row r="141" spans="2:8">
      <c r="B141" s="14" t="s">
        <v>6084</v>
      </c>
      <c r="C141" s="245" t="s">
        <v>775</v>
      </c>
      <c r="D141" s="15">
        <v>6517</v>
      </c>
      <c r="E141" s="15">
        <v>6092</v>
      </c>
      <c r="F141" s="15">
        <v>4863</v>
      </c>
      <c r="G141" s="15">
        <v>5370</v>
      </c>
      <c r="H141" s="15">
        <v>4734</v>
      </c>
    </row>
    <row r="142" spans="2:8">
      <c r="B142" s="17" t="s">
        <v>6085</v>
      </c>
      <c r="C142" s="246" t="s">
        <v>776</v>
      </c>
      <c r="D142" s="18">
        <v>2615</v>
      </c>
      <c r="E142" s="18">
        <v>2671</v>
      </c>
      <c r="F142" s="18">
        <v>2890</v>
      </c>
      <c r="G142" s="18">
        <v>4068</v>
      </c>
      <c r="H142" s="18">
        <v>4610</v>
      </c>
    </row>
    <row r="143" spans="2:8">
      <c r="B143" s="14" t="s">
        <v>6086</v>
      </c>
      <c r="C143" s="245" t="s">
        <v>777</v>
      </c>
      <c r="D143" s="15">
        <v>2355</v>
      </c>
      <c r="E143" s="15">
        <v>3412</v>
      </c>
      <c r="F143" s="15">
        <v>1714</v>
      </c>
      <c r="G143" s="15">
        <v>3810</v>
      </c>
      <c r="H143" s="15">
        <v>4470</v>
      </c>
    </row>
    <row r="144" spans="2:8">
      <c r="B144" s="17" t="s">
        <v>6087</v>
      </c>
      <c r="C144" s="246" t="s">
        <v>778</v>
      </c>
      <c r="D144" s="18">
        <v>1613</v>
      </c>
      <c r="E144" s="18">
        <v>1568</v>
      </c>
      <c r="F144" s="18">
        <v>1273</v>
      </c>
      <c r="G144" s="18">
        <v>2052</v>
      </c>
      <c r="H144" s="18">
        <v>4311</v>
      </c>
    </row>
    <row r="145" spans="2:8">
      <c r="B145" s="14" t="s">
        <v>6088</v>
      </c>
      <c r="C145" s="245" t="s">
        <v>779</v>
      </c>
      <c r="D145" s="15">
        <v>843</v>
      </c>
      <c r="E145" s="15">
        <v>658</v>
      </c>
      <c r="F145" s="15">
        <v>622</v>
      </c>
      <c r="G145" s="15">
        <v>1000</v>
      </c>
      <c r="H145" s="15">
        <v>4310</v>
      </c>
    </row>
    <row r="146" spans="2:8">
      <c r="B146" s="17" t="s">
        <v>6089</v>
      </c>
      <c r="C146" s="246" t="s">
        <v>780</v>
      </c>
      <c r="D146" s="18">
        <v>1986</v>
      </c>
      <c r="E146" s="18">
        <v>2411</v>
      </c>
      <c r="F146" s="18">
        <v>3337</v>
      </c>
      <c r="G146" s="18">
        <v>3984</v>
      </c>
      <c r="H146" s="18">
        <v>4285</v>
      </c>
    </row>
    <row r="147" spans="2:8">
      <c r="B147" s="14" t="s">
        <v>6090</v>
      </c>
      <c r="C147" s="245" t="s">
        <v>781</v>
      </c>
      <c r="D147" s="15">
        <v>0</v>
      </c>
      <c r="E147" s="15">
        <v>353</v>
      </c>
      <c r="F147" s="15">
        <v>1493</v>
      </c>
      <c r="G147" s="15">
        <v>3428</v>
      </c>
      <c r="H147" s="15">
        <v>4208</v>
      </c>
    </row>
    <row r="148" spans="2:8">
      <c r="B148" s="17" t="s">
        <v>6091</v>
      </c>
      <c r="C148" s="246" t="s">
        <v>782</v>
      </c>
      <c r="D148" s="18">
        <v>11936</v>
      </c>
      <c r="E148" s="18">
        <v>7466</v>
      </c>
      <c r="F148" s="18">
        <v>250</v>
      </c>
      <c r="G148" s="18">
        <v>711</v>
      </c>
      <c r="H148" s="18">
        <v>4139</v>
      </c>
    </row>
    <row r="149" spans="2:8">
      <c r="B149" s="14" t="s">
        <v>6092</v>
      </c>
      <c r="C149" s="245" t="s">
        <v>783</v>
      </c>
      <c r="D149" s="15">
        <v>2378</v>
      </c>
      <c r="E149" s="15">
        <v>2642</v>
      </c>
      <c r="F149" s="15">
        <v>2074</v>
      </c>
      <c r="G149" s="15">
        <v>3426</v>
      </c>
      <c r="H149" s="15">
        <v>4137</v>
      </c>
    </row>
    <row r="150" spans="2:8">
      <c r="B150" s="17" t="s">
        <v>6093</v>
      </c>
      <c r="C150" s="246" t="s">
        <v>784</v>
      </c>
      <c r="D150" s="18">
        <v>7808</v>
      </c>
      <c r="E150" s="18">
        <v>6455</v>
      </c>
      <c r="F150" s="18">
        <v>3840</v>
      </c>
      <c r="G150" s="18">
        <v>1250</v>
      </c>
      <c r="H150" s="18">
        <v>3949</v>
      </c>
    </row>
    <row r="151" spans="2:8">
      <c r="B151" s="14" t="s">
        <v>6094</v>
      </c>
      <c r="C151" s="245" t="s">
        <v>785</v>
      </c>
      <c r="D151" s="15">
        <v>0</v>
      </c>
      <c r="E151" s="15">
        <v>0</v>
      </c>
      <c r="F151" s="15">
        <v>0</v>
      </c>
      <c r="G151" s="15">
        <v>0</v>
      </c>
      <c r="H151" s="15">
        <v>3913</v>
      </c>
    </row>
    <row r="152" spans="2:8">
      <c r="B152" s="17" t="s">
        <v>6095</v>
      </c>
      <c r="C152" s="246" t="s">
        <v>786</v>
      </c>
      <c r="D152" s="18">
        <v>267</v>
      </c>
      <c r="E152" s="18">
        <v>1751</v>
      </c>
      <c r="F152" s="18">
        <v>2637</v>
      </c>
      <c r="G152" s="18">
        <v>3073</v>
      </c>
      <c r="H152" s="18">
        <v>3910</v>
      </c>
    </row>
    <row r="153" spans="2:8">
      <c r="B153" s="14" t="s">
        <v>6096</v>
      </c>
      <c r="C153" s="245" t="s">
        <v>787</v>
      </c>
      <c r="D153" s="15">
        <v>3481</v>
      </c>
      <c r="E153" s="15">
        <v>7771</v>
      </c>
      <c r="F153" s="15">
        <v>3613</v>
      </c>
      <c r="G153" s="15">
        <v>2560</v>
      </c>
      <c r="H153" s="15">
        <v>3891</v>
      </c>
    </row>
    <row r="154" spans="2:8">
      <c r="B154" s="17" t="s">
        <v>6097</v>
      </c>
      <c r="C154" s="246" t="s">
        <v>788</v>
      </c>
      <c r="D154" s="18">
        <v>1873</v>
      </c>
      <c r="E154" s="18">
        <v>3307</v>
      </c>
      <c r="F154" s="18">
        <v>1971</v>
      </c>
      <c r="G154" s="18">
        <v>2422</v>
      </c>
      <c r="H154" s="18">
        <v>3864</v>
      </c>
    </row>
    <row r="155" spans="2:8">
      <c r="B155" s="14" t="s">
        <v>6098</v>
      </c>
      <c r="C155" s="245" t="s">
        <v>789</v>
      </c>
      <c r="D155" s="15">
        <v>2671</v>
      </c>
      <c r="E155" s="15">
        <v>2968</v>
      </c>
      <c r="F155" s="15">
        <v>2404</v>
      </c>
      <c r="G155" s="15">
        <v>3441</v>
      </c>
      <c r="H155" s="15">
        <v>3815</v>
      </c>
    </row>
    <row r="156" spans="2:8">
      <c r="B156" s="17" t="s">
        <v>6099</v>
      </c>
      <c r="C156" s="246" t="s">
        <v>790</v>
      </c>
      <c r="D156" s="18">
        <v>1800</v>
      </c>
      <c r="E156" s="18">
        <v>1811</v>
      </c>
      <c r="F156" s="18">
        <v>2632</v>
      </c>
      <c r="G156" s="18">
        <v>2023</v>
      </c>
      <c r="H156" s="18">
        <v>3594</v>
      </c>
    </row>
    <row r="157" spans="2:8">
      <c r="B157" s="14" t="s">
        <v>6100</v>
      </c>
      <c r="C157" s="245" t="s">
        <v>791</v>
      </c>
      <c r="D157" s="15">
        <v>3527</v>
      </c>
      <c r="E157" s="15">
        <v>4634</v>
      </c>
      <c r="F157" s="15">
        <v>4124</v>
      </c>
      <c r="G157" s="15">
        <v>3413</v>
      </c>
      <c r="H157" s="15">
        <v>3552</v>
      </c>
    </row>
    <row r="158" spans="2:8">
      <c r="B158" s="17" t="s">
        <v>6101</v>
      </c>
      <c r="C158" s="246" t="s">
        <v>792</v>
      </c>
      <c r="D158" s="18">
        <v>1861</v>
      </c>
      <c r="E158" s="18">
        <v>592</v>
      </c>
      <c r="F158" s="18">
        <v>536</v>
      </c>
      <c r="G158" s="18">
        <v>2868</v>
      </c>
      <c r="H158" s="18">
        <v>3551</v>
      </c>
    </row>
    <row r="159" spans="2:8">
      <c r="B159" s="14" t="s">
        <v>6102</v>
      </c>
      <c r="C159" s="245" t="s">
        <v>793</v>
      </c>
      <c r="D159" s="15">
        <v>1146</v>
      </c>
      <c r="E159" s="15">
        <v>1168</v>
      </c>
      <c r="F159" s="15">
        <v>1034</v>
      </c>
      <c r="G159" s="15">
        <v>2031</v>
      </c>
      <c r="H159" s="15">
        <v>3514</v>
      </c>
    </row>
    <row r="160" spans="2:8">
      <c r="B160" s="17" t="s">
        <v>6103</v>
      </c>
      <c r="C160" s="246" t="s">
        <v>794</v>
      </c>
      <c r="D160" s="18">
        <v>2762</v>
      </c>
      <c r="E160" s="18">
        <v>3342</v>
      </c>
      <c r="F160" s="18">
        <v>3746</v>
      </c>
      <c r="G160" s="18">
        <v>6278</v>
      </c>
      <c r="H160" s="18">
        <v>3468</v>
      </c>
    </row>
    <row r="161" spans="2:8">
      <c r="B161" s="14" t="s">
        <v>6104</v>
      </c>
      <c r="C161" s="245" t="s">
        <v>795</v>
      </c>
      <c r="D161" s="15">
        <v>2216</v>
      </c>
      <c r="E161" s="15">
        <v>2532</v>
      </c>
      <c r="F161" s="15">
        <v>2458</v>
      </c>
      <c r="G161" s="15">
        <v>2581</v>
      </c>
      <c r="H161" s="15">
        <v>3426</v>
      </c>
    </row>
    <row r="162" spans="2:8">
      <c r="B162" s="17" t="s">
        <v>6105</v>
      </c>
      <c r="C162" s="246" t="s">
        <v>796</v>
      </c>
      <c r="D162" s="18">
        <v>1291</v>
      </c>
      <c r="E162" s="18">
        <v>1849</v>
      </c>
      <c r="F162" s="18">
        <v>1488</v>
      </c>
      <c r="G162" s="18">
        <v>2043</v>
      </c>
      <c r="H162" s="18">
        <v>3317</v>
      </c>
    </row>
    <row r="163" spans="2:8">
      <c r="B163" s="14" t="s">
        <v>6106</v>
      </c>
      <c r="C163" s="245" t="s">
        <v>797</v>
      </c>
      <c r="D163" s="15">
        <v>2524</v>
      </c>
      <c r="E163" s="15">
        <v>2086</v>
      </c>
      <c r="F163" s="15">
        <v>2652</v>
      </c>
      <c r="G163" s="15">
        <v>2714</v>
      </c>
      <c r="H163" s="15">
        <v>3241</v>
      </c>
    </row>
    <row r="164" spans="2:8">
      <c r="B164" s="17" t="s">
        <v>6107</v>
      </c>
      <c r="C164" s="246" t="s">
        <v>798</v>
      </c>
      <c r="D164" s="18">
        <v>0</v>
      </c>
      <c r="E164" s="18">
        <v>0</v>
      </c>
      <c r="F164" s="18">
        <v>0</v>
      </c>
      <c r="G164" s="18">
        <v>0</v>
      </c>
      <c r="H164" s="18">
        <v>3218</v>
      </c>
    </row>
    <row r="165" spans="2:8">
      <c r="B165" s="14" t="s">
        <v>6108</v>
      </c>
      <c r="C165" s="245" t="s">
        <v>799</v>
      </c>
      <c r="D165" s="15">
        <v>3190</v>
      </c>
      <c r="E165" s="15">
        <v>2664</v>
      </c>
      <c r="F165" s="15">
        <v>1276</v>
      </c>
      <c r="G165" s="15">
        <v>2065</v>
      </c>
      <c r="H165" s="15">
        <v>3182</v>
      </c>
    </row>
    <row r="166" spans="2:8">
      <c r="B166" s="17" t="s">
        <v>6109</v>
      </c>
      <c r="C166" s="246" t="s">
        <v>800</v>
      </c>
      <c r="D166" s="18">
        <v>3626</v>
      </c>
      <c r="E166" s="18">
        <v>3028</v>
      </c>
      <c r="F166" s="18">
        <v>2732</v>
      </c>
      <c r="G166" s="18">
        <v>2515</v>
      </c>
      <c r="H166" s="18">
        <v>3151</v>
      </c>
    </row>
    <row r="167" spans="2:8">
      <c r="B167" s="14" t="s">
        <v>6110</v>
      </c>
      <c r="C167" s="245" t="s">
        <v>801</v>
      </c>
      <c r="D167" s="15">
        <v>2308</v>
      </c>
      <c r="E167" s="15">
        <v>2663</v>
      </c>
      <c r="F167" s="15">
        <v>1304</v>
      </c>
      <c r="G167" s="15">
        <v>1602</v>
      </c>
      <c r="H167" s="15">
        <v>3148</v>
      </c>
    </row>
    <row r="168" spans="2:8">
      <c r="B168" s="17" t="s">
        <v>6111</v>
      </c>
      <c r="C168" s="246" t="s">
        <v>802</v>
      </c>
      <c r="D168" s="18">
        <v>1623</v>
      </c>
      <c r="E168" s="18">
        <v>542</v>
      </c>
      <c r="F168" s="18">
        <v>728</v>
      </c>
      <c r="G168" s="18">
        <v>2944</v>
      </c>
      <c r="H168" s="18">
        <v>3035</v>
      </c>
    </row>
    <row r="169" spans="2:8">
      <c r="B169" s="14" t="s">
        <v>6112</v>
      </c>
      <c r="C169" s="245" t="s">
        <v>803</v>
      </c>
      <c r="D169" s="15">
        <v>228</v>
      </c>
      <c r="E169" s="15">
        <v>66</v>
      </c>
      <c r="F169" s="15">
        <v>1255</v>
      </c>
      <c r="G169" s="15">
        <v>3282</v>
      </c>
      <c r="H169" s="15">
        <v>2962</v>
      </c>
    </row>
    <row r="170" spans="2:8">
      <c r="B170" s="17" t="s">
        <v>6113</v>
      </c>
      <c r="C170" s="246" t="s">
        <v>758</v>
      </c>
      <c r="D170" s="18">
        <v>1765</v>
      </c>
      <c r="E170" s="18">
        <v>1530</v>
      </c>
      <c r="F170" s="18">
        <v>1492</v>
      </c>
      <c r="G170" s="18">
        <v>3373</v>
      </c>
      <c r="H170" s="18">
        <v>2956</v>
      </c>
    </row>
    <row r="171" spans="2:8">
      <c r="B171" s="14" t="s">
        <v>6114</v>
      </c>
      <c r="C171" s="245" t="s">
        <v>804</v>
      </c>
      <c r="D171" s="15">
        <v>1068</v>
      </c>
      <c r="E171" s="15">
        <v>2104</v>
      </c>
      <c r="F171" s="15">
        <v>2706</v>
      </c>
      <c r="G171" s="15">
        <v>3940</v>
      </c>
      <c r="H171" s="15">
        <v>2813</v>
      </c>
    </row>
    <row r="172" spans="2:8">
      <c r="B172" s="17" t="s">
        <v>6115</v>
      </c>
      <c r="C172" s="246" t="s">
        <v>805</v>
      </c>
      <c r="D172" s="18">
        <v>2057</v>
      </c>
      <c r="E172" s="18">
        <v>1437</v>
      </c>
      <c r="F172" s="18">
        <v>1142</v>
      </c>
      <c r="G172" s="18">
        <v>1819</v>
      </c>
      <c r="H172" s="18">
        <v>2737</v>
      </c>
    </row>
    <row r="173" spans="2:8">
      <c r="B173" s="14" t="s">
        <v>6116</v>
      </c>
      <c r="C173" s="245" t="s">
        <v>806</v>
      </c>
      <c r="D173" s="15">
        <v>0</v>
      </c>
      <c r="E173" s="15">
        <v>230</v>
      </c>
      <c r="F173" s="15">
        <v>412</v>
      </c>
      <c r="G173" s="15">
        <v>1149</v>
      </c>
      <c r="H173" s="15">
        <v>2732</v>
      </c>
    </row>
    <row r="174" spans="2:8">
      <c r="B174" s="17" t="s">
        <v>6117</v>
      </c>
      <c r="C174" s="246" t="s">
        <v>807</v>
      </c>
      <c r="D174" s="18">
        <v>971</v>
      </c>
      <c r="E174" s="18">
        <v>1385</v>
      </c>
      <c r="F174" s="18">
        <v>1508</v>
      </c>
      <c r="G174" s="18">
        <v>1445</v>
      </c>
      <c r="H174" s="18">
        <v>2727</v>
      </c>
    </row>
    <row r="175" spans="2:8">
      <c r="B175" s="14" t="s">
        <v>6118</v>
      </c>
      <c r="C175" s="245" t="s">
        <v>808</v>
      </c>
      <c r="D175" s="15">
        <v>2484</v>
      </c>
      <c r="E175" s="15">
        <v>1640</v>
      </c>
      <c r="F175" s="15">
        <v>1694</v>
      </c>
      <c r="G175" s="15">
        <v>1820</v>
      </c>
      <c r="H175" s="15">
        <v>2701</v>
      </c>
    </row>
    <row r="176" spans="2:8">
      <c r="B176" s="17" t="s">
        <v>6119</v>
      </c>
      <c r="C176" s="246" t="s">
        <v>809</v>
      </c>
      <c r="D176" s="18">
        <v>3080</v>
      </c>
      <c r="E176" s="18">
        <v>2235</v>
      </c>
      <c r="F176" s="18">
        <v>907</v>
      </c>
      <c r="G176" s="18">
        <v>1431</v>
      </c>
      <c r="H176" s="18">
        <v>2683</v>
      </c>
    </row>
    <row r="177" spans="2:8">
      <c r="B177" s="14" t="s">
        <v>6120</v>
      </c>
      <c r="C177" s="245" t="s">
        <v>810</v>
      </c>
      <c r="D177" s="15">
        <v>1363</v>
      </c>
      <c r="E177" s="15">
        <v>1669</v>
      </c>
      <c r="F177" s="15">
        <v>1961</v>
      </c>
      <c r="G177" s="15">
        <v>2057</v>
      </c>
      <c r="H177" s="15">
        <v>2673</v>
      </c>
    </row>
    <row r="178" spans="2:8">
      <c r="B178" s="17" t="s">
        <v>6121</v>
      </c>
      <c r="C178" s="246" t="s">
        <v>811</v>
      </c>
      <c r="D178" s="18">
        <v>2089</v>
      </c>
      <c r="E178" s="18">
        <v>751</v>
      </c>
      <c r="F178" s="18">
        <v>1737</v>
      </c>
      <c r="G178" s="18">
        <v>3726</v>
      </c>
      <c r="H178" s="18">
        <v>2631</v>
      </c>
    </row>
    <row r="179" spans="2:8">
      <c r="B179" s="14" t="s">
        <v>6122</v>
      </c>
      <c r="C179" s="245" t="s">
        <v>812</v>
      </c>
      <c r="D179" s="15">
        <v>182</v>
      </c>
      <c r="E179" s="15">
        <v>1476</v>
      </c>
      <c r="F179" s="15">
        <v>3849</v>
      </c>
      <c r="G179" s="15">
        <v>1884</v>
      </c>
      <c r="H179" s="15">
        <v>2631</v>
      </c>
    </row>
    <row r="180" spans="2:8">
      <c r="B180" s="17" t="s">
        <v>6123</v>
      </c>
      <c r="C180" s="246" t="s">
        <v>725</v>
      </c>
      <c r="D180" s="18">
        <v>2097</v>
      </c>
      <c r="E180" s="18">
        <v>2459</v>
      </c>
      <c r="F180" s="18">
        <v>1665</v>
      </c>
      <c r="G180" s="18">
        <v>1406</v>
      </c>
      <c r="H180" s="18">
        <v>2609</v>
      </c>
    </row>
    <row r="181" spans="2:8">
      <c r="B181" s="14" t="s">
        <v>6124</v>
      </c>
      <c r="C181" s="245" t="s">
        <v>813</v>
      </c>
      <c r="D181" s="15">
        <v>1968</v>
      </c>
      <c r="E181" s="15">
        <v>1805</v>
      </c>
      <c r="F181" s="15">
        <v>2207</v>
      </c>
      <c r="G181" s="15">
        <v>2402</v>
      </c>
      <c r="H181" s="15">
        <v>2556</v>
      </c>
    </row>
    <row r="182" spans="2:8">
      <c r="B182" s="17" t="s">
        <v>6125</v>
      </c>
      <c r="C182" s="246" t="s">
        <v>814</v>
      </c>
      <c r="D182" s="18">
        <v>3455</v>
      </c>
      <c r="E182" s="18">
        <v>3965</v>
      </c>
      <c r="F182" s="18">
        <v>3439</v>
      </c>
      <c r="G182" s="18">
        <v>2485</v>
      </c>
      <c r="H182" s="18">
        <v>2553</v>
      </c>
    </row>
    <row r="183" spans="2:8">
      <c r="B183" s="14" t="s">
        <v>6126</v>
      </c>
      <c r="C183" s="245" t="s">
        <v>815</v>
      </c>
      <c r="D183" s="15">
        <v>1628</v>
      </c>
      <c r="E183" s="15">
        <v>2149</v>
      </c>
      <c r="F183" s="15">
        <v>1161</v>
      </c>
      <c r="G183" s="15">
        <v>2040</v>
      </c>
      <c r="H183" s="15">
        <v>2529</v>
      </c>
    </row>
    <row r="184" spans="2:8">
      <c r="B184" s="17" t="s">
        <v>6127</v>
      </c>
      <c r="C184" s="246" t="s">
        <v>816</v>
      </c>
      <c r="D184" s="18">
        <v>616</v>
      </c>
      <c r="E184" s="18">
        <v>145</v>
      </c>
      <c r="F184" s="18">
        <v>103</v>
      </c>
      <c r="G184" s="18">
        <v>297</v>
      </c>
      <c r="H184" s="18">
        <v>2449</v>
      </c>
    </row>
    <row r="185" spans="2:8">
      <c r="B185" s="14" t="s">
        <v>6128</v>
      </c>
      <c r="C185" s="245" t="s">
        <v>817</v>
      </c>
      <c r="D185" s="15">
        <v>339</v>
      </c>
      <c r="E185" s="15">
        <v>204</v>
      </c>
      <c r="F185" s="15">
        <v>1883</v>
      </c>
      <c r="G185" s="15">
        <v>690</v>
      </c>
      <c r="H185" s="15">
        <v>2427</v>
      </c>
    </row>
    <row r="186" spans="2:8">
      <c r="B186" s="17" t="s">
        <v>6129</v>
      </c>
      <c r="C186" s="246" t="s">
        <v>818</v>
      </c>
      <c r="D186" s="18">
        <v>795</v>
      </c>
      <c r="E186" s="18">
        <v>676</v>
      </c>
      <c r="F186" s="18">
        <v>748</v>
      </c>
      <c r="G186" s="18">
        <v>1228</v>
      </c>
      <c r="H186" s="18">
        <v>2420</v>
      </c>
    </row>
    <row r="187" spans="2:8">
      <c r="B187" s="14" t="s">
        <v>6130</v>
      </c>
      <c r="C187" s="245" t="s">
        <v>819</v>
      </c>
      <c r="D187" s="15">
        <v>1541</v>
      </c>
      <c r="E187" s="15">
        <v>995</v>
      </c>
      <c r="F187" s="15">
        <v>1130</v>
      </c>
      <c r="G187" s="15">
        <v>1326</v>
      </c>
      <c r="H187" s="15">
        <v>2409</v>
      </c>
    </row>
    <row r="188" spans="2:8">
      <c r="B188" s="17" t="s">
        <v>6131</v>
      </c>
      <c r="C188" s="246" t="s">
        <v>820</v>
      </c>
      <c r="D188" s="18">
        <v>2674</v>
      </c>
      <c r="E188" s="18">
        <v>2982</v>
      </c>
      <c r="F188" s="18">
        <v>2076</v>
      </c>
      <c r="G188" s="18">
        <v>2349</v>
      </c>
      <c r="H188" s="18">
        <v>2407</v>
      </c>
    </row>
    <row r="189" spans="2:8">
      <c r="B189" s="14" t="s">
        <v>6132</v>
      </c>
      <c r="C189" s="245" t="s">
        <v>821</v>
      </c>
      <c r="D189" s="15">
        <v>2205</v>
      </c>
      <c r="E189" s="15">
        <v>5389</v>
      </c>
      <c r="F189" s="15">
        <v>9582</v>
      </c>
      <c r="G189" s="15">
        <v>8737</v>
      </c>
      <c r="H189" s="15">
        <v>2391</v>
      </c>
    </row>
    <row r="190" spans="2:8">
      <c r="B190" s="17" t="s">
        <v>6133</v>
      </c>
      <c r="C190" s="246" t="s">
        <v>822</v>
      </c>
      <c r="D190" s="18">
        <v>1453</v>
      </c>
      <c r="E190" s="18">
        <v>835</v>
      </c>
      <c r="F190" s="18">
        <v>2118</v>
      </c>
      <c r="G190" s="18">
        <v>2017</v>
      </c>
      <c r="H190" s="18">
        <v>2327</v>
      </c>
    </row>
    <row r="191" spans="2:8">
      <c r="B191" s="14" t="s">
        <v>6134</v>
      </c>
      <c r="C191" s="245" t="s">
        <v>823</v>
      </c>
      <c r="D191" s="15">
        <v>1058</v>
      </c>
      <c r="E191" s="15">
        <v>1247</v>
      </c>
      <c r="F191" s="15">
        <v>390</v>
      </c>
      <c r="G191" s="15">
        <v>2923</v>
      </c>
      <c r="H191" s="15">
        <v>2301</v>
      </c>
    </row>
    <row r="192" spans="2:8">
      <c r="B192" s="17" t="s">
        <v>6135</v>
      </c>
      <c r="C192" s="246" t="s">
        <v>824</v>
      </c>
      <c r="D192" s="18">
        <v>31</v>
      </c>
      <c r="E192" s="18">
        <v>14</v>
      </c>
      <c r="F192" s="18">
        <v>0</v>
      </c>
      <c r="G192" s="18">
        <v>568</v>
      </c>
      <c r="H192" s="18">
        <v>2264</v>
      </c>
    </row>
    <row r="193" spans="2:8">
      <c r="B193" s="14" t="s">
        <v>6136</v>
      </c>
      <c r="C193" s="245" t="s">
        <v>825</v>
      </c>
      <c r="D193" s="15">
        <v>2469</v>
      </c>
      <c r="E193" s="15">
        <v>2371</v>
      </c>
      <c r="F193" s="15">
        <v>1791</v>
      </c>
      <c r="G193" s="15">
        <v>3284</v>
      </c>
      <c r="H193" s="15">
        <v>2258</v>
      </c>
    </row>
    <row r="194" spans="2:8">
      <c r="B194" s="17" t="s">
        <v>6137</v>
      </c>
      <c r="C194" s="246" t="s">
        <v>826</v>
      </c>
      <c r="D194" s="18">
        <v>5113</v>
      </c>
      <c r="E194" s="18">
        <v>4043</v>
      </c>
      <c r="F194" s="18">
        <v>2314</v>
      </c>
      <c r="G194" s="18">
        <v>2483</v>
      </c>
      <c r="H194" s="18">
        <v>2255</v>
      </c>
    </row>
    <row r="195" spans="2:8">
      <c r="B195" s="14" t="s">
        <v>6138</v>
      </c>
      <c r="C195" s="245" t="s">
        <v>827</v>
      </c>
      <c r="D195" s="15">
        <v>825</v>
      </c>
      <c r="E195" s="15">
        <v>764</v>
      </c>
      <c r="F195" s="15">
        <v>674</v>
      </c>
      <c r="G195" s="15">
        <v>2538</v>
      </c>
      <c r="H195" s="15">
        <v>2220</v>
      </c>
    </row>
    <row r="196" spans="2:8">
      <c r="B196" s="17" t="s">
        <v>6139</v>
      </c>
      <c r="C196" s="246" t="s">
        <v>828</v>
      </c>
      <c r="D196" s="18">
        <v>2173</v>
      </c>
      <c r="E196" s="18">
        <v>1737</v>
      </c>
      <c r="F196" s="18">
        <v>1114</v>
      </c>
      <c r="G196" s="18">
        <v>1882</v>
      </c>
      <c r="H196" s="18">
        <v>2216</v>
      </c>
    </row>
    <row r="197" spans="2:8">
      <c r="B197" s="14" t="s">
        <v>6140</v>
      </c>
      <c r="C197" s="245" t="s">
        <v>829</v>
      </c>
      <c r="D197" s="15">
        <v>985</v>
      </c>
      <c r="E197" s="15">
        <v>1128</v>
      </c>
      <c r="F197" s="15">
        <v>726</v>
      </c>
      <c r="G197" s="15">
        <v>1435</v>
      </c>
      <c r="H197" s="15">
        <v>2147</v>
      </c>
    </row>
    <row r="198" spans="2:8">
      <c r="B198" s="17" t="s">
        <v>6141</v>
      </c>
      <c r="C198" s="246" t="s">
        <v>830</v>
      </c>
      <c r="D198" s="18">
        <v>1100</v>
      </c>
      <c r="E198" s="18">
        <v>1104</v>
      </c>
      <c r="F198" s="18">
        <v>614</v>
      </c>
      <c r="G198" s="18">
        <v>664</v>
      </c>
      <c r="H198" s="18">
        <v>2139</v>
      </c>
    </row>
    <row r="199" spans="2:8">
      <c r="B199" s="14" t="s">
        <v>6142</v>
      </c>
      <c r="C199" s="245" t="s">
        <v>831</v>
      </c>
      <c r="D199" s="15">
        <v>1669</v>
      </c>
      <c r="E199" s="15">
        <v>1904</v>
      </c>
      <c r="F199" s="15">
        <v>1521</v>
      </c>
      <c r="G199" s="15">
        <v>2013</v>
      </c>
      <c r="H199" s="15">
        <v>2102</v>
      </c>
    </row>
    <row r="200" spans="2:8">
      <c r="B200" s="17" t="s">
        <v>6143</v>
      </c>
      <c r="C200" s="246" t="s">
        <v>832</v>
      </c>
      <c r="D200" s="18">
        <v>2417</v>
      </c>
      <c r="E200" s="18">
        <v>2251</v>
      </c>
      <c r="F200" s="18">
        <v>4275</v>
      </c>
      <c r="G200" s="18">
        <v>2810</v>
      </c>
      <c r="H200" s="18">
        <v>2083</v>
      </c>
    </row>
    <row r="201" spans="2:8">
      <c r="B201" s="14" t="s">
        <v>6144</v>
      </c>
      <c r="C201" s="245" t="s">
        <v>833</v>
      </c>
      <c r="D201" s="15">
        <v>2506</v>
      </c>
      <c r="E201" s="15">
        <v>2437</v>
      </c>
      <c r="F201" s="15">
        <v>2197</v>
      </c>
      <c r="G201" s="15">
        <v>1890</v>
      </c>
      <c r="H201" s="15">
        <v>2051</v>
      </c>
    </row>
    <row r="202" spans="2:8">
      <c r="B202" s="17" t="s">
        <v>6145</v>
      </c>
      <c r="C202" s="246" t="s">
        <v>834</v>
      </c>
      <c r="D202" s="18">
        <v>40</v>
      </c>
      <c r="E202" s="18">
        <v>0</v>
      </c>
      <c r="F202" s="18">
        <v>588</v>
      </c>
      <c r="G202" s="18">
        <v>0</v>
      </c>
      <c r="H202" s="18">
        <v>2043</v>
      </c>
    </row>
    <row r="203" spans="2:8">
      <c r="B203" s="14" t="s">
        <v>6146</v>
      </c>
      <c r="C203" s="245" t="s">
        <v>835</v>
      </c>
      <c r="D203" s="15">
        <v>251</v>
      </c>
      <c r="E203" s="15">
        <v>194</v>
      </c>
      <c r="F203" s="15">
        <v>144</v>
      </c>
      <c r="G203" s="15">
        <v>139</v>
      </c>
      <c r="H203" s="15">
        <v>2034</v>
      </c>
    </row>
    <row r="204" spans="2:8">
      <c r="B204" s="17" t="s">
        <v>6147</v>
      </c>
      <c r="C204" s="246" t="s">
        <v>836</v>
      </c>
      <c r="D204" s="18">
        <v>1343</v>
      </c>
      <c r="E204" s="18">
        <v>1765</v>
      </c>
      <c r="F204" s="18">
        <v>1879</v>
      </c>
      <c r="G204" s="18">
        <v>2555</v>
      </c>
      <c r="H204" s="18">
        <v>2001</v>
      </c>
    </row>
    <row r="205" spans="2:8">
      <c r="B205" s="14" t="s">
        <v>6148</v>
      </c>
      <c r="C205" s="245" t="s">
        <v>837</v>
      </c>
      <c r="D205" s="15">
        <v>0</v>
      </c>
      <c r="E205" s="15">
        <v>0</v>
      </c>
      <c r="F205" s="15">
        <v>0</v>
      </c>
      <c r="G205" s="15">
        <v>0</v>
      </c>
      <c r="H205" s="15">
        <v>1973</v>
      </c>
    </row>
    <row r="206" spans="2:8">
      <c r="B206" s="17" t="s">
        <v>6149</v>
      </c>
      <c r="C206" s="246" t="s">
        <v>838</v>
      </c>
      <c r="D206" s="18">
        <v>1350</v>
      </c>
      <c r="E206" s="18">
        <v>1344</v>
      </c>
      <c r="F206" s="18">
        <v>1379</v>
      </c>
      <c r="G206" s="18">
        <v>1978</v>
      </c>
      <c r="H206" s="18">
        <v>1959</v>
      </c>
    </row>
    <row r="207" spans="2:8">
      <c r="B207" s="14" t="s">
        <v>6150</v>
      </c>
      <c r="C207" s="245" t="s">
        <v>839</v>
      </c>
      <c r="D207" s="15">
        <v>7707</v>
      </c>
      <c r="E207" s="15">
        <v>1123</v>
      </c>
      <c r="F207" s="15">
        <v>2974</v>
      </c>
      <c r="G207" s="15">
        <v>7440</v>
      </c>
      <c r="H207" s="15">
        <v>1848</v>
      </c>
    </row>
    <row r="208" spans="2:8">
      <c r="B208" s="17" t="s">
        <v>6151</v>
      </c>
      <c r="C208" s="246" t="s">
        <v>840</v>
      </c>
      <c r="D208" s="18">
        <v>77</v>
      </c>
      <c r="E208" s="18">
        <v>62</v>
      </c>
      <c r="F208" s="18">
        <v>27</v>
      </c>
      <c r="G208" s="18">
        <v>754</v>
      </c>
      <c r="H208" s="18">
        <v>1841</v>
      </c>
    </row>
    <row r="209" spans="2:8">
      <c r="B209" s="14" t="s">
        <v>6152</v>
      </c>
      <c r="C209" s="245" t="s">
        <v>841</v>
      </c>
      <c r="D209" s="15">
        <v>585</v>
      </c>
      <c r="E209" s="15">
        <v>1011</v>
      </c>
      <c r="F209" s="15">
        <v>666</v>
      </c>
      <c r="G209" s="15">
        <v>1228</v>
      </c>
      <c r="H209" s="15">
        <v>1780</v>
      </c>
    </row>
    <row r="210" spans="2:8">
      <c r="B210" s="17" t="s">
        <v>6153</v>
      </c>
      <c r="C210" s="246" t="s">
        <v>842</v>
      </c>
      <c r="D210" s="18">
        <v>832</v>
      </c>
      <c r="E210" s="18">
        <v>236</v>
      </c>
      <c r="F210" s="18">
        <v>264</v>
      </c>
      <c r="G210" s="18">
        <v>434</v>
      </c>
      <c r="H210" s="18">
        <v>1776</v>
      </c>
    </row>
    <row r="211" spans="2:8">
      <c r="B211" s="14" t="s">
        <v>6154</v>
      </c>
      <c r="C211" s="245" t="s">
        <v>843</v>
      </c>
      <c r="D211" s="15">
        <v>1081</v>
      </c>
      <c r="E211" s="15">
        <v>1380</v>
      </c>
      <c r="F211" s="15">
        <v>236</v>
      </c>
      <c r="G211" s="15">
        <v>959</v>
      </c>
      <c r="H211" s="15">
        <v>1775</v>
      </c>
    </row>
    <row r="212" spans="2:8">
      <c r="B212" s="17" t="s">
        <v>6155</v>
      </c>
      <c r="C212" s="246" t="s">
        <v>844</v>
      </c>
      <c r="D212" s="18">
        <v>604</v>
      </c>
      <c r="E212" s="18">
        <v>1133</v>
      </c>
      <c r="F212" s="18">
        <v>2917</v>
      </c>
      <c r="G212" s="18">
        <v>2228</v>
      </c>
      <c r="H212" s="18">
        <v>1751</v>
      </c>
    </row>
    <row r="213" spans="2:8">
      <c r="B213" s="14" t="s">
        <v>6156</v>
      </c>
      <c r="C213" s="245" t="s">
        <v>845</v>
      </c>
      <c r="D213" s="15">
        <v>1714</v>
      </c>
      <c r="E213" s="15">
        <v>1399</v>
      </c>
      <c r="F213" s="15">
        <v>977</v>
      </c>
      <c r="G213" s="15">
        <v>1203</v>
      </c>
      <c r="H213" s="15">
        <v>1748</v>
      </c>
    </row>
    <row r="214" spans="2:8">
      <c r="B214" s="17" t="s">
        <v>6157</v>
      </c>
      <c r="C214" s="246" t="s">
        <v>749</v>
      </c>
      <c r="D214" s="18">
        <v>852</v>
      </c>
      <c r="E214" s="18">
        <v>513</v>
      </c>
      <c r="F214" s="18">
        <v>513</v>
      </c>
      <c r="G214" s="18">
        <v>880</v>
      </c>
      <c r="H214" s="18">
        <v>1741</v>
      </c>
    </row>
    <row r="215" spans="2:8">
      <c r="B215" s="14" t="s">
        <v>6158</v>
      </c>
      <c r="C215" s="245" t="s">
        <v>846</v>
      </c>
      <c r="D215" s="15">
        <v>906</v>
      </c>
      <c r="E215" s="15">
        <v>881</v>
      </c>
      <c r="F215" s="15">
        <v>1192</v>
      </c>
      <c r="G215" s="15">
        <v>1248</v>
      </c>
      <c r="H215" s="15">
        <v>1707</v>
      </c>
    </row>
    <row r="216" spans="2:8">
      <c r="B216" s="17" t="s">
        <v>6159</v>
      </c>
      <c r="C216" s="246" t="s">
        <v>847</v>
      </c>
      <c r="D216" s="18">
        <v>1152</v>
      </c>
      <c r="E216" s="18">
        <v>1060</v>
      </c>
      <c r="F216" s="18">
        <v>830</v>
      </c>
      <c r="G216" s="18">
        <v>1116</v>
      </c>
      <c r="H216" s="18">
        <v>1704</v>
      </c>
    </row>
    <row r="217" spans="2:8">
      <c r="B217" s="14" t="s">
        <v>6160</v>
      </c>
      <c r="C217" s="245" t="s">
        <v>848</v>
      </c>
      <c r="D217" s="15">
        <v>1281</v>
      </c>
      <c r="E217" s="15">
        <v>972</v>
      </c>
      <c r="F217" s="15">
        <v>1278</v>
      </c>
      <c r="G217" s="15">
        <v>2697</v>
      </c>
      <c r="H217" s="15">
        <v>1676</v>
      </c>
    </row>
    <row r="218" spans="2:8">
      <c r="B218" s="17" t="s">
        <v>6161</v>
      </c>
      <c r="C218" s="246" t="s">
        <v>849</v>
      </c>
      <c r="D218" s="18">
        <v>3</v>
      </c>
      <c r="E218" s="18">
        <v>3</v>
      </c>
      <c r="F218" s="18">
        <v>12</v>
      </c>
      <c r="G218" s="18">
        <v>637</v>
      </c>
      <c r="H218" s="18">
        <v>1674</v>
      </c>
    </row>
    <row r="219" spans="2:8">
      <c r="B219" s="14" t="s">
        <v>6162</v>
      </c>
      <c r="C219" s="245" t="s">
        <v>850</v>
      </c>
      <c r="D219" s="15">
        <v>6022</v>
      </c>
      <c r="E219" s="15">
        <v>7376</v>
      </c>
      <c r="F219" s="15">
        <v>5294</v>
      </c>
      <c r="G219" s="15">
        <v>5006</v>
      </c>
      <c r="H219" s="15">
        <v>1661</v>
      </c>
    </row>
    <row r="220" spans="2:8">
      <c r="B220" s="17" t="s">
        <v>6163</v>
      </c>
      <c r="C220" s="246" t="s">
        <v>708</v>
      </c>
      <c r="D220" s="18">
        <v>782</v>
      </c>
      <c r="E220" s="18">
        <v>1384</v>
      </c>
      <c r="F220" s="18">
        <v>810</v>
      </c>
      <c r="G220" s="18">
        <v>1056</v>
      </c>
      <c r="H220" s="18">
        <v>1659</v>
      </c>
    </row>
    <row r="221" spans="2:8">
      <c r="B221" s="14" t="s">
        <v>6164</v>
      </c>
      <c r="C221" s="245" t="s">
        <v>851</v>
      </c>
      <c r="D221" s="15">
        <v>1630</v>
      </c>
      <c r="E221" s="15">
        <v>1554</v>
      </c>
      <c r="F221" s="15">
        <v>820</v>
      </c>
      <c r="G221" s="15">
        <v>1279</v>
      </c>
      <c r="H221" s="15">
        <v>1635</v>
      </c>
    </row>
    <row r="222" spans="2:8">
      <c r="B222" s="17" t="s">
        <v>6165</v>
      </c>
      <c r="C222" s="246" t="s">
        <v>852</v>
      </c>
      <c r="D222" s="18">
        <v>925</v>
      </c>
      <c r="E222" s="18">
        <v>1055</v>
      </c>
      <c r="F222" s="18">
        <v>888</v>
      </c>
      <c r="G222" s="18">
        <v>1275</v>
      </c>
      <c r="H222" s="18">
        <v>1623</v>
      </c>
    </row>
    <row r="223" spans="2:8">
      <c r="B223" s="14" t="s">
        <v>6166</v>
      </c>
      <c r="C223" s="245" t="s">
        <v>853</v>
      </c>
      <c r="D223" s="15">
        <v>543</v>
      </c>
      <c r="E223" s="15">
        <v>1359</v>
      </c>
      <c r="F223" s="15">
        <v>3429</v>
      </c>
      <c r="G223" s="15">
        <v>1940</v>
      </c>
      <c r="H223" s="15">
        <v>1613</v>
      </c>
    </row>
    <row r="224" spans="2:8">
      <c r="B224" s="17" t="s">
        <v>6167</v>
      </c>
      <c r="C224" s="246" t="s">
        <v>854</v>
      </c>
      <c r="D224" s="18">
        <v>708</v>
      </c>
      <c r="E224" s="18">
        <v>614</v>
      </c>
      <c r="F224" s="18">
        <v>1190</v>
      </c>
      <c r="G224" s="18">
        <v>1343</v>
      </c>
      <c r="H224" s="18">
        <v>1610</v>
      </c>
    </row>
    <row r="225" spans="2:8">
      <c r="B225" s="14" t="s">
        <v>6168</v>
      </c>
      <c r="C225" s="245" t="s">
        <v>855</v>
      </c>
      <c r="D225" s="15">
        <v>0</v>
      </c>
      <c r="E225" s="15">
        <v>0</v>
      </c>
      <c r="F225" s="15">
        <v>0</v>
      </c>
      <c r="G225" s="15">
        <v>0</v>
      </c>
      <c r="H225" s="15">
        <v>1595</v>
      </c>
    </row>
    <row r="226" spans="2:8">
      <c r="B226" s="17" t="s">
        <v>6169</v>
      </c>
      <c r="C226" s="246" t="s">
        <v>856</v>
      </c>
      <c r="D226" s="18">
        <v>1414</v>
      </c>
      <c r="E226" s="18">
        <v>1519</v>
      </c>
      <c r="F226" s="18">
        <v>1194</v>
      </c>
      <c r="G226" s="18">
        <v>1217</v>
      </c>
      <c r="H226" s="18">
        <v>1565</v>
      </c>
    </row>
    <row r="227" spans="2:8">
      <c r="B227" s="14" t="s">
        <v>6170</v>
      </c>
      <c r="C227" s="245" t="s">
        <v>857</v>
      </c>
      <c r="D227" s="15">
        <v>0</v>
      </c>
      <c r="E227" s="15">
        <v>15</v>
      </c>
      <c r="F227" s="15">
        <v>363</v>
      </c>
      <c r="G227" s="15">
        <v>1076</v>
      </c>
      <c r="H227" s="15">
        <v>1560</v>
      </c>
    </row>
    <row r="228" spans="2:8">
      <c r="B228" s="17" t="s">
        <v>6171</v>
      </c>
      <c r="C228" s="246" t="s">
        <v>858</v>
      </c>
      <c r="D228" s="18">
        <v>980</v>
      </c>
      <c r="E228" s="18">
        <v>815</v>
      </c>
      <c r="F228" s="18">
        <v>1368</v>
      </c>
      <c r="G228" s="18">
        <v>1326</v>
      </c>
      <c r="H228" s="18">
        <v>1558</v>
      </c>
    </row>
    <row r="229" spans="2:8">
      <c r="B229" s="14" t="s">
        <v>6172</v>
      </c>
      <c r="C229" s="245" t="s">
        <v>859</v>
      </c>
      <c r="D229" s="15">
        <v>40</v>
      </c>
      <c r="E229" s="15">
        <v>174</v>
      </c>
      <c r="F229" s="15">
        <v>1015</v>
      </c>
      <c r="G229" s="15">
        <v>1944</v>
      </c>
      <c r="H229" s="15">
        <v>1540</v>
      </c>
    </row>
    <row r="230" spans="2:8">
      <c r="B230" s="17" t="s">
        <v>6173</v>
      </c>
      <c r="C230" s="246" t="s">
        <v>860</v>
      </c>
      <c r="D230" s="18">
        <v>1141</v>
      </c>
      <c r="E230" s="18">
        <v>1773</v>
      </c>
      <c r="F230" s="18">
        <v>462</v>
      </c>
      <c r="G230" s="18">
        <v>992</v>
      </c>
      <c r="H230" s="18">
        <v>1536</v>
      </c>
    </row>
    <row r="231" spans="2:8">
      <c r="B231" s="14" t="s">
        <v>6174</v>
      </c>
      <c r="C231" s="245" t="s">
        <v>861</v>
      </c>
      <c r="D231" s="15">
        <v>0</v>
      </c>
      <c r="E231" s="15">
        <v>0</v>
      </c>
      <c r="F231" s="15">
        <v>0</v>
      </c>
      <c r="G231" s="15">
        <v>0</v>
      </c>
      <c r="H231" s="15">
        <v>1518</v>
      </c>
    </row>
    <row r="232" spans="2:8">
      <c r="B232" s="17" t="s">
        <v>6175</v>
      </c>
      <c r="C232" s="246" t="s">
        <v>862</v>
      </c>
      <c r="D232" s="18">
        <v>1042</v>
      </c>
      <c r="E232" s="18">
        <v>1043</v>
      </c>
      <c r="F232" s="18">
        <v>856</v>
      </c>
      <c r="G232" s="18">
        <v>2009</v>
      </c>
      <c r="H232" s="18">
        <v>1514</v>
      </c>
    </row>
    <row r="233" spans="2:8">
      <c r="B233" s="14" t="s">
        <v>6176</v>
      </c>
      <c r="C233" s="245" t="s">
        <v>863</v>
      </c>
      <c r="D233" s="15">
        <v>588</v>
      </c>
      <c r="E233" s="15">
        <v>774</v>
      </c>
      <c r="F233" s="15">
        <v>292</v>
      </c>
      <c r="G233" s="15">
        <v>1012</v>
      </c>
      <c r="H233" s="15">
        <v>1510</v>
      </c>
    </row>
    <row r="234" spans="2:8">
      <c r="B234" s="17" t="s">
        <v>6177</v>
      </c>
      <c r="C234" s="246" t="s">
        <v>864</v>
      </c>
      <c r="D234" s="18">
        <v>776</v>
      </c>
      <c r="E234" s="18">
        <v>1404</v>
      </c>
      <c r="F234" s="18">
        <v>3660</v>
      </c>
      <c r="G234" s="18">
        <v>2434</v>
      </c>
      <c r="H234" s="18">
        <v>1507</v>
      </c>
    </row>
    <row r="235" spans="2:8">
      <c r="B235" s="14" t="s">
        <v>6178</v>
      </c>
      <c r="C235" s="245" t="s">
        <v>865</v>
      </c>
      <c r="D235" s="15">
        <v>3</v>
      </c>
      <c r="E235" s="15">
        <v>305</v>
      </c>
      <c r="F235" s="15">
        <v>0</v>
      </c>
      <c r="G235" s="15">
        <v>291</v>
      </c>
      <c r="H235" s="15">
        <v>1504</v>
      </c>
    </row>
    <row r="236" spans="2:8">
      <c r="B236" s="17" t="s">
        <v>6179</v>
      </c>
      <c r="C236" s="246" t="s">
        <v>866</v>
      </c>
      <c r="D236" s="18">
        <v>1319</v>
      </c>
      <c r="E236" s="18">
        <v>1232</v>
      </c>
      <c r="F236" s="18">
        <v>632</v>
      </c>
      <c r="G236" s="18">
        <v>1240</v>
      </c>
      <c r="H236" s="18">
        <v>1492</v>
      </c>
    </row>
    <row r="237" spans="2:8">
      <c r="B237" s="14" t="s">
        <v>6180</v>
      </c>
      <c r="C237" s="245" t="s">
        <v>867</v>
      </c>
      <c r="D237" s="15">
        <v>387</v>
      </c>
      <c r="E237" s="15">
        <v>538</v>
      </c>
      <c r="F237" s="15">
        <v>701</v>
      </c>
      <c r="G237" s="15">
        <v>1126</v>
      </c>
      <c r="H237" s="15">
        <v>1488</v>
      </c>
    </row>
    <row r="238" spans="2:8">
      <c r="B238" s="17" t="s">
        <v>6181</v>
      </c>
      <c r="C238" s="246" t="s">
        <v>868</v>
      </c>
      <c r="D238" s="18">
        <v>1837</v>
      </c>
      <c r="E238" s="18">
        <v>1386</v>
      </c>
      <c r="F238" s="18">
        <v>901</v>
      </c>
      <c r="G238" s="18">
        <v>1165</v>
      </c>
      <c r="H238" s="18">
        <v>1476</v>
      </c>
    </row>
    <row r="239" spans="2:8">
      <c r="B239" s="14" t="s">
        <v>6182</v>
      </c>
      <c r="C239" s="245" t="s">
        <v>869</v>
      </c>
      <c r="D239" s="15">
        <v>1161</v>
      </c>
      <c r="E239" s="15">
        <v>1306</v>
      </c>
      <c r="F239" s="15">
        <v>805</v>
      </c>
      <c r="G239" s="15">
        <v>1204</v>
      </c>
      <c r="H239" s="15">
        <v>1461</v>
      </c>
    </row>
    <row r="240" spans="2:8">
      <c r="B240" s="17" t="s">
        <v>6183</v>
      </c>
      <c r="C240" s="246" t="s">
        <v>870</v>
      </c>
      <c r="D240" s="18">
        <v>288</v>
      </c>
      <c r="E240" s="18">
        <v>207</v>
      </c>
      <c r="F240" s="18">
        <v>599</v>
      </c>
      <c r="G240" s="18">
        <v>671</v>
      </c>
      <c r="H240" s="18">
        <v>1447</v>
      </c>
    </row>
    <row r="241" spans="2:8">
      <c r="B241" s="14" t="s">
        <v>6184</v>
      </c>
      <c r="C241" s="245" t="s">
        <v>871</v>
      </c>
      <c r="D241" s="15">
        <v>0</v>
      </c>
      <c r="E241" s="15">
        <v>0</v>
      </c>
      <c r="F241" s="15">
        <v>0</v>
      </c>
      <c r="G241" s="15">
        <v>0</v>
      </c>
      <c r="H241" s="15">
        <v>1429</v>
      </c>
    </row>
    <row r="242" spans="2:8">
      <c r="B242" s="17" t="s">
        <v>6185</v>
      </c>
      <c r="C242" s="246" t="s">
        <v>872</v>
      </c>
      <c r="D242" s="18">
        <v>2206</v>
      </c>
      <c r="E242" s="18">
        <v>1816</v>
      </c>
      <c r="F242" s="18">
        <v>1896</v>
      </c>
      <c r="G242" s="18">
        <v>1074</v>
      </c>
      <c r="H242" s="18">
        <v>1401</v>
      </c>
    </row>
    <row r="243" spans="2:8">
      <c r="B243" s="14" t="s">
        <v>6186</v>
      </c>
      <c r="C243" s="245" t="s">
        <v>873</v>
      </c>
      <c r="D243" s="15">
        <v>995</v>
      </c>
      <c r="E243" s="15">
        <v>1154</v>
      </c>
      <c r="F243" s="15">
        <v>1131</v>
      </c>
      <c r="G243" s="15">
        <v>1321</v>
      </c>
      <c r="H243" s="15">
        <v>1399</v>
      </c>
    </row>
    <row r="244" spans="2:8">
      <c r="B244" s="17" t="s">
        <v>6187</v>
      </c>
      <c r="C244" s="246" t="s">
        <v>874</v>
      </c>
      <c r="D244" s="18">
        <v>602</v>
      </c>
      <c r="E244" s="18">
        <v>757</v>
      </c>
      <c r="F244" s="18">
        <v>1148</v>
      </c>
      <c r="G244" s="18">
        <v>1457</v>
      </c>
      <c r="H244" s="18">
        <v>1390</v>
      </c>
    </row>
    <row r="245" spans="2:8">
      <c r="B245" s="14" t="s">
        <v>6188</v>
      </c>
      <c r="C245" s="245" t="s">
        <v>875</v>
      </c>
      <c r="D245" s="15">
        <v>40</v>
      </c>
      <c r="E245" s="15">
        <v>0</v>
      </c>
      <c r="F245" s="15">
        <v>385</v>
      </c>
      <c r="G245" s="15">
        <v>134</v>
      </c>
      <c r="H245" s="15">
        <v>1380</v>
      </c>
    </row>
    <row r="246" spans="2:8">
      <c r="B246" s="17" t="s">
        <v>6189</v>
      </c>
      <c r="C246" s="246" t="s">
        <v>876</v>
      </c>
      <c r="D246" s="18">
        <v>772</v>
      </c>
      <c r="E246" s="18">
        <v>1491</v>
      </c>
      <c r="F246" s="18">
        <v>2393</v>
      </c>
      <c r="G246" s="18">
        <v>1353</v>
      </c>
      <c r="H246" s="18">
        <v>1374</v>
      </c>
    </row>
    <row r="247" spans="2:8">
      <c r="B247" s="14" t="s">
        <v>6190</v>
      </c>
      <c r="C247" s="245" t="s">
        <v>877</v>
      </c>
      <c r="D247" s="15">
        <v>1374</v>
      </c>
      <c r="E247" s="15">
        <v>1719</v>
      </c>
      <c r="F247" s="15">
        <v>1258</v>
      </c>
      <c r="G247" s="15">
        <v>1206</v>
      </c>
      <c r="H247" s="15">
        <v>1370</v>
      </c>
    </row>
    <row r="248" spans="2:8">
      <c r="B248" s="17" t="s">
        <v>6191</v>
      </c>
      <c r="C248" s="246" t="s">
        <v>830</v>
      </c>
      <c r="D248" s="18">
        <v>2392</v>
      </c>
      <c r="E248" s="18">
        <v>1827</v>
      </c>
      <c r="F248" s="18">
        <v>856</v>
      </c>
      <c r="G248" s="18">
        <v>845</v>
      </c>
      <c r="H248" s="18">
        <v>1366</v>
      </c>
    </row>
    <row r="249" spans="2:8">
      <c r="B249" s="14" t="s">
        <v>6192</v>
      </c>
      <c r="C249" s="245" t="s">
        <v>878</v>
      </c>
      <c r="D249" s="15">
        <v>1161</v>
      </c>
      <c r="E249" s="15">
        <v>1040</v>
      </c>
      <c r="F249" s="15">
        <v>814</v>
      </c>
      <c r="G249" s="15">
        <v>1327</v>
      </c>
      <c r="H249" s="15">
        <v>1349</v>
      </c>
    </row>
    <row r="250" spans="2:8">
      <c r="B250" s="17" t="s">
        <v>6193</v>
      </c>
      <c r="C250" s="246" t="s">
        <v>879</v>
      </c>
      <c r="D250" s="18">
        <v>2688</v>
      </c>
      <c r="E250" s="18">
        <v>651</v>
      </c>
      <c r="F250" s="18">
        <v>672</v>
      </c>
      <c r="G250" s="18">
        <v>495</v>
      </c>
      <c r="H250" s="18">
        <v>1342</v>
      </c>
    </row>
    <row r="251" spans="2:8">
      <c r="B251" s="14" t="s">
        <v>6194</v>
      </c>
      <c r="C251" s="245" t="s">
        <v>880</v>
      </c>
      <c r="D251" s="15">
        <v>2403</v>
      </c>
      <c r="E251" s="15">
        <v>1947</v>
      </c>
      <c r="F251" s="15">
        <v>1576</v>
      </c>
      <c r="G251" s="15">
        <v>1808</v>
      </c>
      <c r="H251" s="15">
        <v>1340</v>
      </c>
    </row>
    <row r="252" spans="2:8">
      <c r="B252" s="17" t="s">
        <v>6195</v>
      </c>
      <c r="C252" s="246" t="s">
        <v>881</v>
      </c>
      <c r="D252" s="18">
        <v>4</v>
      </c>
      <c r="E252" s="18">
        <v>3</v>
      </c>
      <c r="F252" s="18">
        <v>195</v>
      </c>
      <c r="G252" s="18">
        <v>130</v>
      </c>
      <c r="H252" s="18">
        <v>1331</v>
      </c>
    </row>
    <row r="253" spans="2:8">
      <c r="B253" s="14" t="s">
        <v>6196</v>
      </c>
      <c r="C253" s="245" t="s">
        <v>882</v>
      </c>
      <c r="D253" s="15">
        <v>311</v>
      </c>
      <c r="E253" s="15">
        <v>447</v>
      </c>
      <c r="F253" s="15">
        <v>331</v>
      </c>
      <c r="G253" s="15">
        <v>466</v>
      </c>
      <c r="H253" s="15">
        <v>1299</v>
      </c>
    </row>
    <row r="254" spans="2:8">
      <c r="B254" s="17" t="s">
        <v>6197</v>
      </c>
      <c r="C254" s="246" t="s">
        <v>883</v>
      </c>
      <c r="D254" s="18">
        <v>583</v>
      </c>
      <c r="E254" s="18">
        <v>283</v>
      </c>
      <c r="F254" s="18">
        <v>518</v>
      </c>
      <c r="G254" s="18">
        <v>954</v>
      </c>
      <c r="H254" s="18">
        <v>1286</v>
      </c>
    </row>
    <row r="255" spans="2:8">
      <c r="B255" s="14" t="s">
        <v>6198</v>
      </c>
      <c r="C255" s="245" t="s">
        <v>884</v>
      </c>
      <c r="D255" s="15">
        <v>280</v>
      </c>
      <c r="E255" s="15">
        <v>874</v>
      </c>
      <c r="F255" s="15">
        <v>249</v>
      </c>
      <c r="G255" s="15">
        <v>427</v>
      </c>
      <c r="H255" s="15">
        <v>1284</v>
      </c>
    </row>
    <row r="256" spans="2:8">
      <c r="B256" s="17" t="s">
        <v>6199</v>
      </c>
      <c r="C256" s="246" t="s">
        <v>885</v>
      </c>
      <c r="D256" s="18">
        <v>0</v>
      </c>
      <c r="E256" s="18">
        <v>0</v>
      </c>
      <c r="F256" s="18">
        <v>0</v>
      </c>
      <c r="G256" s="18">
        <v>0</v>
      </c>
      <c r="H256" s="18">
        <v>1276</v>
      </c>
    </row>
    <row r="257" spans="2:8">
      <c r="B257" s="14" t="s">
        <v>6200</v>
      </c>
      <c r="C257" s="245" t="s">
        <v>886</v>
      </c>
      <c r="D257" s="15">
        <v>811</v>
      </c>
      <c r="E257" s="15">
        <v>945</v>
      </c>
      <c r="F257" s="15">
        <v>673</v>
      </c>
      <c r="G257" s="15">
        <v>1019</v>
      </c>
      <c r="H257" s="15">
        <v>1274</v>
      </c>
    </row>
    <row r="258" spans="2:8">
      <c r="B258" s="17" t="s">
        <v>6201</v>
      </c>
      <c r="C258" s="246" t="s">
        <v>887</v>
      </c>
      <c r="D258" s="18">
        <v>1450</v>
      </c>
      <c r="E258" s="18">
        <v>1085</v>
      </c>
      <c r="F258" s="18">
        <v>638</v>
      </c>
      <c r="G258" s="18">
        <v>888</v>
      </c>
      <c r="H258" s="18">
        <v>1274</v>
      </c>
    </row>
    <row r="259" spans="2:8">
      <c r="B259" s="14" t="s">
        <v>6202</v>
      </c>
      <c r="C259" s="245" t="s">
        <v>888</v>
      </c>
      <c r="D259" s="15">
        <v>592</v>
      </c>
      <c r="E259" s="15">
        <v>772</v>
      </c>
      <c r="F259" s="15">
        <v>611</v>
      </c>
      <c r="G259" s="15">
        <v>1139</v>
      </c>
      <c r="H259" s="15">
        <v>1265</v>
      </c>
    </row>
    <row r="260" spans="2:8">
      <c r="B260" s="17" t="s">
        <v>6203</v>
      </c>
      <c r="C260" s="246" t="s">
        <v>889</v>
      </c>
      <c r="D260" s="18">
        <v>1416</v>
      </c>
      <c r="E260" s="18">
        <v>1124</v>
      </c>
      <c r="F260" s="18">
        <v>984</v>
      </c>
      <c r="G260" s="18">
        <v>1054</v>
      </c>
      <c r="H260" s="18">
        <v>1239</v>
      </c>
    </row>
    <row r="261" spans="2:8">
      <c r="B261" s="14" t="s">
        <v>6204</v>
      </c>
      <c r="C261" s="245" t="s">
        <v>890</v>
      </c>
      <c r="D261" s="15">
        <v>750</v>
      </c>
      <c r="E261" s="15">
        <v>794</v>
      </c>
      <c r="F261" s="15">
        <v>839</v>
      </c>
      <c r="G261" s="15">
        <v>1004</v>
      </c>
      <c r="H261" s="15">
        <v>1235</v>
      </c>
    </row>
    <row r="262" spans="2:8">
      <c r="B262" s="17" t="s">
        <v>6205</v>
      </c>
      <c r="C262" s="246" t="s">
        <v>891</v>
      </c>
      <c r="D262" s="18">
        <v>1035</v>
      </c>
      <c r="E262" s="18">
        <v>489</v>
      </c>
      <c r="F262" s="18">
        <v>620</v>
      </c>
      <c r="G262" s="18">
        <v>1365</v>
      </c>
      <c r="H262" s="18">
        <v>1235</v>
      </c>
    </row>
    <row r="263" spans="2:8">
      <c r="B263" s="14" t="s">
        <v>6206</v>
      </c>
      <c r="C263" s="245" t="s">
        <v>892</v>
      </c>
      <c r="D263" s="15">
        <v>1578</v>
      </c>
      <c r="E263" s="15">
        <v>1055</v>
      </c>
      <c r="F263" s="15">
        <v>977</v>
      </c>
      <c r="G263" s="15">
        <v>1291</v>
      </c>
      <c r="H263" s="15">
        <v>1232</v>
      </c>
    </row>
    <row r="264" spans="2:8">
      <c r="B264" s="17" t="s">
        <v>6207</v>
      </c>
      <c r="C264" s="246" t="s">
        <v>893</v>
      </c>
      <c r="D264" s="18">
        <v>436</v>
      </c>
      <c r="E264" s="18">
        <v>221</v>
      </c>
      <c r="F264" s="18">
        <v>389</v>
      </c>
      <c r="G264" s="18">
        <v>526</v>
      </c>
      <c r="H264" s="18">
        <v>1210</v>
      </c>
    </row>
    <row r="265" spans="2:8">
      <c r="B265" s="14" t="s">
        <v>6208</v>
      </c>
      <c r="C265" s="245" t="s">
        <v>894</v>
      </c>
      <c r="D265" s="15">
        <v>0</v>
      </c>
      <c r="E265" s="15">
        <v>0</v>
      </c>
      <c r="F265" s="15">
        <v>0</v>
      </c>
      <c r="G265" s="15">
        <v>0</v>
      </c>
      <c r="H265" s="15">
        <v>1198</v>
      </c>
    </row>
    <row r="266" spans="2:8">
      <c r="B266" s="17" t="s">
        <v>6209</v>
      </c>
      <c r="C266" s="246" t="s">
        <v>895</v>
      </c>
      <c r="D266" s="18">
        <v>544</v>
      </c>
      <c r="E266" s="18">
        <v>611</v>
      </c>
      <c r="F266" s="18">
        <v>296</v>
      </c>
      <c r="G266" s="18">
        <v>1404</v>
      </c>
      <c r="H266" s="18">
        <v>1196</v>
      </c>
    </row>
    <row r="267" spans="2:8">
      <c r="B267" s="14" t="s">
        <v>6210</v>
      </c>
      <c r="C267" s="245" t="s">
        <v>896</v>
      </c>
      <c r="D267" s="15">
        <v>573</v>
      </c>
      <c r="E267" s="15">
        <v>1603</v>
      </c>
      <c r="F267" s="15">
        <v>7879</v>
      </c>
      <c r="G267" s="15">
        <v>3573</v>
      </c>
      <c r="H267" s="15">
        <v>1184</v>
      </c>
    </row>
    <row r="268" spans="2:8">
      <c r="B268" s="17" t="s">
        <v>6211</v>
      </c>
      <c r="C268" s="246" t="s">
        <v>897</v>
      </c>
      <c r="D268" s="18">
        <v>143</v>
      </c>
      <c r="E268" s="18">
        <v>112</v>
      </c>
      <c r="F268" s="18">
        <v>76</v>
      </c>
      <c r="G268" s="18">
        <v>195</v>
      </c>
      <c r="H268" s="18">
        <v>1157</v>
      </c>
    </row>
    <row r="269" spans="2:8">
      <c r="B269" s="14" t="s">
        <v>6212</v>
      </c>
      <c r="C269" s="245" t="s">
        <v>898</v>
      </c>
      <c r="D269" s="15">
        <v>802</v>
      </c>
      <c r="E269" s="15">
        <v>814</v>
      </c>
      <c r="F269" s="15">
        <v>657</v>
      </c>
      <c r="G269" s="15">
        <v>1525</v>
      </c>
      <c r="H269" s="15">
        <v>1154</v>
      </c>
    </row>
    <row r="270" spans="2:8">
      <c r="B270" s="17" t="s">
        <v>6213</v>
      </c>
      <c r="C270" s="246" t="s">
        <v>899</v>
      </c>
      <c r="D270" s="18">
        <v>905</v>
      </c>
      <c r="E270" s="18">
        <v>849</v>
      </c>
      <c r="F270" s="18">
        <v>396</v>
      </c>
      <c r="G270" s="18">
        <v>602</v>
      </c>
      <c r="H270" s="18">
        <v>1151</v>
      </c>
    </row>
    <row r="271" spans="2:8">
      <c r="B271" s="14" t="s">
        <v>6214</v>
      </c>
      <c r="C271" s="245" t="s">
        <v>900</v>
      </c>
      <c r="D271" s="15">
        <v>303</v>
      </c>
      <c r="E271" s="15">
        <v>1238</v>
      </c>
      <c r="F271" s="15">
        <v>420</v>
      </c>
      <c r="G271" s="15">
        <v>896</v>
      </c>
      <c r="H271" s="15">
        <v>1149</v>
      </c>
    </row>
    <row r="272" spans="2:8">
      <c r="B272" s="17" t="s">
        <v>6215</v>
      </c>
      <c r="C272" s="246" t="s">
        <v>901</v>
      </c>
      <c r="D272" s="18">
        <v>0</v>
      </c>
      <c r="E272" s="18">
        <v>0</v>
      </c>
      <c r="F272" s="18">
        <v>0</v>
      </c>
      <c r="G272" s="18">
        <v>1864</v>
      </c>
      <c r="H272" s="18">
        <v>1139</v>
      </c>
    </row>
    <row r="273" spans="2:8">
      <c r="B273" s="14" t="s">
        <v>6216</v>
      </c>
      <c r="C273" s="245" t="s">
        <v>902</v>
      </c>
      <c r="D273" s="15">
        <v>758</v>
      </c>
      <c r="E273" s="15">
        <v>371</v>
      </c>
      <c r="F273" s="15">
        <v>454</v>
      </c>
      <c r="G273" s="15">
        <v>686</v>
      </c>
      <c r="H273" s="15">
        <v>1133</v>
      </c>
    </row>
    <row r="274" spans="2:8">
      <c r="B274" s="17" t="s">
        <v>6217</v>
      </c>
      <c r="C274" s="246" t="s">
        <v>903</v>
      </c>
      <c r="D274" s="18">
        <v>775</v>
      </c>
      <c r="E274" s="18">
        <v>1013</v>
      </c>
      <c r="F274" s="18">
        <v>882</v>
      </c>
      <c r="G274" s="18">
        <v>1069</v>
      </c>
      <c r="H274" s="18">
        <v>1119</v>
      </c>
    </row>
    <row r="275" spans="2:8">
      <c r="B275" s="14" t="s">
        <v>6218</v>
      </c>
      <c r="C275" s="245" t="s">
        <v>904</v>
      </c>
      <c r="D275" s="15">
        <v>649</v>
      </c>
      <c r="E275" s="15">
        <v>686</v>
      </c>
      <c r="F275" s="15">
        <v>365</v>
      </c>
      <c r="G275" s="15">
        <v>724</v>
      </c>
      <c r="H275" s="15">
        <v>1100</v>
      </c>
    </row>
    <row r="276" spans="2:8">
      <c r="B276" s="17" t="s">
        <v>6219</v>
      </c>
      <c r="C276" s="246" t="s">
        <v>905</v>
      </c>
      <c r="D276" s="18">
        <v>236</v>
      </c>
      <c r="E276" s="18">
        <v>9</v>
      </c>
      <c r="F276" s="18">
        <v>0</v>
      </c>
      <c r="G276" s="18">
        <v>188</v>
      </c>
      <c r="H276" s="18">
        <v>1098</v>
      </c>
    </row>
    <row r="277" spans="2:8">
      <c r="B277" s="14" t="s">
        <v>6220</v>
      </c>
      <c r="C277" s="245" t="s">
        <v>906</v>
      </c>
      <c r="D277" s="15">
        <v>1436</v>
      </c>
      <c r="E277" s="15">
        <v>1505</v>
      </c>
      <c r="F277" s="15">
        <v>1304</v>
      </c>
      <c r="G277" s="15">
        <v>1210</v>
      </c>
      <c r="H277" s="15">
        <v>1089</v>
      </c>
    </row>
    <row r="278" spans="2:8">
      <c r="B278" s="17" t="s">
        <v>6221</v>
      </c>
      <c r="C278" s="246" t="s">
        <v>907</v>
      </c>
      <c r="D278" s="18">
        <v>490</v>
      </c>
      <c r="E278" s="18">
        <v>572</v>
      </c>
      <c r="F278" s="18">
        <v>728</v>
      </c>
      <c r="G278" s="18">
        <v>1146</v>
      </c>
      <c r="H278" s="18">
        <v>1087</v>
      </c>
    </row>
    <row r="279" spans="2:8">
      <c r="B279" s="14" t="s">
        <v>6222</v>
      </c>
      <c r="C279" s="245" t="s">
        <v>908</v>
      </c>
      <c r="D279" s="15">
        <v>332</v>
      </c>
      <c r="E279" s="15">
        <v>707</v>
      </c>
      <c r="F279" s="15">
        <v>733</v>
      </c>
      <c r="G279" s="15">
        <v>642</v>
      </c>
      <c r="H279" s="15">
        <v>1084</v>
      </c>
    </row>
    <row r="280" spans="2:8">
      <c r="B280" s="17" t="s">
        <v>6223</v>
      </c>
      <c r="C280" s="246" t="s">
        <v>909</v>
      </c>
      <c r="D280" s="18">
        <v>163</v>
      </c>
      <c r="E280" s="18">
        <v>231</v>
      </c>
      <c r="F280" s="18">
        <v>498</v>
      </c>
      <c r="G280" s="18">
        <v>1161</v>
      </c>
      <c r="H280" s="18">
        <v>1075</v>
      </c>
    </row>
    <row r="281" spans="2:8">
      <c r="B281" s="14" t="s">
        <v>6224</v>
      </c>
      <c r="C281" s="245" t="s">
        <v>910</v>
      </c>
      <c r="D281" s="15">
        <v>347</v>
      </c>
      <c r="E281" s="15">
        <v>0</v>
      </c>
      <c r="F281" s="15">
        <v>509</v>
      </c>
      <c r="G281" s="15">
        <v>515</v>
      </c>
      <c r="H281" s="15">
        <v>1072</v>
      </c>
    </row>
    <row r="282" spans="2:8">
      <c r="B282" s="17" t="s">
        <v>6225</v>
      </c>
      <c r="C282" s="246" t="s">
        <v>911</v>
      </c>
      <c r="D282" s="18">
        <v>0</v>
      </c>
      <c r="E282" s="18">
        <v>0</v>
      </c>
      <c r="F282" s="18">
        <v>0</v>
      </c>
      <c r="G282" s="18">
        <v>0</v>
      </c>
      <c r="H282" s="18">
        <v>1046</v>
      </c>
    </row>
    <row r="283" spans="2:8">
      <c r="B283" s="14" t="s">
        <v>6226</v>
      </c>
      <c r="C283" s="245" t="s">
        <v>786</v>
      </c>
      <c r="D283" s="15">
        <v>0</v>
      </c>
      <c r="E283" s="15">
        <v>93</v>
      </c>
      <c r="F283" s="15">
        <v>86</v>
      </c>
      <c r="G283" s="15">
        <v>615</v>
      </c>
      <c r="H283" s="15">
        <v>1034</v>
      </c>
    </row>
    <row r="284" spans="2:8">
      <c r="B284" s="17" t="s">
        <v>6227</v>
      </c>
      <c r="C284" s="246" t="s">
        <v>912</v>
      </c>
      <c r="D284" s="18">
        <v>554</v>
      </c>
      <c r="E284" s="18">
        <v>456</v>
      </c>
      <c r="F284" s="18">
        <v>333</v>
      </c>
      <c r="G284" s="18">
        <v>1257</v>
      </c>
      <c r="H284" s="18">
        <v>1028</v>
      </c>
    </row>
    <row r="285" spans="2:8">
      <c r="B285" s="14" t="s">
        <v>6228</v>
      </c>
      <c r="C285" s="245" t="s">
        <v>913</v>
      </c>
      <c r="D285" s="15">
        <v>685</v>
      </c>
      <c r="E285" s="15">
        <v>749</v>
      </c>
      <c r="F285" s="15">
        <v>607</v>
      </c>
      <c r="G285" s="15">
        <v>1147</v>
      </c>
      <c r="H285" s="15">
        <v>1025</v>
      </c>
    </row>
    <row r="286" spans="2:8">
      <c r="B286" s="17" t="s">
        <v>6229</v>
      </c>
      <c r="C286" s="246" t="s">
        <v>914</v>
      </c>
      <c r="D286" s="18">
        <v>1508</v>
      </c>
      <c r="E286" s="18">
        <v>1430</v>
      </c>
      <c r="F286" s="18">
        <v>1275</v>
      </c>
      <c r="G286" s="18">
        <v>1464</v>
      </c>
      <c r="H286" s="18">
        <v>1016</v>
      </c>
    </row>
    <row r="287" spans="2:8">
      <c r="B287" s="14" t="s">
        <v>6230</v>
      </c>
      <c r="C287" s="245" t="s">
        <v>915</v>
      </c>
      <c r="D287" s="15">
        <v>234</v>
      </c>
      <c r="E287" s="15">
        <v>416</v>
      </c>
      <c r="F287" s="15">
        <v>443</v>
      </c>
      <c r="G287" s="15">
        <v>405</v>
      </c>
      <c r="H287" s="15">
        <v>1009</v>
      </c>
    </row>
    <row r="288" spans="2:8">
      <c r="B288" s="17" t="s">
        <v>6231</v>
      </c>
      <c r="C288" s="246" t="s">
        <v>916</v>
      </c>
      <c r="D288" s="18">
        <v>768</v>
      </c>
      <c r="E288" s="18">
        <v>685</v>
      </c>
      <c r="F288" s="18">
        <v>695</v>
      </c>
      <c r="G288" s="18">
        <v>842</v>
      </c>
      <c r="H288" s="18">
        <v>1003</v>
      </c>
    </row>
    <row r="289" spans="2:8">
      <c r="B289" s="14" t="s">
        <v>6232</v>
      </c>
      <c r="C289" s="245" t="s">
        <v>917</v>
      </c>
      <c r="D289" s="15">
        <v>1717</v>
      </c>
      <c r="E289" s="15">
        <v>1002</v>
      </c>
      <c r="F289" s="15">
        <v>1581</v>
      </c>
      <c r="G289" s="15">
        <v>974</v>
      </c>
      <c r="H289" s="15">
        <v>1003</v>
      </c>
    </row>
    <row r="290" spans="2:8">
      <c r="B290" s="17" t="s">
        <v>6233</v>
      </c>
      <c r="C290" s="246" t="s">
        <v>918</v>
      </c>
      <c r="D290" s="18">
        <v>4</v>
      </c>
      <c r="E290" s="18">
        <v>252</v>
      </c>
      <c r="F290" s="18">
        <v>732</v>
      </c>
      <c r="G290" s="18">
        <v>1645</v>
      </c>
      <c r="H290" s="18">
        <v>981</v>
      </c>
    </row>
    <row r="291" spans="2:8">
      <c r="B291" s="14" t="s">
        <v>6234</v>
      </c>
      <c r="C291" s="245" t="s">
        <v>919</v>
      </c>
      <c r="D291" s="15">
        <v>0</v>
      </c>
      <c r="E291" s="15">
        <v>57</v>
      </c>
      <c r="F291" s="15">
        <v>1349</v>
      </c>
      <c r="G291" s="15">
        <v>651</v>
      </c>
      <c r="H291" s="15">
        <v>980</v>
      </c>
    </row>
    <row r="292" spans="2:8">
      <c r="B292" s="17" t="s">
        <v>6235</v>
      </c>
      <c r="C292" s="246" t="s">
        <v>920</v>
      </c>
      <c r="D292" s="18">
        <v>978</v>
      </c>
      <c r="E292" s="18">
        <v>933</v>
      </c>
      <c r="F292" s="18">
        <v>913</v>
      </c>
      <c r="G292" s="18">
        <v>865</v>
      </c>
      <c r="H292" s="18">
        <v>979</v>
      </c>
    </row>
    <row r="293" spans="2:8">
      <c r="B293" s="14" t="s">
        <v>6236</v>
      </c>
      <c r="C293" s="245" t="s">
        <v>921</v>
      </c>
      <c r="D293" s="15">
        <v>252</v>
      </c>
      <c r="E293" s="15">
        <v>0</v>
      </c>
      <c r="F293" s="15">
        <v>0</v>
      </c>
      <c r="G293" s="15">
        <v>0</v>
      </c>
      <c r="H293" s="15">
        <v>957</v>
      </c>
    </row>
    <row r="294" spans="2:8">
      <c r="B294" s="17" t="s">
        <v>6237</v>
      </c>
      <c r="C294" s="246" t="s">
        <v>922</v>
      </c>
      <c r="D294" s="18">
        <v>413</v>
      </c>
      <c r="E294" s="18">
        <v>252</v>
      </c>
      <c r="F294" s="18">
        <v>289</v>
      </c>
      <c r="G294" s="18">
        <v>388</v>
      </c>
      <c r="H294" s="18">
        <v>955</v>
      </c>
    </row>
    <row r="295" spans="2:8">
      <c r="B295" s="14" t="s">
        <v>6238</v>
      </c>
      <c r="C295" s="245" t="s">
        <v>923</v>
      </c>
      <c r="D295" s="15">
        <v>502</v>
      </c>
      <c r="E295" s="15">
        <v>625</v>
      </c>
      <c r="F295" s="15">
        <v>512</v>
      </c>
      <c r="G295" s="15">
        <v>759</v>
      </c>
      <c r="H295" s="15">
        <v>950</v>
      </c>
    </row>
    <row r="296" spans="2:8">
      <c r="B296" s="17" t="s">
        <v>6239</v>
      </c>
      <c r="C296" s="246" t="s">
        <v>924</v>
      </c>
      <c r="D296" s="18">
        <v>225</v>
      </c>
      <c r="E296" s="18">
        <v>528</v>
      </c>
      <c r="F296" s="18">
        <v>688</v>
      </c>
      <c r="G296" s="18">
        <v>754</v>
      </c>
      <c r="H296" s="18">
        <v>945</v>
      </c>
    </row>
    <row r="297" spans="2:8">
      <c r="B297" s="14" t="s">
        <v>6240</v>
      </c>
      <c r="C297" s="245" t="s">
        <v>925</v>
      </c>
      <c r="D297" s="15">
        <v>154</v>
      </c>
      <c r="E297" s="15">
        <v>186</v>
      </c>
      <c r="F297" s="15">
        <v>332</v>
      </c>
      <c r="G297" s="15">
        <v>78</v>
      </c>
      <c r="H297" s="15">
        <v>922</v>
      </c>
    </row>
    <row r="298" spans="2:8">
      <c r="B298" s="17" t="s">
        <v>6241</v>
      </c>
      <c r="C298" s="246" t="s">
        <v>926</v>
      </c>
      <c r="D298" s="18">
        <v>371</v>
      </c>
      <c r="E298" s="18">
        <v>443</v>
      </c>
      <c r="F298" s="18">
        <v>447</v>
      </c>
      <c r="G298" s="18">
        <v>287</v>
      </c>
      <c r="H298" s="18">
        <v>921</v>
      </c>
    </row>
    <row r="299" spans="2:8">
      <c r="B299" s="14" t="s">
        <v>6242</v>
      </c>
      <c r="C299" s="245" t="s">
        <v>927</v>
      </c>
      <c r="D299" s="15">
        <v>261</v>
      </c>
      <c r="E299" s="15">
        <v>21</v>
      </c>
      <c r="F299" s="15">
        <v>232</v>
      </c>
      <c r="G299" s="15">
        <v>307</v>
      </c>
      <c r="H299" s="15">
        <v>920</v>
      </c>
    </row>
    <row r="300" spans="2:8">
      <c r="B300" s="17" t="s">
        <v>6243</v>
      </c>
      <c r="C300" s="246" t="s">
        <v>928</v>
      </c>
      <c r="D300" s="18">
        <v>4251</v>
      </c>
      <c r="E300" s="18">
        <v>1511</v>
      </c>
      <c r="F300" s="18">
        <v>1651</v>
      </c>
      <c r="G300" s="18">
        <v>2148</v>
      </c>
      <c r="H300" s="18">
        <v>911</v>
      </c>
    </row>
    <row r="301" spans="2:8">
      <c r="B301" s="14" t="s">
        <v>6244</v>
      </c>
      <c r="C301" s="245" t="s">
        <v>929</v>
      </c>
      <c r="D301" s="15">
        <v>1247</v>
      </c>
      <c r="E301" s="15">
        <v>612</v>
      </c>
      <c r="F301" s="15">
        <v>642</v>
      </c>
      <c r="G301" s="15">
        <v>886</v>
      </c>
      <c r="H301" s="15">
        <v>906</v>
      </c>
    </row>
    <row r="302" spans="2:8">
      <c r="B302" s="17" t="s">
        <v>6245</v>
      </c>
      <c r="C302" s="246" t="s">
        <v>930</v>
      </c>
      <c r="D302" s="18">
        <v>854</v>
      </c>
      <c r="E302" s="18">
        <v>983</v>
      </c>
      <c r="F302" s="18">
        <v>690</v>
      </c>
      <c r="G302" s="18">
        <v>821</v>
      </c>
      <c r="H302" s="18">
        <v>904</v>
      </c>
    </row>
    <row r="303" spans="2:8">
      <c r="B303" s="14" t="s">
        <v>6246</v>
      </c>
      <c r="C303" s="245" t="s">
        <v>931</v>
      </c>
      <c r="D303" s="15">
        <v>343</v>
      </c>
      <c r="E303" s="15">
        <v>352</v>
      </c>
      <c r="F303" s="15">
        <v>367</v>
      </c>
      <c r="G303" s="15">
        <v>894</v>
      </c>
      <c r="H303" s="15">
        <v>898</v>
      </c>
    </row>
    <row r="304" spans="2:8">
      <c r="B304" s="17" t="s">
        <v>6247</v>
      </c>
      <c r="C304" s="246" t="s">
        <v>932</v>
      </c>
      <c r="D304" s="18">
        <v>346</v>
      </c>
      <c r="E304" s="18">
        <v>1008</v>
      </c>
      <c r="F304" s="18">
        <v>231</v>
      </c>
      <c r="G304" s="18">
        <v>551</v>
      </c>
      <c r="H304" s="18">
        <v>874</v>
      </c>
    </row>
    <row r="305" spans="2:8">
      <c r="B305" s="14" t="s">
        <v>6248</v>
      </c>
      <c r="C305" s="245" t="s">
        <v>933</v>
      </c>
      <c r="D305" s="15">
        <v>452</v>
      </c>
      <c r="E305" s="15">
        <v>462</v>
      </c>
      <c r="F305" s="15">
        <v>721</v>
      </c>
      <c r="G305" s="15">
        <v>407</v>
      </c>
      <c r="H305" s="15">
        <v>872</v>
      </c>
    </row>
    <row r="306" spans="2:8">
      <c r="B306" s="17" t="s">
        <v>6249</v>
      </c>
      <c r="C306" s="246" t="s">
        <v>934</v>
      </c>
      <c r="D306" s="18">
        <v>0</v>
      </c>
      <c r="E306" s="18">
        <v>0</v>
      </c>
      <c r="F306" s="18">
        <v>14</v>
      </c>
      <c r="G306" s="18">
        <v>291</v>
      </c>
      <c r="H306" s="18">
        <v>860</v>
      </c>
    </row>
    <row r="307" spans="2:8">
      <c r="B307" s="14" t="s">
        <v>6250</v>
      </c>
      <c r="C307" s="245" t="s">
        <v>935</v>
      </c>
      <c r="D307" s="15">
        <v>634</v>
      </c>
      <c r="E307" s="15">
        <v>407</v>
      </c>
      <c r="F307" s="15">
        <v>475</v>
      </c>
      <c r="G307" s="15">
        <v>719</v>
      </c>
      <c r="H307" s="15">
        <v>855</v>
      </c>
    </row>
    <row r="308" spans="2:8">
      <c r="B308" s="17" t="s">
        <v>6251</v>
      </c>
      <c r="C308" s="246" t="s">
        <v>936</v>
      </c>
      <c r="D308" s="18">
        <v>45</v>
      </c>
      <c r="E308" s="18">
        <v>81</v>
      </c>
      <c r="F308" s="18">
        <v>125</v>
      </c>
      <c r="G308" s="18">
        <v>547</v>
      </c>
      <c r="H308" s="18">
        <v>854</v>
      </c>
    </row>
    <row r="309" spans="2:8">
      <c r="B309" s="14" t="s">
        <v>6252</v>
      </c>
      <c r="C309" s="245" t="s">
        <v>937</v>
      </c>
      <c r="D309" s="15">
        <v>124</v>
      </c>
      <c r="E309" s="15">
        <v>3042</v>
      </c>
      <c r="F309" s="15">
        <v>4</v>
      </c>
      <c r="G309" s="15">
        <v>15</v>
      </c>
      <c r="H309" s="15">
        <v>830</v>
      </c>
    </row>
    <row r="310" spans="2:8">
      <c r="B310" s="17" t="s">
        <v>6253</v>
      </c>
      <c r="C310" s="246" t="s">
        <v>938</v>
      </c>
      <c r="D310" s="18">
        <v>0</v>
      </c>
      <c r="E310" s="18">
        <v>0</v>
      </c>
      <c r="F310" s="18">
        <v>0</v>
      </c>
      <c r="G310" s="18">
        <v>0</v>
      </c>
      <c r="H310" s="18">
        <v>827</v>
      </c>
    </row>
    <row r="311" spans="2:8">
      <c r="B311" s="14" t="s">
        <v>6254</v>
      </c>
      <c r="C311" s="245" t="s">
        <v>939</v>
      </c>
      <c r="D311" s="15">
        <v>652</v>
      </c>
      <c r="E311" s="15">
        <v>554</v>
      </c>
      <c r="F311" s="15">
        <v>634</v>
      </c>
      <c r="G311" s="15">
        <v>390</v>
      </c>
      <c r="H311" s="15">
        <v>827</v>
      </c>
    </row>
    <row r="312" spans="2:8">
      <c r="B312" s="17" t="s">
        <v>6255</v>
      </c>
      <c r="C312" s="246" t="s">
        <v>940</v>
      </c>
      <c r="D312" s="18">
        <v>0</v>
      </c>
      <c r="E312" s="18">
        <v>0</v>
      </c>
      <c r="F312" s="18">
        <v>0</v>
      </c>
      <c r="G312" s="18">
        <v>0</v>
      </c>
      <c r="H312" s="18">
        <v>824</v>
      </c>
    </row>
    <row r="313" spans="2:8">
      <c r="B313" s="14" t="s">
        <v>6256</v>
      </c>
      <c r="C313" s="245" t="s">
        <v>941</v>
      </c>
      <c r="D313" s="15">
        <v>227</v>
      </c>
      <c r="E313" s="15">
        <v>9</v>
      </c>
      <c r="F313" s="15">
        <v>414</v>
      </c>
      <c r="G313" s="15">
        <v>119</v>
      </c>
      <c r="H313" s="15">
        <v>803</v>
      </c>
    </row>
    <row r="314" spans="2:8">
      <c r="B314" s="17" t="s">
        <v>6257</v>
      </c>
      <c r="C314" s="246" t="s">
        <v>942</v>
      </c>
      <c r="D314" s="18">
        <v>2509</v>
      </c>
      <c r="E314" s="18">
        <v>503</v>
      </c>
      <c r="F314" s="18">
        <v>191</v>
      </c>
      <c r="G314" s="18">
        <v>425</v>
      </c>
      <c r="H314" s="18">
        <v>797</v>
      </c>
    </row>
    <row r="315" spans="2:8">
      <c r="B315" s="14" t="s">
        <v>6258</v>
      </c>
      <c r="C315" s="245" t="s">
        <v>943</v>
      </c>
      <c r="D315" s="15">
        <v>178</v>
      </c>
      <c r="E315" s="15">
        <v>188</v>
      </c>
      <c r="F315" s="15">
        <v>192</v>
      </c>
      <c r="G315" s="15">
        <v>167</v>
      </c>
      <c r="H315" s="15">
        <v>783</v>
      </c>
    </row>
    <row r="316" spans="2:8">
      <c r="B316" s="17" t="s">
        <v>6259</v>
      </c>
      <c r="C316" s="246" t="s">
        <v>908</v>
      </c>
      <c r="D316" s="18">
        <v>272</v>
      </c>
      <c r="E316" s="18">
        <v>245</v>
      </c>
      <c r="F316" s="18">
        <v>434</v>
      </c>
      <c r="G316" s="18">
        <v>163</v>
      </c>
      <c r="H316" s="18">
        <v>781</v>
      </c>
    </row>
    <row r="317" spans="2:8">
      <c r="B317" s="14" t="s">
        <v>6260</v>
      </c>
      <c r="C317" s="245" t="s">
        <v>944</v>
      </c>
      <c r="D317" s="15">
        <v>15</v>
      </c>
      <c r="E317" s="15">
        <v>7</v>
      </c>
      <c r="F317" s="15">
        <v>104</v>
      </c>
      <c r="G317" s="15">
        <v>260</v>
      </c>
      <c r="H317" s="15">
        <v>780</v>
      </c>
    </row>
    <row r="318" spans="2:8">
      <c r="B318" s="17" t="s">
        <v>6261</v>
      </c>
      <c r="C318" s="246" t="s">
        <v>945</v>
      </c>
      <c r="D318" s="18">
        <v>482</v>
      </c>
      <c r="E318" s="18">
        <v>501</v>
      </c>
      <c r="F318" s="18">
        <v>789</v>
      </c>
      <c r="G318" s="18">
        <v>1108</v>
      </c>
      <c r="H318" s="18">
        <v>780</v>
      </c>
    </row>
    <row r="319" spans="2:8">
      <c r="B319" s="14" t="s">
        <v>6262</v>
      </c>
      <c r="C319" s="245" t="s">
        <v>946</v>
      </c>
      <c r="D319" s="15">
        <v>0</v>
      </c>
      <c r="E319" s="15">
        <v>0</v>
      </c>
      <c r="F319" s="15">
        <v>0</v>
      </c>
      <c r="G319" s="15">
        <v>0</v>
      </c>
      <c r="H319" s="15">
        <v>774</v>
      </c>
    </row>
    <row r="320" spans="2:8">
      <c r="B320" s="17" t="s">
        <v>6263</v>
      </c>
      <c r="C320" s="246" t="s">
        <v>947</v>
      </c>
      <c r="D320" s="18">
        <v>160</v>
      </c>
      <c r="E320" s="18">
        <v>181</v>
      </c>
      <c r="F320" s="18">
        <v>277</v>
      </c>
      <c r="G320" s="18">
        <v>439</v>
      </c>
      <c r="H320" s="18">
        <v>765</v>
      </c>
    </row>
    <row r="321" spans="2:8">
      <c r="B321" s="14" t="s">
        <v>6264</v>
      </c>
      <c r="C321" s="245" t="s">
        <v>948</v>
      </c>
      <c r="D321" s="15">
        <v>637</v>
      </c>
      <c r="E321" s="15">
        <v>317</v>
      </c>
      <c r="F321" s="15">
        <v>358</v>
      </c>
      <c r="G321" s="15">
        <v>833</v>
      </c>
      <c r="H321" s="15">
        <v>762</v>
      </c>
    </row>
    <row r="322" spans="2:8">
      <c r="B322" s="17" t="s">
        <v>6265</v>
      </c>
      <c r="C322" s="246" t="s">
        <v>949</v>
      </c>
      <c r="D322" s="18">
        <v>802</v>
      </c>
      <c r="E322" s="18">
        <v>414</v>
      </c>
      <c r="F322" s="18">
        <v>418</v>
      </c>
      <c r="G322" s="18">
        <v>474</v>
      </c>
      <c r="H322" s="18">
        <v>758</v>
      </c>
    </row>
    <row r="323" spans="2:8">
      <c r="B323" s="14" t="s">
        <v>6266</v>
      </c>
      <c r="C323" s="245" t="s">
        <v>950</v>
      </c>
      <c r="D323" s="15">
        <v>422</v>
      </c>
      <c r="E323" s="15">
        <v>362</v>
      </c>
      <c r="F323" s="15">
        <v>278</v>
      </c>
      <c r="G323" s="15">
        <v>503</v>
      </c>
      <c r="H323" s="15">
        <v>741</v>
      </c>
    </row>
    <row r="324" spans="2:8">
      <c r="B324" s="17" t="s">
        <v>6267</v>
      </c>
      <c r="C324" s="246" t="s">
        <v>951</v>
      </c>
      <c r="D324" s="18">
        <v>2211</v>
      </c>
      <c r="E324" s="18">
        <v>1417</v>
      </c>
      <c r="F324" s="18">
        <v>893</v>
      </c>
      <c r="G324" s="18">
        <v>1501</v>
      </c>
      <c r="H324" s="18">
        <v>740</v>
      </c>
    </row>
    <row r="325" spans="2:8">
      <c r="B325" s="14" t="s">
        <v>6268</v>
      </c>
      <c r="C325" s="245" t="s">
        <v>952</v>
      </c>
      <c r="D325" s="15">
        <v>0</v>
      </c>
      <c r="E325" s="15">
        <v>0</v>
      </c>
      <c r="F325" s="15">
        <v>0</v>
      </c>
      <c r="G325" s="15">
        <v>0</v>
      </c>
      <c r="H325" s="15">
        <v>738</v>
      </c>
    </row>
    <row r="326" spans="2:8">
      <c r="B326" s="17" t="s">
        <v>6269</v>
      </c>
      <c r="C326" s="246" t="s">
        <v>953</v>
      </c>
      <c r="D326" s="18">
        <v>161</v>
      </c>
      <c r="E326" s="18">
        <v>208</v>
      </c>
      <c r="F326" s="18">
        <v>167</v>
      </c>
      <c r="G326" s="18">
        <v>353</v>
      </c>
      <c r="H326" s="18">
        <v>722</v>
      </c>
    </row>
    <row r="327" spans="2:8">
      <c r="B327" s="14" t="s">
        <v>6270</v>
      </c>
      <c r="C327" s="245" t="s">
        <v>954</v>
      </c>
      <c r="D327" s="15">
        <v>194</v>
      </c>
      <c r="E327" s="15">
        <v>289</v>
      </c>
      <c r="F327" s="15">
        <v>104</v>
      </c>
      <c r="G327" s="15">
        <v>148</v>
      </c>
      <c r="H327" s="15">
        <v>715</v>
      </c>
    </row>
    <row r="328" spans="2:8">
      <c r="B328" s="17" t="s">
        <v>6271</v>
      </c>
      <c r="C328" s="246" t="s">
        <v>955</v>
      </c>
      <c r="D328" s="18">
        <v>0</v>
      </c>
      <c r="E328" s="18">
        <v>0</v>
      </c>
      <c r="F328" s="18">
        <v>0</v>
      </c>
      <c r="G328" s="18">
        <v>300</v>
      </c>
      <c r="H328" s="18">
        <v>707</v>
      </c>
    </row>
    <row r="329" spans="2:8">
      <c r="B329" s="14" t="s">
        <v>6272</v>
      </c>
      <c r="C329" s="245" t="s">
        <v>956</v>
      </c>
      <c r="D329" s="15">
        <v>607</v>
      </c>
      <c r="E329" s="15">
        <v>697</v>
      </c>
      <c r="F329" s="15">
        <v>752</v>
      </c>
      <c r="G329" s="15">
        <v>872</v>
      </c>
      <c r="H329" s="15">
        <v>697</v>
      </c>
    </row>
    <row r="330" spans="2:8">
      <c r="B330" s="17" t="s">
        <v>6273</v>
      </c>
      <c r="C330" s="246" t="s">
        <v>957</v>
      </c>
      <c r="D330" s="18">
        <v>1407</v>
      </c>
      <c r="E330" s="18">
        <v>1055</v>
      </c>
      <c r="F330" s="18">
        <v>678</v>
      </c>
      <c r="G330" s="18">
        <v>617</v>
      </c>
      <c r="H330" s="18">
        <v>691</v>
      </c>
    </row>
    <row r="331" spans="2:8">
      <c r="B331" s="14" t="s">
        <v>6274</v>
      </c>
      <c r="C331" s="245" t="s">
        <v>958</v>
      </c>
      <c r="D331" s="15">
        <v>968</v>
      </c>
      <c r="E331" s="15">
        <v>1583</v>
      </c>
      <c r="F331" s="15">
        <v>650</v>
      </c>
      <c r="G331" s="15">
        <v>577</v>
      </c>
      <c r="H331" s="15">
        <v>688</v>
      </c>
    </row>
    <row r="332" spans="2:8">
      <c r="B332" s="17" t="s">
        <v>6275</v>
      </c>
      <c r="C332" s="246" t="s">
        <v>959</v>
      </c>
      <c r="D332" s="18">
        <v>346</v>
      </c>
      <c r="E332" s="18">
        <v>223</v>
      </c>
      <c r="F332" s="18">
        <v>160</v>
      </c>
      <c r="G332" s="18">
        <v>533</v>
      </c>
      <c r="H332" s="18">
        <v>680</v>
      </c>
    </row>
    <row r="333" spans="2:8">
      <c r="B333" s="14" t="s">
        <v>6276</v>
      </c>
      <c r="C333" s="245" t="s">
        <v>960</v>
      </c>
      <c r="D333" s="15">
        <v>1799</v>
      </c>
      <c r="E333" s="15">
        <v>1259</v>
      </c>
      <c r="F333" s="15">
        <v>1121</v>
      </c>
      <c r="G333" s="15">
        <v>1001</v>
      </c>
      <c r="H333" s="15">
        <v>676</v>
      </c>
    </row>
    <row r="334" spans="2:8">
      <c r="B334" s="17" t="s">
        <v>6277</v>
      </c>
      <c r="C334" s="246" t="s">
        <v>961</v>
      </c>
      <c r="D334" s="18">
        <v>342</v>
      </c>
      <c r="E334" s="18">
        <v>184</v>
      </c>
      <c r="F334" s="18">
        <v>67</v>
      </c>
      <c r="G334" s="18">
        <v>462</v>
      </c>
      <c r="H334" s="18">
        <v>674</v>
      </c>
    </row>
    <row r="335" spans="2:8">
      <c r="B335" s="14" t="s">
        <v>6278</v>
      </c>
      <c r="C335" s="245" t="s">
        <v>962</v>
      </c>
      <c r="D335" s="15">
        <v>336</v>
      </c>
      <c r="E335" s="15">
        <v>354</v>
      </c>
      <c r="F335" s="15">
        <v>273</v>
      </c>
      <c r="G335" s="15">
        <v>827</v>
      </c>
      <c r="H335" s="15">
        <v>659</v>
      </c>
    </row>
    <row r="336" spans="2:8">
      <c r="B336" s="17" t="s">
        <v>6279</v>
      </c>
      <c r="C336" s="246" t="s">
        <v>963</v>
      </c>
      <c r="D336" s="18">
        <v>545</v>
      </c>
      <c r="E336" s="18">
        <v>577</v>
      </c>
      <c r="F336" s="18">
        <v>585</v>
      </c>
      <c r="G336" s="18">
        <v>644</v>
      </c>
      <c r="H336" s="18">
        <v>656</v>
      </c>
    </row>
    <row r="337" spans="2:8">
      <c r="B337" s="14" t="s">
        <v>6280</v>
      </c>
      <c r="C337" s="245" t="s">
        <v>964</v>
      </c>
      <c r="D337" s="15">
        <v>247</v>
      </c>
      <c r="E337" s="15">
        <v>769</v>
      </c>
      <c r="F337" s="15">
        <v>719</v>
      </c>
      <c r="G337" s="15">
        <v>1257</v>
      </c>
      <c r="H337" s="15">
        <v>654</v>
      </c>
    </row>
    <row r="338" spans="2:8">
      <c r="B338" s="17" t="s">
        <v>6281</v>
      </c>
      <c r="C338" s="246" t="s">
        <v>965</v>
      </c>
      <c r="D338" s="18">
        <v>0</v>
      </c>
      <c r="E338" s="18">
        <v>0</v>
      </c>
      <c r="F338" s="18">
        <v>58</v>
      </c>
      <c r="G338" s="18">
        <v>253</v>
      </c>
      <c r="H338" s="18">
        <v>636</v>
      </c>
    </row>
    <row r="339" spans="2:8">
      <c r="B339" s="14" t="s">
        <v>6282</v>
      </c>
      <c r="C339" s="245" t="s">
        <v>966</v>
      </c>
      <c r="D339" s="15">
        <v>0</v>
      </c>
      <c r="E339" s="15">
        <v>0</v>
      </c>
      <c r="F339" s="15">
        <v>117</v>
      </c>
      <c r="G339" s="15">
        <v>445</v>
      </c>
      <c r="H339" s="15">
        <v>633</v>
      </c>
    </row>
    <row r="340" spans="2:8">
      <c r="B340" s="17" t="s">
        <v>6283</v>
      </c>
      <c r="C340" s="246" t="s">
        <v>967</v>
      </c>
      <c r="D340" s="18">
        <v>518</v>
      </c>
      <c r="E340" s="18">
        <v>466</v>
      </c>
      <c r="F340" s="18">
        <v>514</v>
      </c>
      <c r="G340" s="18">
        <v>711</v>
      </c>
      <c r="H340" s="18">
        <v>632</v>
      </c>
    </row>
    <row r="341" spans="2:8">
      <c r="B341" s="14" t="s">
        <v>6284</v>
      </c>
      <c r="C341" s="245" t="s">
        <v>968</v>
      </c>
      <c r="D341" s="15">
        <v>53</v>
      </c>
      <c r="E341" s="15">
        <v>146</v>
      </c>
      <c r="F341" s="15">
        <v>283</v>
      </c>
      <c r="G341" s="15">
        <v>532</v>
      </c>
      <c r="H341" s="15">
        <v>616</v>
      </c>
    </row>
    <row r="342" spans="2:8">
      <c r="B342" s="17" t="s">
        <v>6285</v>
      </c>
      <c r="C342" s="246" t="s">
        <v>969</v>
      </c>
      <c r="D342" s="18">
        <v>616</v>
      </c>
      <c r="E342" s="18">
        <v>894</v>
      </c>
      <c r="F342" s="18">
        <v>725</v>
      </c>
      <c r="G342" s="18">
        <v>549</v>
      </c>
      <c r="H342" s="18">
        <v>615</v>
      </c>
    </row>
    <row r="343" spans="2:8">
      <c r="B343" s="14" t="s">
        <v>6286</v>
      </c>
      <c r="C343" s="245" t="s">
        <v>970</v>
      </c>
      <c r="D343" s="15">
        <v>77</v>
      </c>
      <c r="E343" s="15">
        <v>124</v>
      </c>
      <c r="F343" s="15">
        <v>272</v>
      </c>
      <c r="G343" s="15">
        <v>742</v>
      </c>
      <c r="H343" s="15">
        <v>613</v>
      </c>
    </row>
    <row r="344" spans="2:8">
      <c r="B344" s="17" t="s">
        <v>6287</v>
      </c>
      <c r="C344" s="246" t="s">
        <v>971</v>
      </c>
      <c r="D344" s="18">
        <v>2206</v>
      </c>
      <c r="E344" s="18">
        <v>3485</v>
      </c>
      <c r="F344" s="18">
        <v>474</v>
      </c>
      <c r="G344" s="18">
        <v>559</v>
      </c>
      <c r="H344" s="18">
        <v>609</v>
      </c>
    </row>
    <row r="345" spans="2:8">
      <c r="B345" s="14" t="s">
        <v>6288</v>
      </c>
      <c r="C345" s="245" t="s">
        <v>972</v>
      </c>
      <c r="D345" s="15">
        <v>325</v>
      </c>
      <c r="E345" s="15">
        <v>199</v>
      </c>
      <c r="F345" s="15">
        <v>344</v>
      </c>
      <c r="G345" s="15">
        <v>495</v>
      </c>
      <c r="H345" s="15">
        <v>606</v>
      </c>
    </row>
    <row r="346" spans="2:8">
      <c r="B346" s="17" t="s">
        <v>6289</v>
      </c>
      <c r="C346" s="246" t="s">
        <v>973</v>
      </c>
      <c r="D346" s="18">
        <v>91</v>
      </c>
      <c r="E346" s="18">
        <v>93</v>
      </c>
      <c r="F346" s="18">
        <v>83</v>
      </c>
      <c r="G346" s="18">
        <v>251</v>
      </c>
      <c r="H346" s="18">
        <v>596</v>
      </c>
    </row>
    <row r="347" spans="2:8">
      <c r="B347" s="14" t="s">
        <v>6290</v>
      </c>
      <c r="C347" s="245" t="s">
        <v>974</v>
      </c>
      <c r="D347" s="15">
        <v>0</v>
      </c>
      <c r="E347" s="15">
        <v>0</v>
      </c>
      <c r="F347" s="15">
        <v>0</v>
      </c>
      <c r="G347" s="15">
        <v>0</v>
      </c>
      <c r="H347" s="15">
        <v>595</v>
      </c>
    </row>
    <row r="348" spans="2:8">
      <c r="B348" s="17" t="s">
        <v>6291</v>
      </c>
      <c r="C348" s="246" t="s">
        <v>975</v>
      </c>
      <c r="D348" s="18">
        <v>164</v>
      </c>
      <c r="E348" s="18">
        <v>244</v>
      </c>
      <c r="F348" s="18">
        <v>245</v>
      </c>
      <c r="G348" s="18">
        <v>84</v>
      </c>
      <c r="H348" s="18">
        <v>576</v>
      </c>
    </row>
    <row r="349" spans="2:8">
      <c r="B349" s="14" t="s">
        <v>6292</v>
      </c>
      <c r="C349" s="245" t="s">
        <v>976</v>
      </c>
      <c r="D349" s="15">
        <v>647</v>
      </c>
      <c r="E349" s="15">
        <v>403</v>
      </c>
      <c r="F349" s="15">
        <v>727</v>
      </c>
      <c r="G349" s="15">
        <v>548</v>
      </c>
      <c r="H349" s="15">
        <v>575</v>
      </c>
    </row>
    <row r="350" spans="2:8">
      <c r="B350" s="17" t="s">
        <v>6293</v>
      </c>
      <c r="C350" s="246" t="s">
        <v>977</v>
      </c>
      <c r="D350" s="18">
        <v>522</v>
      </c>
      <c r="E350" s="18">
        <v>1255</v>
      </c>
      <c r="F350" s="18">
        <v>48</v>
      </c>
      <c r="G350" s="18">
        <v>0</v>
      </c>
      <c r="H350" s="18">
        <v>573</v>
      </c>
    </row>
    <row r="351" spans="2:8">
      <c r="B351" s="14" t="s">
        <v>6294</v>
      </c>
      <c r="C351" s="245" t="s">
        <v>978</v>
      </c>
      <c r="D351" s="15">
        <v>8</v>
      </c>
      <c r="E351" s="15">
        <v>13</v>
      </c>
      <c r="F351" s="15">
        <v>3</v>
      </c>
      <c r="G351" s="15">
        <v>4</v>
      </c>
      <c r="H351" s="15">
        <v>569</v>
      </c>
    </row>
    <row r="352" spans="2:8">
      <c r="B352" s="17" t="s">
        <v>6295</v>
      </c>
      <c r="C352" s="246" t="s">
        <v>979</v>
      </c>
      <c r="D352" s="18">
        <v>182</v>
      </c>
      <c r="E352" s="18">
        <v>350</v>
      </c>
      <c r="F352" s="18">
        <v>291</v>
      </c>
      <c r="G352" s="18">
        <v>581</v>
      </c>
      <c r="H352" s="18">
        <v>568</v>
      </c>
    </row>
    <row r="353" spans="2:8">
      <c r="B353" s="14" t="s">
        <v>6296</v>
      </c>
      <c r="C353" s="245" t="s">
        <v>980</v>
      </c>
      <c r="D353" s="15">
        <v>174</v>
      </c>
      <c r="E353" s="15">
        <v>106</v>
      </c>
      <c r="F353" s="15">
        <v>174</v>
      </c>
      <c r="G353" s="15">
        <v>639</v>
      </c>
      <c r="H353" s="15">
        <v>568</v>
      </c>
    </row>
    <row r="354" spans="2:8">
      <c r="B354" s="17" t="s">
        <v>6297</v>
      </c>
      <c r="C354" s="246" t="s">
        <v>981</v>
      </c>
      <c r="D354" s="18">
        <v>270</v>
      </c>
      <c r="E354" s="18">
        <v>206</v>
      </c>
      <c r="F354" s="18">
        <v>409</v>
      </c>
      <c r="G354" s="18">
        <v>334</v>
      </c>
      <c r="H354" s="18">
        <v>567</v>
      </c>
    </row>
    <row r="355" spans="2:8">
      <c r="B355" s="14" t="s">
        <v>6298</v>
      </c>
      <c r="C355" s="245" t="s">
        <v>982</v>
      </c>
      <c r="D355" s="15">
        <v>0</v>
      </c>
      <c r="E355" s="15">
        <v>0</v>
      </c>
      <c r="F355" s="15">
        <v>0</v>
      </c>
      <c r="G355" s="15">
        <v>0</v>
      </c>
      <c r="H355" s="15">
        <v>562</v>
      </c>
    </row>
    <row r="356" spans="2:8">
      <c r="B356" s="17" t="s">
        <v>6299</v>
      </c>
      <c r="C356" s="246" t="s">
        <v>983</v>
      </c>
      <c r="D356" s="18">
        <v>304</v>
      </c>
      <c r="E356" s="18">
        <v>374</v>
      </c>
      <c r="F356" s="18">
        <v>401</v>
      </c>
      <c r="G356" s="18">
        <v>436</v>
      </c>
      <c r="H356" s="18">
        <v>553</v>
      </c>
    </row>
    <row r="357" spans="2:8">
      <c r="B357" s="14" t="s">
        <v>6300</v>
      </c>
      <c r="C357" s="245" t="s">
        <v>984</v>
      </c>
      <c r="D357" s="15">
        <v>105</v>
      </c>
      <c r="E357" s="15">
        <v>89</v>
      </c>
      <c r="F357" s="15">
        <v>87</v>
      </c>
      <c r="G357" s="15">
        <v>514</v>
      </c>
      <c r="H357" s="15">
        <v>547</v>
      </c>
    </row>
    <row r="358" spans="2:8">
      <c r="B358" s="17" t="s">
        <v>6301</v>
      </c>
      <c r="C358" s="246" t="s">
        <v>985</v>
      </c>
      <c r="D358" s="18">
        <v>90</v>
      </c>
      <c r="E358" s="18">
        <v>176</v>
      </c>
      <c r="F358" s="18">
        <v>127</v>
      </c>
      <c r="G358" s="18">
        <v>378</v>
      </c>
      <c r="H358" s="18">
        <v>547</v>
      </c>
    </row>
    <row r="359" spans="2:8">
      <c r="B359" s="14" t="s">
        <v>6302</v>
      </c>
      <c r="C359" s="245" t="s">
        <v>986</v>
      </c>
      <c r="D359" s="15">
        <v>0</v>
      </c>
      <c r="E359" s="15">
        <v>0</v>
      </c>
      <c r="F359" s="15">
        <v>0</v>
      </c>
      <c r="G359" s="15">
        <v>0</v>
      </c>
      <c r="H359" s="15">
        <v>543</v>
      </c>
    </row>
    <row r="360" spans="2:8">
      <c r="B360" s="17" t="s">
        <v>6303</v>
      </c>
      <c r="C360" s="246" t="s">
        <v>987</v>
      </c>
      <c r="D360" s="18">
        <v>332</v>
      </c>
      <c r="E360" s="18">
        <v>356</v>
      </c>
      <c r="F360" s="18">
        <v>274</v>
      </c>
      <c r="G360" s="18">
        <v>564</v>
      </c>
      <c r="H360" s="18">
        <v>542</v>
      </c>
    </row>
    <row r="361" spans="2:8">
      <c r="B361" s="14" t="s">
        <v>6304</v>
      </c>
      <c r="C361" s="245" t="s">
        <v>988</v>
      </c>
      <c r="D361" s="15">
        <v>0</v>
      </c>
      <c r="E361" s="15">
        <v>88</v>
      </c>
      <c r="F361" s="15">
        <v>344</v>
      </c>
      <c r="G361" s="15">
        <v>1542</v>
      </c>
      <c r="H361" s="15">
        <v>540</v>
      </c>
    </row>
    <row r="362" spans="2:8">
      <c r="B362" s="17" t="s">
        <v>6305</v>
      </c>
      <c r="C362" s="246" t="s">
        <v>989</v>
      </c>
      <c r="D362" s="18">
        <v>283</v>
      </c>
      <c r="E362" s="18">
        <v>289</v>
      </c>
      <c r="F362" s="18">
        <v>431</v>
      </c>
      <c r="G362" s="18">
        <v>636</v>
      </c>
      <c r="H362" s="18">
        <v>532</v>
      </c>
    </row>
    <row r="363" spans="2:8">
      <c r="B363" s="14" t="s">
        <v>6306</v>
      </c>
      <c r="C363" s="245" t="s">
        <v>990</v>
      </c>
      <c r="D363" s="15">
        <v>348</v>
      </c>
      <c r="E363" s="15">
        <v>508</v>
      </c>
      <c r="F363" s="15">
        <v>363</v>
      </c>
      <c r="G363" s="15">
        <v>486</v>
      </c>
      <c r="H363" s="15">
        <v>526</v>
      </c>
    </row>
    <row r="364" spans="2:8">
      <c r="B364" s="17" t="s">
        <v>6307</v>
      </c>
      <c r="C364" s="246" t="s">
        <v>991</v>
      </c>
      <c r="D364" s="18">
        <v>288</v>
      </c>
      <c r="E364" s="18">
        <v>365</v>
      </c>
      <c r="F364" s="18">
        <v>186</v>
      </c>
      <c r="G364" s="18">
        <v>505</v>
      </c>
      <c r="H364" s="18">
        <v>516</v>
      </c>
    </row>
    <row r="365" spans="2:8">
      <c r="B365" s="14" t="s">
        <v>6308</v>
      </c>
      <c r="C365" s="245" t="s">
        <v>992</v>
      </c>
      <c r="D365" s="15">
        <v>617</v>
      </c>
      <c r="E365" s="15">
        <v>370</v>
      </c>
      <c r="F365" s="15">
        <v>257</v>
      </c>
      <c r="G365" s="15">
        <v>320</v>
      </c>
      <c r="H365" s="15">
        <v>512</v>
      </c>
    </row>
    <row r="366" spans="2:8">
      <c r="B366" s="17" t="s">
        <v>6309</v>
      </c>
      <c r="C366" s="246" t="s">
        <v>993</v>
      </c>
      <c r="D366" s="18">
        <v>0</v>
      </c>
      <c r="E366" s="18">
        <v>0</v>
      </c>
      <c r="F366" s="18">
        <v>0</v>
      </c>
      <c r="G366" s="18">
        <v>92</v>
      </c>
      <c r="H366" s="18">
        <v>509</v>
      </c>
    </row>
    <row r="367" spans="2:8">
      <c r="B367" s="14" t="s">
        <v>6310</v>
      </c>
      <c r="C367" s="245" t="s">
        <v>749</v>
      </c>
      <c r="D367" s="15">
        <v>128</v>
      </c>
      <c r="E367" s="15">
        <v>190</v>
      </c>
      <c r="F367" s="15">
        <v>230</v>
      </c>
      <c r="G367" s="15">
        <v>672</v>
      </c>
      <c r="H367" s="15">
        <v>502</v>
      </c>
    </row>
    <row r="368" spans="2:8">
      <c r="B368" s="17" t="s">
        <v>6311</v>
      </c>
      <c r="C368" s="246" t="s">
        <v>994</v>
      </c>
      <c r="D368" s="18">
        <v>452</v>
      </c>
      <c r="E368" s="18">
        <v>311</v>
      </c>
      <c r="F368" s="18">
        <v>122</v>
      </c>
      <c r="G368" s="18">
        <v>300</v>
      </c>
      <c r="H368" s="18">
        <v>500</v>
      </c>
    </row>
    <row r="369" spans="2:8">
      <c r="B369" s="14" t="s">
        <v>6312</v>
      </c>
      <c r="C369" s="245" t="s">
        <v>995</v>
      </c>
      <c r="D369" s="15">
        <v>1027</v>
      </c>
      <c r="E369" s="15">
        <v>205</v>
      </c>
      <c r="F369" s="15">
        <v>107</v>
      </c>
      <c r="G369" s="15">
        <v>519</v>
      </c>
      <c r="H369" s="15">
        <v>500</v>
      </c>
    </row>
    <row r="370" spans="2:8">
      <c r="B370" s="17" t="s">
        <v>6313</v>
      </c>
      <c r="C370" s="246" t="s">
        <v>996</v>
      </c>
      <c r="D370" s="18">
        <v>192</v>
      </c>
      <c r="E370" s="18">
        <v>305</v>
      </c>
      <c r="F370" s="18">
        <v>203</v>
      </c>
      <c r="G370" s="18">
        <v>73</v>
      </c>
      <c r="H370" s="18">
        <v>484</v>
      </c>
    </row>
    <row r="371" spans="2:8">
      <c r="B371" s="14" t="s">
        <v>6314</v>
      </c>
      <c r="C371" s="245" t="s">
        <v>997</v>
      </c>
      <c r="D371" s="15">
        <v>321</v>
      </c>
      <c r="E371" s="15">
        <v>417</v>
      </c>
      <c r="F371" s="15">
        <v>452</v>
      </c>
      <c r="G371" s="15">
        <v>475</v>
      </c>
      <c r="H371" s="15">
        <v>478</v>
      </c>
    </row>
    <row r="372" spans="2:8">
      <c r="B372" s="17" t="s">
        <v>6315</v>
      </c>
      <c r="C372" s="246" t="s">
        <v>998</v>
      </c>
      <c r="D372" s="18">
        <v>49</v>
      </c>
      <c r="E372" s="18">
        <v>0</v>
      </c>
      <c r="F372" s="18">
        <v>286</v>
      </c>
      <c r="G372" s="18">
        <v>131</v>
      </c>
      <c r="H372" s="18">
        <v>476</v>
      </c>
    </row>
    <row r="373" spans="2:8">
      <c r="B373" s="14" t="s">
        <v>6316</v>
      </c>
      <c r="C373" s="245" t="s">
        <v>891</v>
      </c>
      <c r="D373" s="15">
        <v>7</v>
      </c>
      <c r="E373" s="15">
        <v>1202</v>
      </c>
      <c r="F373" s="15">
        <v>9</v>
      </c>
      <c r="G373" s="15">
        <v>37</v>
      </c>
      <c r="H373" s="15">
        <v>473</v>
      </c>
    </row>
    <row r="374" spans="2:8">
      <c r="B374" s="17" t="s">
        <v>6317</v>
      </c>
      <c r="C374" s="246" t="s">
        <v>999</v>
      </c>
      <c r="D374" s="18">
        <v>401</v>
      </c>
      <c r="E374" s="18">
        <v>612</v>
      </c>
      <c r="F374" s="18">
        <v>501</v>
      </c>
      <c r="G374" s="18">
        <v>1258</v>
      </c>
      <c r="H374" s="18">
        <v>470</v>
      </c>
    </row>
    <row r="375" spans="2:8">
      <c r="B375" s="14" t="s">
        <v>6318</v>
      </c>
      <c r="C375" s="245" t="s">
        <v>1000</v>
      </c>
      <c r="D375" s="15">
        <v>0</v>
      </c>
      <c r="E375" s="15">
        <v>0</v>
      </c>
      <c r="F375" s="15">
        <v>8</v>
      </c>
      <c r="G375" s="15">
        <v>82</v>
      </c>
      <c r="H375" s="15">
        <v>469</v>
      </c>
    </row>
    <row r="376" spans="2:8">
      <c r="B376" s="17" t="s">
        <v>6319</v>
      </c>
      <c r="C376" s="246" t="s">
        <v>1001</v>
      </c>
      <c r="D376" s="18">
        <v>202</v>
      </c>
      <c r="E376" s="18">
        <v>197</v>
      </c>
      <c r="F376" s="18">
        <v>314</v>
      </c>
      <c r="G376" s="18">
        <v>293</v>
      </c>
      <c r="H376" s="18">
        <v>464</v>
      </c>
    </row>
    <row r="377" spans="2:8">
      <c r="B377" s="14" t="s">
        <v>6320</v>
      </c>
      <c r="C377" s="245" t="s">
        <v>1002</v>
      </c>
      <c r="D377" s="15">
        <v>172</v>
      </c>
      <c r="E377" s="15">
        <v>1067</v>
      </c>
      <c r="F377" s="15">
        <v>291</v>
      </c>
      <c r="G377" s="15">
        <v>359</v>
      </c>
      <c r="H377" s="15">
        <v>462</v>
      </c>
    </row>
    <row r="378" spans="2:8">
      <c r="B378" s="17" t="s">
        <v>6321</v>
      </c>
      <c r="C378" s="246" t="s">
        <v>1003</v>
      </c>
      <c r="D378" s="18">
        <v>229</v>
      </c>
      <c r="E378" s="18">
        <v>161</v>
      </c>
      <c r="F378" s="18">
        <v>14</v>
      </c>
      <c r="G378" s="18">
        <v>232</v>
      </c>
      <c r="H378" s="18">
        <v>460</v>
      </c>
    </row>
    <row r="379" spans="2:8">
      <c r="B379" s="14" t="s">
        <v>6322</v>
      </c>
      <c r="C379" s="245" t="s">
        <v>1004</v>
      </c>
      <c r="D379" s="15">
        <v>19</v>
      </c>
      <c r="E379" s="15">
        <v>148</v>
      </c>
      <c r="F379" s="15">
        <v>91</v>
      </c>
      <c r="G379" s="15">
        <v>311</v>
      </c>
      <c r="H379" s="15">
        <v>459</v>
      </c>
    </row>
    <row r="380" spans="2:8">
      <c r="B380" s="17" t="s">
        <v>6323</v>
      </c>
      <c r="C380" s="246" t="s">
        <v>1005</v>
      </c>
      <c r="D380" s="18">
        <v>206</v>
      </c>
      <c r="E380" s="18">
        <v>345</v>
      </c>
      <c r="F380" s="18">
        <v>76</v>
      </c>
      <c r="G380" s="18">
        <v>138</v>
      </c>
      <c r="H380" s="18">
        <v>453</v>
      </c>
    </row>
    <row r="381" spans="2:8">
      <c r="B381" s="14" t="s">
        <v>6324</v>
      </c>
      <c r="C381" s="245" t="s">
        <v>1006</v>
      </c>
      <c r="D381" s="15">
        <v>109</v>
      </c>
      <c r="E381" s="15">
        <v>141</v>
      </c>
      <c r="F381" s="15">
        <v>381</v>
      </c>
      <c r="G381" s="15">
        <v>654</v>
      </c>
      <c r="H381" s="15">
        <v>451</v>
      </c>
    </row>
    <row r="382" spans="2:8">
      <c r="B382" s="17" t="s">
        <v>6325</v>
      </c>
      <c r="C382" s="246" t="s">
        <v>1007</v>
      </c>
      <c r="D382" s="18">
        <v>137</v>
      </c>
      <c r="E382" s="18">
        <v>134</v>
      </c>
      <c r="F382" s="18">
        <v>208</v>
      </c>
      <c r="G382" s="18">
        <v>291</v>
      </c>
      <c r="H382" s="18">
        <v>447</v>
      </c>
    </row>
    <row r="383" spans="2:8">
      <c r="B383" s="14" t="s">
        <v>6326</v>
      </c>
      <c r="C383" s="245" t="s">
        <v>1008</v>
      </c>
      <c r="D383" s="15">
        <v>1008</v>
      </c>
      <c r="E383" s="15">
        <v>1382</v>
      </c>
      <c r="F383" s="15">
        <v>1441</v>
      </c>
      <c r="G383" s="15">
        <v>156</v>
      </c>
      <c r="H383" s="15">
        <v>441</v>
      </c>
    </row>
    <row r="384" spans="2:8">
      <c r="B384" s="17" t="s">
        <v>6327</v>
      </c>
      <c r="C384" s="246" t="s">
        <v>1009</v>
      </c>
      <c r="D384" s="18">
        <v>11</v>
      </c>
      <c r="E384" s="18">
        <v>29</v>
      </c>
      <c r="F384" s="18">
        <v>0</v>
      </c>
      <c r="G384" s="18">
        <v>2</v>
      </c>
      <c r="H384" s="18">
        <v>434</v>
      </c>
    </row>
    <row r="385" spans="2:8">
      <c r="B385" s="14" t="s">
        <v>6328</v>
      </c>
      <c r="C385" s="245" t="s">
        <v>1010</v>
      </c>
      <c r="D385" s="15">
        <v>530</v>
      </c>
      <c r="E385" s="15">
        <v>421</v>
      </c>
      <c r="F385" s="15">
        <v>266</v>
      </c>
      <c r="G385" s="15">
        <v>385</v>
      </c>
      <c r="H385" s="15">
        <v>422</v>
      </c>
    </row>
    <row r="386" spans="2:8">
      <c r="B386" s="17" t="s">
        <v>6329</v>
      </c>
      <c r="C386" s="246" t="s">
        <v>1011</v>
      </c>
      <c r="D386" s="18">
        <v>0</v>
      </c>
      <c r="E386" s="18">
        <v>0</v>
      </c>
      <c r="F386" s="18">
        <v>0</v>
      </c>
      <c r="G386" s="18">
        <v>0</v>
      </c>
      <c r="H386" s="18">
        <v>418</v>
      </c>
    </row>
    <row r="387" spans="2:8">
      <c r="B387" s="14" t="s">
        <v>6330</v>
      </c>
      <c r="C387" s="245" t="s">
        <v>1012</v>
      </c>
      <c r="D387" s="15">
        <v>1355</v>
      </c>
      <c r="E387" s="15">
        <v>978</v>
      </c>
      <c r="F387" s="15">
        <v>1935</v>
      </c>
      <c r="G387" s="15">
        <v>67</v>
      </c>
      <c r="H387" s="15">
        <v>417</v>
      </c>
    </row>
    <row r="388" spans="2:8">
      <c r="B388" s="17" t="s">
        <v>6331</v>
      </c>
      <c r="C388" s="246" t="s">
        <v>1013</v>
      </c>
      <c r="D388" s="18">
        <v>16</v>
      </c>
      <c r="E388" s="18">
        <v>8</v>
      </c>
      <c r="F388" s="18">
        <v>16</v>
      </c>
      <c r="G388" s="18">
        <v>37</v>
      </c>
      <c r="H388" s="18">
        <v>415</v>
      </c>
    </row>
    <row r="389" spans="2:8">
      <c r="B389" s="14" t="s">
        <v>6332</v>
      </c>
      <c r="C389" s="245" t="s">
        <v>1014</v>
      </c>
      <c r="D389" s="15">
        <v>129</v>
      </c>
      <c r="E389" s="15">
        <v>27</v>
      </c>
      <c r="F389" s="15">
        <v>43</v>
      </c>
      <c r="G389" s="15">
        <v>60</v>
      </c>
      <c r="H389" s="15">
        <v>412</v>
      </c>
    </row>
    <row r="390" spans="2:8">
      <c r="B390" s="17" t="s">
        <v>6333</v>
      </c>
      <c r="C390" s="246" t="s">
        <v>1015</v>
      </c>
      <c r="D390" s="18">
        <v>41</v>
      </c>
      <c r="E390" s="18">
        <v>450</v>
      </c>
      <c r="F390" s="18">
        <v>238</v>
      </c>
      <c r="G390" s="18">
        <v>291</v>
      </c>
      <c r="H390" s="18">
        <v>411</v>
      </c>
    </row>
    <row r="391" spans="2:8">
      <c r="B391" s="14" t="s">
        <v>6334</v>
      </c>
      <c r="C391" s="245" t="s">
        <v>1016</v>
      </c>
      <c r="D391" s="15">
        <v>383</v>
      </c>
      <c r="E391" s="15">
        <v>378</v>
      </c>
      <c r="F391" s="15">
        <v>371</v>
      </c>
      <c r="G391" s="15">
        <v>355</v>
      </c>
      <c r="H391" s="15">
        <v>399</v>
      </c>
    </row>
    <row r="392" spans="2:8">
      <c r="B392" s="17" t="s">
        <v>6335</v>
      </c>
      <c r="C392" s="246" t="s">
        <v>1017</v>
      </c>
      <c r="D392" s="18">
        <v>410</v>
      </c>
      <c r="E392" s="18">
        <v>0</v>
      </c>
      <c r="F392" s="18">
        <v>324</v>
      </c>
      <c r="G392" s="18">
        <v>93</v>
      </c>
      <c r="H392" s="18">
        <v>399</v>
      </c>
    </row>
    <row r="393" spans="2:8">
      <c r="B393" s="14" t="s">
        <v>6336</v>
      </c>
      <c r="C393" s="245" t="s">
        <v>1018</v>
      </c>
      <c r="D393" s="15">
        <v>244</v>
      </c>
      <c r="E393" s="15">
        <v>148</v>
      </c>
      <c r="F393" s="15">
        <v>225</v>
      </c>
      <c r="G393" s="15">
        <v>303</v>
      </c>
      <c r="H393" s="15">
        <v>397</v>
      </c>
    </row>
    <row r="394" spans="2:8">
      <c r="B394" s="17" t="s">
        <v>6337</v>
      </c>
      <c r="C394" s="246" t="s">
        <v>1019</v>
      </c>
      <c r="D394" s="18">
        <v>193</v>
      </c>
      <c r="E394" s="18">
        <v>126</v>
      </c>
      <c r="F394" s="18">
        <v>99</v>
      </c>
      <c r="G394" s="18">
        <v>86</v>
      </c>
      <c r="H394" s="18">
        <v>392</v>
      </c>
    </row>
    <row r="395" spans="2:8">
      <c r="B395" s="14" t="s">
        <v>6338</v>
      </c>
      <c r="C395" s="245" t="s">
        <v>1020</v>
      </c>
      <c r="D395" s="15">
        <v>53</v>
      </c>
      <c r="E395" s="15">
        <v>102</v>
      </c>
      <c r="F395" s="15">
        <v>290</v>
      </c>
      <c r="G395" s="15">
        <v>313</v>
      </c>
      <c r="H395" s="15">
        <v>385</v>
      </c>
    </row>
    <row r="396" spans="2:8">
      <c r="B396" s="17" t="s">
        <v>6339</v>
      </c>
      <c r="C396" s="246" t="s">
        <v>1021</v>
      </c>
      <c r="D396" s="18">
        <v>198</v>
      </c>
      <c r="E396" s="18">
        <v>30</v>
      </c>
      <c r="F396" s="18">
        <v>248</v>
      </c>
      <c r="G396" s="18">
        <v>376</v>
      </c>
      <c r="H396" s="18">
        <v>383</v>
      </c>
    </row>
    <row r="397" spans="2:8">
      <c r="B397" s="14" t="s">
        <v>6340</v>
      </c>
      <c r="C397" s="245" t="s">
        <v>1022</v>
      </c>
      <c r="D397" s="15">
        <v>637</v>
      </c>
      <c r="E397" s="15">
        <v>454</v>
      </c>
      <c r="F397" s="15">
        <v>513</v>
      </c>
      <c r="G397" s="15">
        <v>1100</v>
      </c>
      <c r="H397" s="15">
        <v>383</v>
      </c>
    </row>
    <row r="398" spans="2:8">
      <c r="B398" s="17" t="s">
        <v>6341</v>
      </c>
      <c r="C398" s="246" t="s">
        <v>1023</v>
      </c>
      <c r="D398" s="18">
        <v>148</v>
      </c>
      <c r="E398" s="18">
        <v>187</v>
      </c>
      <c r="F398" s="18">
        <v>19</v>
      </c>
      <c r="G398" s="18">
        <v>27</v>
      </c>
      <c r="H398" s="18">
        <v>380</v>
      </c>
    </row>
    <row r="399" spans="2:8">
      <c r="B399" s="14" t="s">
        <v>6342</v>
      </c>
      <c r="C399" s="245" t="s">
        <v>1024</v>
      </c>
      <c r="D399" s="15">
        <v>354</v>
      </c>
      <c r="E399" s="15">
        <v>222</v>
      </c>
      <c r="F399" s="15">
        <v>185</v>
      </c>
      <c r="G399" s="15">
        <v>88</v>
      </c>
      <c r="H399" s="15">
        <v>377</v>
      </c>
    </row>
    <row r="400" spans="2:8">
      <c r="B400" s="17" t="s">
        <v>6343</v>
      </c>
      <c r="C400" s="246" t="s">
        <v>1025</v>
      </c>
      <c r="D400" s="18">
        <v>338</v>
      </c>
      <c r="E400" s="18">
        <v>269</v>
      </c>
      <c r="F400" s="18">
        <v>310</v>
      </c>
      <c r="G400" s="18">
        <v>336</v>
      </c>
      <c r="H400" s="18">
        <v>373</v>
      </c>
    </row>
    <row r="401" spans="2:8">
      <c r="B401" s="14" t="s">
        <v>6344</v>
      </c>
      <c r="C401" s="245" t="s">
        <v>1026</v>
      </c>
      <c r="D401" s="15">
        <v>0</v>
      </c>
      <c r="E401" s="15">
        <v>0</v>
      </c>
      <c r="F401" s="15">
        <v>9</v>
      </c>
      <c r="G401" s="15">
        <v>14</v>
      </c>
      <c r="H401" s="15">
        <v>369</v>
      </c>
    </row>
    <row r="402" spans="2:8">
      <c r="B402" s="17" t="s">
        <v>6345</v>
      </c>
      <c r="C402" s="246" t="s">
        <v>1027</v>
      </c>
      <c r="D402" s="18">
        <v>125</v>
      </c>
      <c r="E402" s="18">
        <v>112</v>
      </c>
      <c r="F402" s="18">
        <v>56</v>
      </c>
      <c r="G402" s="18">
        <v>83</v>
      </c>
      <c r="H402" s="18">
        <v>364</v>
      </c>
    </row>
    <row r="403" spans="2:8">
      <c r="B403" s="14" t="s">
        <v>6346</v>
      </c>
      <c r="C403" s="245" t="s">
        <v>1028</v>
      </c>
      <c r="D403" s="15">
        <v>273</v>
      </c>
      <c r="E403" s="15">
        <v>285</v>
      </c>
      <c r="F403" s="15">
        <v>433</v>
      </c>
      <c r="G403" s="15">
        <v>725</v>
      </c>
      <c r="H403" s="15">
        <v>364</v>
      </c>
    </row>
    <row r="404" spans="2:8">
      <c r="B404" s="17" t="s">
        <v>6347</v>
      </c>
      <c r="C404" s="246" t="s">
        <v>1029</v>
      </c>
      <c r="D404" s="18">
        <v>22</v>
      </c>
      <c r="E404" s="18">
        <v>160</v>
      </c>
      <c r="F404" s="18">
        <v>32</v>
      </c>
      <c r="G404" s="18">
        <v>62</v>
      </c>
      <c r="H404" s="18">
        <v>355</v>
      </c>
    </row>
    <row r="405" spans="2:8">
      <c r="B405" s="14" t="s">
        <v>6348</v>
      </c>
      <c r="C405" s="245" t="s">
        <v>1030</v>
      </c>
      <c r="D405" s="15">
        <v>90</v>
      </c>
      <c r="E405" s="15">
        <v>51</v>
      </c>
      <c r="F405" s="15">
        <v>5</v>
      </c>
      <c r="G405" s="15">
        <v>290</v>
      </c>
      <c r="H405" s="15">
        <v>354</v>
      </c>
    </row>
    <row r="406" spans="2:8">
      <c r="B406" s="17" t="s">
        <v>6349</v>
      </c>
      <c r="C406" s="246" t="s">
        <v>1031</v>
      </c>
      <c r="D406" s="18">
        <v>205</v>
      </c>
      <c r="E406" s="18">
        <v>114</v>
      </c>
      <c r="F406" s="18">
        <v>452</v>
      </c>
      <c r="G406" s="18">
        <v>119</v>
      </c>
      <c r="H406" s="18">
        <v>349</v>
      </c>
    </row>
    <row r="407" spans="2:8">
      <c r="B407" s="14" t="s">
        <v>6350</v>
      </c>
      <c r="C407" s="245" t="s">
        <v>1032</v>
      </c>
      <c r="D407" s="15">
        <v>308</v>
      </c>
      <c r="E407" s="15">
        <v>290</v>
      </c>
      <c r="F407" s="15">
        <v>307</v>
      </c>
      <c r="G407" s="15">
        <v>369</v>
      </c>
      <c r="H407" s="15">
        <v>348</v>
      </c>
    </row>
    <row r="408" spans="2:8">
      <c r="B408" s="17" t="s">
        <v>6351</v>
      </c>
      <c r="C408" s="246" t="s">
        <v>1033</v>
      </c>
      <c r="D408" s="18">
        <v>422</v>
      </c>
      <c r="E408" s="18">
        <v>662</v>
      </c>
      <c r="F408" s="18">
        <v>282</v>
      </c>
      <c r="G408" s="18">
        <v>218</v>
      </c>
      <c r="H408" s="18">
        <v>348</v>
      </c>
    </row>
    <row r="409" spans="2:8">
      <c r="B409" s="14" t="s">
        <v>6352</v>
      </c>
      <c r="C409" s="245" t="s">
        <v>1034</v>
      </c>
      <c r="D409" s="15">
        <v>287</v>
      </c>
      <c r="E409" s="15">
        <v>143</v>
      </c>
      <c r="F409" s="15">
        <v>196</v>
      </c>
      <c r="G409" s="15">
        <v>169</v>
      </c>
      <c r="H409" s="15">
        <v>346</v>
      </c>
    </row>
    <row r="410" spans="2:8">
      <c r="B410" s="17" t="s">
        <v>6353</v>
      </c>
      <c r="C410" s="246" t="s">
        <v>1035</v>
      </c>
      <c r="D410" s="18">
        <v>540</v>
      </c>
      <c r="E410" s="18">
        <v>180</v>
      </c>
      <c r="F410" s="18">
        <v>172</v>
      </c>
      <c r="G410" s="18">
        <v>493</v>
      </c>
      <c r="H410" s="18">
        <v>346</v>
      </c>
    </row>
    <row r="411" spans="2:8">
      <c r="B411" s="14" t="s">
        <v>6354</v>
      </c>
      <c r="C411" s="245" t="s">
        <v>1036</v>
      </c>
      <c r="D411" s="15">
        <v>3</v>
      </c>
      <c r="E411" s="15">
        <v>0</v>
      </c>
      <c r="F411" s="15">
        <v>0</v>
      </c>
      <c r="G411" s="15">
        <v>52</v>
      </c>
      <c r="H411" s="15">
        <v>343</v>
      </c>
    </row>
    <row r="412" spans="2:8">
      <c r="B412" s="17" t="s">
        <v>6355</v>
      </c>
      <c r="C412" s="246" t="s">
        <v>1037</v>
      </c>
      <c r="D412" s="18">
        <v>157</v>
      </c>
      <c r="E412" s="18">
        <v>113</v>
      </c>
      <c r="F412" s="18">
        <v>134</v>
      </c>
      <c r="G412" s="18">
        <v>246</v>
      </c>
      <c r="H412" s="18">
        <v>341</v>
      </c>
    </row>
    <row r="413" spans="2:8">
      <c r="B413" s="14" t="s">
        <v>6356</v>
      </c>
      <c r="C413" s="245" t="s">
        <v>1038</v>
      </c>
      <c r="D413" s="15">
        <v>713</v>
      </c>
      <c r="E413" s="15">
        <v>494</v>
      </c>
      <c r="F413" s="15">
        <v>510</v>
      </c>
      <c r="G413" s="15">
        <v>286</v>
      </c>
      <c r="H413" s="15">
        <v>340</v>
      </c>
    </row>
    <row r="414" spans="2:8">
      <c r="B414" s="17" t="s">
        <v>6357</v>
      </c>
      <c r="C414" s="246" t="s">
        <v>1039</v>
      </c>
      <c r="D414" s="18">
        <v>8</v>
      </c>
      <c r="E414" s="18">
        <v>26</v>
      </c>
      <c r="F414" s="18">
        <v>23</v>
      </c>
      <c r="G414" s="18">
        <v>0</v>
      </c>
      <c r="H414" s="18">
        <v>339</v>
      </c>
    </row>
    <row r="415" spans="2:8">
      <c r="B415" s="14" t="s">
        <v>6358</v>
      </c>
      <c r="C415" s="245" t="s">
        <v>1040</v>
      </c>
      <c r="D415" s="15">
        <v>281</v>
      </c>
      <c r="E415" s="15">
        <v>264</v>
      </c>
      <c r="F415" s="15">
        <v>144</v>
      </c>
      <c r="G415" s="15">
        <v>209</v>
      </c>
      <c r="H415" s="15">
        <v>338</v>
      </c>
    </row>
    <row r="416" spans="2:8">
      <c r="B416" s="17" t="s">
        <v>6359</v>
      </c>
      <c r="C416" s="246" t="s">
        <v>655</v>
      </c>
      <c r="D416" s="18">
        <v>193</v>
      </c>
      <c r="E416" s="18">
        <v>96</v>
      </c>
      <c r="F416" s="18">
        <v>217</v>
      </c>
      <c r="G416" s="18">
        <v>421</v>
      </c>
      <c r="H416" s="18">
        <v>337</v>
      </c>
    </row>
    <row r="417" spans="2:8">
      <c r="B417" s="14" t="s">
        <v>6360</v>
      </c>
      <c r="C417" s="245" t="s">
        <v>1041</v>
      </c>
      <c r="D417" s="15">
        <v>0</v>
      </c>
      <c r="E417" s="15">
        <v>0</v>
      </c>
      <c r="F417" s="15">
        <v>0</v>
      </c>
      <c r="G417" s="15">
        <v>0</v>
      </c>
      <c r="H417" s="15">
        <v>336</v>
      </c>
    </row>
    <row r="418" spans="2:8">
      <c r="B418" s="17" t="s">
        <v>6361</v>
      </c>
      <c r="C418" s="246" t="s">
        <v>1042</v>
      </c>
      <c r="D418" s="18">
        <v>62</v>
      </c>
      <c r="E418" s="18">
        <v>325</v>
      </c>
      <c r="F418" s="18">
        <v>0</v>
      </c>
      <c r="G418" s="18">
        <v>100</v>
      </c>
      <c r="H418" s="18">
        <v>336</v>
      </c>
    </row>
    <row r="419" spans="2:8">
      <c r="B419" s="14" t="s">
        <v>6362</v>
      </c>
      <c r="C419" s="245" t="s">
        <v>1043</v>
      </c>
      <c r="D419" s="15">
        <v>746</v>
      </c>
      <c r="E419" s="15">
        <v>448</v>
      </c>
      <c r="F419" s="15">
        <v>442</v>
      </c>
      <c r="G419" s="15">
        <v>544</v>
      </c>
      <c r="H419" s="15">
        <v>334</v>
      </c>
    </row>
    <row r="420" spans="2:8">
      <c r="B420" s="17" t="s">
        <v>6363</v>
      </c>
      <c r="C420" s="246" t="s">
        <v>1044</v>
      </c>
      <c r="D420" s="18">
        <v>265</v>
      </c>
      <c r="E420" s="18">
        <v>92</v>
      </c>
      <c r="F420" s="18">
        <v>70</v>
      </c>
      <c r="G420" s="18">
        <v>42</v>
      </c>
      <c r="H420" s="18">
        <v>331</v>
      </c>
    </row>
    <row r="421" spans="2:8">
      <c r="B421" s="14" t="s">
        <v>6364</v>
      </c>
      <c r="C421" s="245" t="s">
        <v>1045</v>
      </c>
      <c r="D421" s="15">
        <v>108</v>
      </c>
      <c r="E421" s="15">
        <v>948</v>
      </c>
      <c r="F421" s="15">
        <v>913</v>
      </c>
      <c r="G421" s="15">
        <v>969</v>
      </c>
      <c r="H421" s="15">
        <v>330</v>
      </c>
    </row>
    <row r="422" spans="2:8">
      <c r="B422" s="17" t="s">
        <v>6365</v>
      </c>
      <c r="C422" s="246" t="s">
        <v>1046</v>
      </c>
      <c r="D422" s="18">
        <v>133</v>
      </c>
      <c r="E422" s="18">
        <v>10</v>
      </c>
      <c r="F422" s="18">
        <v>12</v>
      </c>
      <c r="G422" s="18">
        <v>69</v>
      </c>
      <c r="H422" s="18">
        <v>328</v>
      </c>
    </row>
    <row r="423" spans="2:8">
      <c r="B423" s="14" t="s">
        <v>6366</v>
      </c>
      <c r="C423" s="245" t="s">
        <v>1047</v>
      </c>
      <c r="D423" s="15">
        <v>309</v>
      </c>
      <c r="E423" s="15">
        <v>313</v>
      </c>
      <c r="F423" s="15">
        <v>316</v>
      </c>
      <c r="G423" s="15">
        <v>705</v>
      </c>
      <c r="H423" s="15">
        <v>327</v>
      </c>
    </row>
    <row r="424" spans="2:8">
      <c r="B424" s="17" t="s">
        <v>6367</v>
      </c>
      <c r="C424" s="246" t="s">
        <v>1048</v>
      </c>
      <c r="D424" s="18">
        <v>234</v>
      </c>
      <c r="E424" s="18">
        <v>690</v>
      </c>
      <c r="F424" s="18">
        <v>205</v>
      </c>
      <c r="G424" s="18">
        <v>61</v>
      </c>
      <c r="H424" s="18">
        <v>327</v>
      </c>
    </row>
    <row r="425" spans="2:8">
      <c r="B425" s="14" t="s">
        <v>6368</v>
      </c>
      <c r="C425" s="245" t="s">
        <v>752</v>
      </c>
      <c r="D425" s="15">
        <v>82</v>
      </c>
      <c r="E425" s="15">
        <v>45</v>
      </c>
      <c r="F425" s="15">
        <v>46</v>
      </c>
      <c r="G425" s="15">
        <v>73</v>
      </c>
      <c r="H425" s="15">
        <v>322</v>
      </c>
    </row>
    <row r="426" spans="2:8">
      <c r="B426" s="17" t="s">
        <v>6369</v>
      </c>
      <c r="C426" s="246" t="s">
        <v>1049</v>
      </c>
      <c r="D426" s="18">
        <v>133</v>
      </c>
      <c r="E426" s="18">
        <v>43</v>
      </c>
      <c r="F426" s="18">
        <v>47</v>
      </c>
      <c r="G426" s="18">
        <v>145</v>
      </c>
      <c r="H426" s="18">
        <v>322</v>
      </c>
    </row>
    <row r="427" spans="2:8">
      <c r="B427" s="14" t="s">
        <v>6370</v>
      </c>
      <c r="C427" s="245" t="s">
        <v>1050</v>
      </c>
      <c r="D427" s="15">
        <v>0</v>
      </c>
      <c r="E427" s="15">
        <v>11</v>
      </c>
      <c r="F427" s="15">
        <v>4</v>
      </c>
      <c r="G427" s="15">
        <v>202</v>
      </c>
      <c r="H427" s="15">
        <v>320</v>
      </c>
    </row>
    <row r="428" spans="2:8">
      <c r="B428" s="17" t="s">
        <v>6371</v>
      </c>
      <c r="C428" s="246" t="s">
        <v>1051</v>
      </c>
      <c r="D428" s="18">
        <v>0</v>
      </c>
      <c r="E428" s="18">
        <v>0</v>
      </c>
      <c r="F428" s="18">
        <v>0</v>
      </c>
      <c r="G428" s="18">
        <v>229</v>
      </c>
      <c r="H428" s="18">
        <v>319</v>
      </c>
    </row>
    <row r="429" spans="2:8">
      <c r="B429" s="14" t="s">
        <v>6372</v>
      </c>
      <c r="C429" s="245" t="s">
        <v>1052</v>
      </c>
      <c r="D429" s="15">
        <v>7016</v>
      </c>
      <c r="E429" s="15">
        <v>4537</v>
      </c>
      <c r="F429" s="15">
        <v>0</v>
      </c>
      <c r="G429" s="15">
        <v>168</v>
      </c>
      <c r="H429" s="15">
        <v>319</v>
      </c>
    </row>
    <row r="430" spans="2:8">
      <c r="B430" s="17" t="s">
        <v>6373</v>
      </c>
      <c r="C430" s="246" t="s">
        <v>1053</v>
      </c>
      <c r="D430" s="18">
        <v>227</v>
      </c>
      <c r="E430" s="18">
        <v>303</v>
      </c>
      <c r="F430" s="18">
        <v>299</v>
      </c>
      <c r="G430" s="18">
        <v>579</v>
      </c>
      <c r="H430" s="18">
        <v>317</v>
      </c>
    </row>
    <row r="431" spans="2:8">
      <c r="B431" s="14" t="s">
        <v>6374</v>
      </c>
      <c r="C431" s="245" t="s">
        <v>1054</v>
      </c>
      <c r="D431" s="15">
        <v>288</v>
      </c>
      <c r="E431" s="15">
        <v>214</v>
      </c>
      <c r="F431" s="15">
        <v>204</v>
      </c>
      <c r="G431" s="15">
        <v>371</v>
      </c>
      <c r="H431" s="15">
        <v>317</v>
      </c>
    </row>
    <row r="432" spans="2:8">
      <c r="B432" s="17" t="s">
        <v>6375</v>
      </c>
      <c r="C432" s="246" t="s">
        <v>1055</v>
      </c>
      <c r="D432" s="18">
        <v>175</v>
      </c>
      <c r="E432" s="18">
        <v>293</v>
      </c>
      <c r="F432" s="18">
        <v>54</v>
      </c>
      <c r="G432" s="18">
        <v>98</v>
      </c>
      <c r="H432" s="18">
        <v>314</v>
      </c>
    </row>
    <row r="433" spans="2:8">
      <c r="B433" s="14" t="s">
        <v>6376</v>
      </c>
      <c r="C433" s="245" t="s">
        <v>1056</v>
      </c>
      <c r="D433" s="15">
        <v>2086</v>
      </c>
      <c r="E433" s="15">
        <v>634</v>
      </c>
      <c r="F433" s="15">
        <v>438</v>
      </c>
      <c r="G433" s="15">
        <v>262</v>
      </c>
      <c r="H433" s="15">
        <v>313</v>
      </c>
    </row>
    <row r="434" spans="2:8">
      <c r="B434" s="17" t="s">
        <v>6377</v>
      </c>
      <c r="C434" s="246" t="s">
        <v>1057</v>
      </c>
      <c r="D434" s="18">
        <v>132</v>
      </c>
      <c r="E434" s="18">
        <v>248</v>
      </c>
      <c r="F434" s="18">
        <v>298</v>
      </c>
      <c r="G434" s="18">
        <v>314</v>
      </c>
      <c r="H434" s="18">
        <v>313</v>
      </c>
    </row>
    <row r="435" spans="2:8">
      <c r="B435" s="14" t="s">
        <v>6378</v>
      </c>
      <c r="C435" s="245" t="s">
        <v>1058</v>
      </c>
      <c r="D435" s="15">
        <v>9</v>
      </c>
      <c r="E435" s="15">
        <v>23</v>
      </c>
      <c r="F435" s="15">
        <v>18</v>
      </c>
      <c r="G435" s="15">
        <v>120</v>
      </c>
      <c r="H435" s="15">
        <v>308</v>
      </c>
    </row>
    <row r="436" spans="2:8">
      <c r="B436" s="17" t="s">
        <v>6379</v>
      </c>
      <c r="C436" s="246" t="s">
        <v>1059</v>
      </c>
      <c r="D436" s="18">
        <v>746</v>
      </c>
      <c r="E436" s="18">
        <v>553</v>
      </c>
      <c r="F436" s="18">
        <v>358</v>
      </c>
      <c r="G436" s="18">
        <v>266</v>
      </c>
      <c r="H436" s="18">
        <v>308</v>
      </c>
    </row>
    <row r="437" spans="2:8">
      <c r="B437" s="14" t="s">
        <v>6380</v>
      </c>
      <c r="C437" s="245" t="s">
        <v>1060</v>
      </c>
      <c r="D437" s="15">
        <v>0</v>
      </c>
      <c r="E437" s="15">
        <v>0</v>
      </c>
      <c r="F437" s="15">
        <v>0</v>
      </c>
      <c r="G437" s="15">
        <v>0</v>
      </c>
      <c r="H437" s="15">
        <v>307</v>
      </c>
    </row>
    <row r="438" spans="2:8">
      <c r="B438" s="17" t="s">
        <v>6381</v>
      </c>
      <c r="C438" s="246" t="s">
        <v>1061</v>
      </c>
      <c r="D438" s="18">
        <v>603</v>
      </c>
      <c r="E438" s="18">
        <v>52</v>
      </c>
      <c r="F438" s="18">
        <v>17</v>
      </c>
      <c r="G438" s="18">
        <v>25</v>
      </c>
      <c r="H438" s="18">
        <v>307</v>
      </c>
    </row>
    <row r="439" spans="2:8">
      <c r="B439" s="14" t="s">
        <v>6382</v>
      </c>
      <c r="C439" s="245" t="s">
        <v>1062</v>
      </c>
      <c r="D439" s="15">
        <v>427</v>
      </c>
      <c r="E439" s="15">
        <v>518</v>
      </c>
      <c r="F439" s="15">
        <v>469</v>
      </c>
      <c r="G439" s="15">
        <v>597</v>
      </c>
      <c r="H439" s="15">
        <v>307</v>
      </c>
    </row>
    <row r="440" spans="2:8">
      <c r="B440" s="17" t="s">
        <v>6383</v>
      </c>
      <c r="C440" s="246" t="s">
        <v>1063</v>
      </c>
      <c r="D440" s="18">
        <v>13</v>
      </c>
      <c r="E440" s="18">
        <v>205</v>
      </c>
      <c r="F440" s="18">
        <v>76</v>
      </c>
      <c r="G440" s="18">
        <v>147</v>
      </c>
      <c r="H440" s="18">
        <v>305</v>
      </c>
    </row>
    <row r="441" spans="2:8">
      <c r="B441" s="14" t="s">
        <v>6384</v>
      </c>
      <c r="C441" s="245" t="s">
        <v>1064</v>
      </c>
      <c r="D441" s="15">
        <v>27</v>
      </c>
      <c r="E441" s="15">
        <v>9</v>
      </c>
      <c r="F441" s="15">
        <v>278</v>
      </c>
      <c r="G441" s="15">
        <v>281</v>
      </c>
      <c r="H441" s="15">
        <v>303</v>
      </c>
    </row>
    <row r="442" spans="2:8">
      <c r="B442" s="17" t="s">
        <v>6385</v>
      </c>
      <c r="C442" s="246" t="s">
        <v>1065</v>
      </c>
      <c r="D442" s="18">
        <v>0</v>
      </c>
      <c r="E442" s="18">
        <v>32</v>
      </c>
      <c r="F442" s="18">
        <v>118</v>
      </c>
      <c r="G442" s="18">
        <v>1306</v>
      </c>
      <c r="H442" s="18">
        <v>303</v>
      </c>
    </row>
    <row r="443" spans="2:8">
      <c r="B443" s="14" t="s">
        <v>6386</v>
      </c>
      <c r="C443" s="245" t="s">
        <v>1066</v>
      </c>
      <c r="D443" s="15">
        <v>258</v>
      </c>
      <c r="E443" s="15">
        <v>201</v>
      </c>
      <c r="F443" s="15">
        <v>84</v>
      </c>
      <c r="G443" s="15">
        <v>190</v>
      </c>
      <c r="H443" s="15">
        <v>302</v>
      </c>
    </row>
    <row r="444" spans="2:8">
      <c r="B444" s="17" t="s">
        <v>6387</v>
      </c>
      <c r="C444" s="246" t="s">
        <v>1067</v>
      </c>
      <c r="D444" s="18">
        <v>187</v>
      </c>
      <c r="E444" s="18">
        <v>249</v>
      </c>
      <c r="F444" s="18">
        <v>215</v>
      </c>
      <c r="G444" s="18">
        <v>158</v>
      </c>
      <c r="H444" s="18">
        <v>302</v>
      </c>
    </row>
    <row r="445" spans="2:8">
      <c r="B445" s="14" t="s">
        <v>6388</v>
      </c>
      <c r="C445" s="245" t="s">
        <v>1068</v>
      </c>
      <c r="D445" s="15">
        <v>411</v>
      </c>
      <c r="E445" s="15">
        <v>0</v>
      </c>
      <c r="F445" s="15">
        <v>3</v>
      </c>
      <c r="G445" s="15">
        <v>224</v>
      </c>
      <c r="H445" s="15">
        <v>300</v>
      </c>
    </row>
    <row r="446" spans="2:8">
      <c r="B446" s="17" t="s">
        <v>6389</v>
      </c>
      <c r="C446" s="246" t="s">
        <v>891</v>
      </c>
      <c r="D446" s="18">
        <v>20</v>
      </c>
      <c r="E446" s="18">
        <v>17</v>
      </c>
      <c r="F446" s="18">
        <v>103</v>
      </c>
      <c r="G446" s="18">
        <v>23</v>
      </c>
      <c r="H446" s="18">
        <v>299</v>
      </c>
    </row>
    <row r="447" spans="2:8">
      <c r="B447" s="14" t="s">
        <v>6390</v>
      </c>
      <c r="C447" s="245" t="s">
        <v>1069</v>
      </c>
      <c r="D447" s="15">
        <v>564</v>
      </c>
      <c r="E447" s="15">
        <v>217</v>
      </c>
      <c r="F447" s="15">
        <v>833</v>
      </c>
      <c r="G447" s="15">
        <v>301</v>
      </c>
      <c r="H447" s="15">
        <v>295</v>
      </c>
    </row>
    <row r="448" spans="2:8">
      <c r="B448" s="17" t="s">
        <v>6391</v>
      </c>
      <c r="C448" s="246" t="s">
        <v>1070</v>
      </c>
      <c r="D448" s="18">
        <v>148</v>
      </c>
      <c r="E448" s="18">
        <v>446</v>
      </c>
      <c r="F448" s="18">
        <v>304</v>
      </c>
      <c r="G448" s="18">
        <v>468</v>
      </c>
      <c r="H448" s="18">
        <v>294</v>
      </c>
    </row>
    <row r="449" spans="2:8">
      <c r="B449" s="14" t="s">
        <v>6392</v>
      </c>
      <c r="C449" s="245" t="s">
        <v>1071</v>
      </c>
      <c r="D449" s="15">
        <v>0</v>
      </c>
      <c r="E449" s="15">
        <v>0</v>
      </c>
      <c r="F449" s="15">
        <v>0</v>
      </c>
      <c r="G449" s="15">
        <v>385</v>
      </c>
      <c r="H449" s="15">
        <v>293</v>
      </c>
    </row>
    <row r="450" spans="2:8">
      <c r="B450" s="17" t="s">
        <v>6393</v>
      </c>
      <c r="C450" s="246" t="s">
        <v>1072</v>
      </c>
      <c r="D450" s="18">
        <v>34</v>
      </c>
      <c r="E450" s="18">
        <v>7</v>
      </c>
      <c r="F450" s="18">
        <v>7</v>
      </c>
      <c r="G450" s="18">
        <v>373</v>
      </c>
      <c r="H450" s="18">
        <v>292</v>
      </c>
    </row>
    <row r="451" spans="2:8">
      <c r="B451" s="14" t="s">
        <v>6394</v>
      </c>
      <c r="C451" s="245" t="s">
        <v>1073</v>
      </c>
      <c r="D451" s="15">
        <v>0</v>
      </c>
      <c r="E451" s="15">
        <v>785</v>
      </c>
      <c r="F451" s="15">
        <v>23</v>
      </c>
      <c r="G451" s="15">
        <v>0</v>
      </c>
      <c r="H451" s="15">
        <v>290</v>
      </c>
    </row>
    <row r="452" spans="2:8">
      <c r="B452" s="17" t="s">
        <v>6395</v>
      </c>
      <c r="C452" s="246" t="s">
        <v>1074</v>
      </c>
      <c r="D452" s="18">
        <v>254</v>
      </c>
      <c r="E452" s="18">
        <v>144</v>
      </c>
      <c r="F452" s="18">
        <v>352</v>
      </c>
      <c r="G452" s="18">
        <v>193</v>
      </c>
      <c r="H452" s="18">
        <v>287</v>
      </c>
    </row>
    <row r="453" spans="2:8">
      <c r="B453" s="14" t="s">
        <v>6396</v>
      </c>
      <c r="C453" s="245" t="s">
        <v>1075</v>
      </c>
      <c r="D453" s="15">
        <v>44</v>
      </c>
      <c r="E453" s="15">
        <v>6</v>
      </c>
      <c r="F453" s="15">
        <v>28</v>
      </c>
      <c r="G453" s="15">
        <v>19</v>
      </c>
      <c r="H453" s="15">
        <v>287</v>
      </c>
    </row>
    <row r="454" spans="2:8">
      <c r="B454" s="17" t="s">
        <v>6397</v>
      </c>
      <c r="C454" s="246" t="s">
        <v>1076</v>
      </c>
      <c r="D454" s="18">
        <v>10</v>
      </c>
      <c r="E454" s="18">
        <v>29</v>
      </c>
      <c r="F454" s="18">
        <v>55</v>
      </c>
      <c r="G454" s="18">
        <v>7</v>
      </c>
      <c r="H454" s="18">
        <v>287</v>
      </c>
    </row>
    <row r="455" spans="2:8">
      <c r="B455" s="14" t="s">
        <v>6398</v>
      </c>
      <c r="C455" s="245" t="s">
        <v>1077</v>
      </c>
      <c r="D455" s="15">
        <v>0</v>
      </c>
      <c r="E455" s="15">
        <v>0</v>
      </c>
      <c r="F455" s="15">
        <v>0</v>
      </c>
      <c r="G455" s="15">
        <v>0</v>
      </c>
      <c r="H455" s="15">
        <v>285</v>
      </c>
    </row>
    <row r="456" spans="2:8">
      <c r="B456" s="17" t="s">
        <v>6399</v>
      </c>
      <c r="C456" s="246" t="s">
        <v>1078</v>
      </c>
      <c r="D456" s="18">
        <v>357</v>
      </c>
      <c r="E456" s="18">
        <v>34</v>
      </c>
      <c r="F456" s="18">
        <v>0</v>
      </c>
      <c r="G456" s="18">
        <v>88</v>
      </c>
      <c r="H456" s="18">
        <v>282</v>
      </c>
    </row>
    <row r="457" spans="2:8">
      <c r="B457" s="14" t="s">
        <v>6400</v>
      </c>
      <c r="C457" s="245" t="s">
        <v>1004</v>
      </c>
      <c r="D457" s="15">
        <v>57</v>
      </c>
      <c r="E457" s="15">
        <v>96</v>
      </c>
      <c r="F457" s="15">
        <v>96</v>
      </c>
      <c r="G457" s="15">
        <v>86</v>
      </c>
      <c r="H457" s="15">
        <v>281</v>
      </c>
    </row>
    <row r="458" spans="2:8">
      <c r="B458" s="17" t="s">
        <v>6401</v>
      </c>
      <c r="C458" s="246" t="s">
        <v>1079</v>
      </c>
      <c r="D458" s="18">
        <v>232</v>
      </c>
      <c r="E458" s="18">
        <v>65</v>
      </c>
      <c r="F458" s="18">
        <v>312</v>
      </c>
      <c r="G458" s="18">
        <v>386</v>
      </c>
      <c r="H458" s="18">
        <v>279</v>
      </c>
    </row>
    <row r="459" spans="2:8">
      <c r="B459" s="14" t="s">
        <v>6402</v>
      </c>
      <c r="C459" s="245" t="s">
        <v>1080</v>
      </c>
      <c r="D459" s="15">
        <v>0</v>
      </c>
      <c r="E459" s="15">
        <v>0</v>
      </c>
      <c r="F459" s="15">
        <v>0</v>
      </c>
      <c r="G459" s="15">
        <v>0</v>
      </c>
      <c r="H459" s="15">
        <v>278</v>
      </c>
    </row>
    <row r="460" spans="2:8">
      <c r="B460" s="17" t="s">
        <v>6403</v>
      </c>
      <c r="C460" s="246" t="s">
        <v>1081</v>
      </c>
      <c r="D460" s="18">
        <v>66</v>
      </c>
      <c r="E460" s="18">
        <v>51</v>
      </c>
      <c r="F460" s="18">
        <v>21</v>
      </c>
      <c r="G460" s="18">
        <v>39</v>
      </c>
      <c r="H460" s="18">
        <v>277</v>
      </c>
    </row>
    <row r="461" spans="2:8">
      <c r="B461" s="14" t="s">
        <v>6404</v>
      </c>
      <c r="C461" s="245" t="s">
        <v>1082</v>
      </c>
      <c r="D461" s="15">
        <v>187</v>
      </c>
      <c r="E461" s="15">
        <v>408</v>
      </c>
      <c r="F461" s="15">
        <v>128</v>
      </c>
      <c r="G461" s="15">
        <v>725</v>
      </c>
      <c r="H461" s="15">
        <v>273</v>
      </c>
    </row>
    <row r="462" spans="2:8">
      <c r="B462" s="17" t="s">
        <v>6405</v>
      </c>
      <c r="C462" s="246" t="s">
        <v>1083</v>
      </c>
      <c r="D462" s="18">
        <v>106</v>
      </c>
      <c r="E462" s="18">
        <v>251</v>
      </c>
      <c r="F462" s="18">
        <v>395</v>
      </c>
      <c r="G462" s="18">
        <v>376</v>
      </c>
      <c r="H462" s="18">
        <v>272</v>
      </c>
    </row>
    <row r="463" spans="2:8">
      <c r="B463" s="14" t="s">
        <v>6406</v>
      </c>
      <c r="C463" s="245" t="s">
        <v>725</v>
      </c>
      <c r="D463" s="15">
        <v>114</v>
      </c>
      <c r="E463" s="15">
        <v>491</v>
      </c>
      <c r="F463" s="15">
        <v>142</v>
      </c>
      <c r="G463" s="15">
        <v>290</v>
      </c>
      <c r="H463" s="15">
        <v>271</v>
      </c>
    </row>
    <row r="464" spans="2:8">
      <c r="B464" s="17" t="s">
        <v>6407</v>
      </c>
      <c r="C464" s="246" t="s">
        <v>982</v>
      </c>
      <c r="D464" s="18">
        <v>0</v>
      </c>
      <c r="E464" s="18">
        <v>0</v>
      </c>
      <c r="F464" s="18">
        <v>0</v>
      </c>
      <c r="G464" s="18">
        <v>0</v>
      </c>
      <c r="H464" s="18">
        <v>270</v>
      </c>
    </row>
    <row r="465" spans="2:8">
      <c r="B465" s="14" t="s">
        <v>6408</v>
      </c>
      <c r="C465" s="245" t="s">
        <v>1084</v>
      </c>
      <c r="D465" s="15">
        <v>260</v>
      </c>
      <c r="E465" s="15">
        <v>170</v>
      </c>
      <c r="F465" s="15">
        <v>170</v>
      </c>
      <c r="G465" s="15">
        <v>217</v>
      </c>
      <c r="H465" s="15">
        <v>270</v>
      </c>
    </row>
    <row r="466" spans="2:8">
      <c r="B466" s="17" t="s">
        <v>6409</v>
      </c>
      <c r="C466" s="246" t="s">
        <v>1085</v>
      </c>
      <c r="D466" s="18">
        <v>0</v>
      </c>
      <c r="E466" s="18">
        <v>0</v>
      </c>
      <c r="F466" s="18">
        <v>0</v>
      </c>
      <c r="G466" s="18">
        <v>0</v>
      </c>
      <c r="H466" s="18">
        <v>268</v>
      </c>
    </row>
    <row r="467" spans="2:8">
      <c r="B467" s="14" t="s">
        <v>6410</v>
      </c>
      <c r="C467" s="245" t="s">
        <v>1086</v>
      </c>
      <c r="D467" s="15">
        <v>141</v>
      </c>
      <c r="E467" s="15">
        <v>152</v>
      </c>
      <c r="F467" s="15">
        <v>274</v>
      </c>
      <c r="G467" s="15">
        <v>118</v>
      </c>
      <c r="H467" s="15">
        <v>267</v>
      </c>
    </row>
    <row r="468" spans="2:8">
      <c r="B468" s="17" t="s">
        <v>6411</v>
      </c>
      <c r="C468" s="246" t="s">
        <v>1087</v>
      </c>
      <c r="D468" s="18">
        <v>86</v>
      </c>
      <c r="E468" s="18">
        <v>104</v>
      </c>
      <c r="F468" s="18">
        <v>16</v>
      </c>
      <c r="G468" s="18">
        <v>169</v>
      </c>
      <c r="H468" s="18">
        <v>261</v>
      </c>
    </row>
    <row r="469" spans="2:8">
      <c r="B469" s="14" t="s">
        <v>6412</v>
      </c>
      <c r="C469" s="245" t="s">
        <v>1088</v>
      </c>
      <c r="D469" s="15">
        <v>3</v>
      </c>
      <c r="E469" s="15">
        <v>14</v>
      </c>
      <c r="F469" s="15">
        <v>0</v>
      </c>
      <c r="G469" s="15">
        <v>8</v>
      </c>
      <c r="H469" s="15">
        <v>260</v>
      </c>
    </row>
    <row r="470" spans="2:8">
      <c r="B470" s="17" t="s">
        <v>6413</v>
      </c>
      <c r="C470" s="246" t="s">
        <v>1089</v>
      </c>
      <c r="D470" s="18">
        <v>29</v>
      </c>
      <c r="E470" s="18">
        <v>0</v>
      </c>
      <c r="F470" s="18">
        <v>42</v>
      </c>
      <c r="G470" s="18">
        <v>75</v>
      </c>
      <c r="H470" s="18">
        <v>258</v>
      </c>
    </row>
    <row r="471" spans="2:8">
      <c r="B471" s="14" t="s">
        <v>6414</v>
      </c>
      <c r="C471" s="245" t="s">
        <v>1090</v>
      </c>
      <c r="D471" s="15">
        <v>390</v>
      </c>
      <c r="E471" s="15">
        <v>20</v>
      </c>
      <c r="F471" s="15">
        <v>51</v>
      </c>
      <c r="G471" s="15">
        <v>42</v>
      </c>
      <c r="H471" s="15">
        <v>257</v>
      </c>
    </row>
    <row r="472" spans="2:8">
      <c r="B472" s="17" t="s">
        <v>6415</v>
      </c>
      <c r="C472" s="246" t="s">
        <v>1091</v>
      </c>
      <c r="D472" s="18">
        <v>175</v>
      </c>
      <c r="E472" s="18">
        <v>82</v>
      </c>
      <c r="F472" s="18">
        <v>247</v>
      </c>
      <c r="G472" s="18">
        <v>165</v>
      </c>
      <c r="H472" s="18">
        <v>255</v>
      </c>
    </row>
    <row r="473" spans="2:8">
      <c r="B473" s="14" t="s">
        <v>6416</v>
      </c>
      <c r="C473" s="245" t="s">
        <v>1092</v>
      </c>
      <c r="D473" s="15">
        <v>134</v>
      </c>
      <c r="E473" s="15">
        <v>221</v>
      </c>
      <c r="F473" s="15">
        <v>254</v>
      </c>
      <c r="G473" s="15">
        <v>174</v>
      </c>
      <c r="H473" s="15">
        <v>254</v>
      </c>
    </row>
    <row r="474" spans="2:8">
      <c r="B474" s="17" t="s">
        <v>6417</v>
      </c>
      <c r="C474" s="246" t="s">
        <v>1093</v>
      </c>
      <c r="D474" s="18">
        <v>0</v>
      </c>
      <c r="E474" s="18">
        <v>0</v>
      </c>
      <c r="F474" s="18">
        <v>0</v>
      </c>
      <c r="G474" s="18">
        <v>0</v>
      </c>
      <c r="H474" s="18">
        <v>253</v>
      </c>
    </row>
    <row r="475" spans="2:8">
      <c r="B475" s="14" t="s">
        <v>6418</v>
      </c>
      <c r="C475" s="245" t="s">
        <v>1094</v>
      </c>
      <c r="D475" s="15">
        <v>0</v>
      </c>
      <c r="E475" s="15">
        <v>91</v>
      </c>
      <c r="F475" s="15">
        <v>109</v>
      </c>
      <c r="G475" s="15">
        <v>264</v>
      </c>
      <c r="H475" s="15">
        <v>253</v>
      </c>
    </row>
    <row r="476" spans="2:8">
      <c r="B476" s="17" t="s">
        <v>6419</v>
      </c>
      <c r="C476" s="246" t="s">
        <v>712</v>
      </c>
      <c r="D476" s="18">
        <v>257</v>
      </c>
      <c r="E476" s="18">
        <v>188</v>
      </c>
      <c r="F476" s="18">
        <v>57</v>
      </c>
      <c r="G476" s="18">
        <v>203</v>
      </c>
      <c r="H476" s="18">
        <v>250</v>
      </c>
    </row>
    <row r="477" spans="2:8">
      <c r="B477" s="14" t="s">
        <v>6420</v>
      </c>
      <c r="C477" s="245" t="s">
        <v>1095</v>
      </c>
      <c r="D477" s="15">
        <v>99</v>
      </c>
      <c r="E477" s="15">
        <v>1</v>
      </c>
      <c r="F477" s="15">
        <v>171</v>
      </c>
      <c r="G477" s="15">
        <v>62</v>
      </c>
      <c r="H477" s="15">
        <v>246</v>
      </c>
    </row>
    <row r="478" spans="2:8">
      <c r="B478" s="17" t="s">
        <v>6421</v>
      </c>
      <c r="C478" s="246" t="s">
        <v>913</v>
      </c>
      <c r="D478" s="18">
        <v>118</v>
      </c>
      <c r="E478" s="18">
        <v>205</v>
      </c>
      <c r="F478" s="18">
        <v>103</v>
      </c>
      <c r="G478" s="18">
        <v>132</v>
      </c>
      <c r="H478" s="18">
        <v>245</v>
      </c>
    </row>
    <row r="479" spans="2:8">
      <c r="B479" s="14" t="s">
        <v>6422</v>
      </c>
      <c r="C479" s="245" t="s">
        <v>1096</v>
      </c>
      <c r="D479" s="15">
        <v>299</v>
      </c>
      <c r="E479" s="15">
        <v>213</v>
      </c>
      <c r="F479" s="15">
        <v>625</v>
      </c>
      <c r="G479" s="15">
        <v>431</v>
      </c>
      <c r="H479" s="15">
        <v>242</v>
      </c>
    </row>
    <row r="480" spans="2:8">
      <c r="B480" s="17" t="s">
        <v>6423</v>
      </c>
      <c r="C480" s="246" t="s">
        <v>798</v>
      </c>
      <c r="D480" s="18">
        <v>0</v>
      </c>
      <c r="E480" s="18">
        <v>0</v>
      </c>
      <c r="F480" s="18">
        <v>0</v>
      </c>
      <c r="G480" s="18">
        <v>0</v>
      </c>
      <c r="H480" s="18">
        <v>239</v>
      </c>
    </row>
    <row r="481" spans="2:8">
      <c r="B481" s="14" t="s">
        <v>6424</v>
      </c>
      <c r="C481" s="245" t="s">
        <v>1097</v>
      </c>
      <c r="D481" s="15">
        <v>270</v>
      </c>
      <c r="E481" s="15">
        <v>530</v>
      </c>
      <c r="F481" s="15">
        <v>58</v>
      </c>
      <c r="G481" s="15">
        <v>218</v>
      </c>
      <c r="H481" s="15">
        <v>239</v>
      </c>
    </row>
    <row r="482" spans="2:8">
      <c r="B482" s="17" t="s">
        <v>6425</v>
      </c>
      <c r="C482" s="246" t="s">
        <v>1098</v>
      </c>
      <c r="D482" s="18">
        <v>49</v>
      </c>
      <c r="E482" s="18">
        <v>568</v>
      </c>
      <c r="F482" s="18">
        <v>7</v>
      </c>
      <c r="G482" s="18">
        <v>189</v>
      </c>
      <c r="H482" s="18">
        <v>239</v>
      </c>
    </row>
    <row r="483" spans="2:8">
      <c r="B483" s="14" t="s">
        <v>6426</v>
      </c>
      <c r="C483" s="245" t="s">
        <v>1099</v>
      </c>
      <c r="D483" s="15">
        <v>0</v>
      </c>
      <c r="E483" s="15">
        <v>108</v>
      </c>
      <c r="F483" s="15">
        <v>195</v>
      </c>
      <c r="G483" s="15">
        <v>286</v>
      </c>
      <c r="H483" s="15">
        <v>239</v>
      </c>
    </row>
    <row r="484" spans="2:8">
      <c r="B484" s="17" t="s">
        <v>6427</v>
      </c>
      <c r="C484" s="246" t="s">
        <v>1100</v>
      </c>
      <c r="D484" s="18">
        <v>4</v>
      </c>
      <c r="E484" s="18">
        <v>3</v>
      </c>
      <c r="F484" s="18">
        <v>102</v>
      </c>
      <c r="G484" s="18">
        <v>183</v>
      </c>
      <c r="H484" s="18">
        <v>238</v>
      </c>
    </row>
    <row r="485" spans="2:8">
      <c r="B485" s="14" t="s">
        <v>6428</v>
      </c>
      <c r="C485" s="245" t="s">
        <v>1101</v>
      </c>
      <c r="D485" s="15">
        <v>324</v>
      </c>
      <c r="E485" s="15">
        <v>369</v>
      </c>
      <c r="F485" s="15">
        <v>210</v>
      </c>
      <c r="G485" s="15">
        <v>255</v>
      </c>
      <c r="H485" s="15">
        <v>238</v>
      </c>
    </row>
    <row r="486" spans="2:8">
      <c r="B486" s="17" t="s">
        <v>6429</v>
      </c>
      <c r="C486" s="246" t="s">
        <v>1102</v>
      </c>
      <c r="D486" s="18">
        <v>189</v>
      </c>
      <c r="E486" s="18">
        <v>343</v>
      </c>
      <c r="F486" s="18">
        <v>254</v>
      </c>
      <c r="G486" s="18">
        <v>130</v>
      </c>
      <c r="H486" s="18">
        <v>234</v>
      </c>
    </row>
    <row r="487" spans="2:8">
      <c r="B487" s="14" t="s">
        <v>6430</v>
      </c>
      <c r="C487" s="245" t="s">
        <v>1103</v>
      </c>
      <c r="D487" s="15">
        <v>353</v>
      </c>
      <c r="E487" s="15">
        <v>863</v>
      </c>
      <c r="F487" s="15">
        <v>498</v>
      </c>
      <c r="G487" s="15">
        <v>433</v>
      </c>
      <c r="H487" s="15">
        <v>231</v>
      </c>
    </row>
    <row r="488" spans="2:8">
      <c r="B488" s="17" t="s">
        <v>6431</v>
      </c>
      <c r="C488" s="246" t="s">
        <v>1104</v>
      </c>
      <c r="D488" s="18">
        <v>188</v>
      </c>
      <c r="E488" s="18">
        <v>198</v>
      </c>
      <c r="F488" s="18">
        <v>146</v>
      </c>
      <c r="G488" s="18">
        <v>281</v>
      </c>
      <c r="H488" s="18">
        <v>230</v>
      </c>
    </row>
    <row r="489" spans="2:8">
      <c r="B489" s="14" t="s">
        <v>6432</v>
      </c>
      <c r="C489" s="245" t="s">
        <v>1105</v>
      </c>
      <c r="D489" s="15">
        <v>28</v>
      </c>
      <c r="E489" s="15">
        <v>40</v>
      </c>
      <c r="F489" s="15">
        <v>68</v>
      </c>
      <c r="G489" s="15">
        <v>94</v>
      </c>
      <c r="H489" s="15">
        <v>224</v>
      </c>
    </row>
    <row r="490" spans="2:8">
      <c r="B490" s="17" t="s">
        <v>6433</v>
      </c>
      <c r="C490" s="246" t="s">
        <v>1106</v>
      </c>
      <c r="D490" s="18">
        <v>536</v>
      </c>
      <c r="E490" s="18">
        <v>347</v>
      </c>
      <c r="F490" s="18">
        <v>227</v>
      </c>
      <c r="G490" s="18">
        <v>273</v>
      </c>
      <c r="H490" s="18">
        <v>224</v>
      </c>
    </row>
    <row r="491" spans="2:8">
      <c r="B491" s="14" t="s">
        <v>6434</v>
      </c>
      <c r="C491" s="245" t="s">
        <v>1107</v>
      </c>
      <c r="D491" s="15">
        <v>80</v>
      </c>
      <c r="E491" s="15">
        <v>274</v>
      </c>
      <c r="F491" s="15">
        <v>65</v>
      </c>
      <c r="G491" s="15">
        <v>224</v>
      </c>
      <c r="H491" s="15">
        <v>221</v>
      </c>
    </row>
    <row r="492" spans="2:8">
      <c r="B492" s="17" t="s">
        <v>6435</v>
      </c>
      <c r="C492" s="246" t="s">
        <v>1108</v>
      </c>
      <c r="D492" s="18">
        <v>75</v>
      </c>
      <c r="E492" s="18">
        <v>108</v>
      </c>
      <c r="F492" s="18">
        <v>107</v>
      </c>
      <c r="G492" s="18">
        <v>201</v>
      </c>
      <c r="H492" s="18">
        <v>221</v>
      </c>
    </row>
    <row r="493" spans="2:8">
      <c r="B493" s="14" t="s">
        <v>6436</v>
      </c>
      <c r="C493" s="245" t="s">
        <v>1109</v>
      </c>
      <c r="D493" s="15">
        <v>297</v>
      </c>
      <c r="E493" s="15">
        <v>246</v>
      </c>
      <c r="F493" s="15">
        <v>88</v>
      </c>
      <c r="G493" s="15">
        <v>465</v>
      </c>
      <c r="H493" s="15">
        <v>220</v>
      </c>
    </row>
    <row r="494" spans="2:8">
      <c r="B494" s="17" t="s">
        <v>6437</v>
      </c>
      <c r="C494" s="246" t="s">
        <v>1110</v>
      </c>
      <c r="D494" s="18">
        <v>86</v>
      </c>
      <c r="E494" s="18">
        <v>0</v>
      </c>
      <c r="F494" s="18">
        <v>11</v>
      </c>
      <c r="G494" s="18">
        <v>0</v>
      </c>
      <c r="H494" s="18">
        <v>219</v>
      </c>
    </row>
    <row r="495" spans="2:8">
      <c r="B495" s="14" t="s">
        <v>6438</v>
      </c>
      <c r="C495" s="245" t="s">
        <v>1111</v>
      </c>
      <c r="D495" s="15">
        <v>599</v>
      </c>
      <c r="E495" s="15">
        <v>165</v>
      </c>
      <c r="F495" s="15">
        <v>69</v>
      </c>
      <c r="G495" s="15">
        <v>135</v>
      </c>
      <c r="H495" s="15">
        <v>218</v>
      </c>
    </row>
    <row r="496" spans="2:8">
      <c r="B496" s="17" t="s">
        <v>6439</v>
      </c>
      <c r="C496" s="246" t="s">
        <v>786</v>
      </c>
      <c r="D496" s="18">
        <v>0</v>
      </c>
      <c r="E496" s="18">
        <v>0</v>
      </c>
      <c r="F496" s="18">
        <v>57</v>
      </c>
      <c r="G496" s="18">
        <v>687</v>
      </c>
      <c r="H496" s="18">
        <v>215</v>
      </c>
    </row>
    <row r="497" spans="2:8">
      <c r="B497" s="14" t="s">
        <v>6440</v>
      </c>
      <c r="C497" s="245" t="s">
        <v>1112</v>
      </c>
      <c r="D497" s="15">
        <v>0</v>
      </c>
      <c r="E497" s="15">
        <v>0</v>
      </c>
      <c r="F497" s="15">
        <v>0</v>
      </c>
      <c r="G497" s="15">
        <v>0</v>
      </c>
      <c r="H497" s="15">
        <v>215</v>
      </c>
    </row>
    <row r="498" spans="2:8">
      <c r="B498" s="17" t="s">
        <v>6441</v>
      </c>
      <c r="C498" s="246" t="s">
        <v>1113</v>
      </c>
      <c r="D498" s="18">
        <v>963</v>
      </c>
      <c r="E498" s="18">
        <v>695</v>
      </c>
      <c r="F498" s="18">
        <v>762</v>
      </c>
      <c r="G498" s="18">
        <v>43</v>
      </c>
      <c r="H498" s="18">
        <v>213</v>
      </c>
    </row>
    <row r="499" spans="2:8">
      <c r="B499" s="14" t="s">
        <v>6442</v>
      </c>
      <c r="C499" s="245" t="s">
        <v>1114</v>
      </c>
      <c r="D499" s="15">
        <v>1</v>
      </c>
      <c r="E499" s="15">
        <v>0</v>
      </c>
      <c r="F499" s="15">
        <v>0</v>
      </c>
      <c r="G499" s="15">
        <v>0</v>
      </c>
      <c r="H499" s="15">
        <v>211</v>
      </c>
    </row>
    <row r="500" spans="2:8">
      <c r="B500" s="17" t="s">
        <v>6443</v>
      </c>
      <c r="C500" s="246" t="s">
        <v>1115</v>
      </c>
      <c r="D500" s="18">
        <v>99</v>
      </c>
      <c r="E500" s="18">
        <v>155</v>
      </c>
      <c r="F500" s="18">
        <v>130</v>
      </c>
      <c r="G500" s="18">
        <v>253</v>
      </c>
      <c r="H500" s="18">
        <v>207</v>
      </c>
    </row>
    <row r="501" spans="2:8">
      <c r="B501" s="14" t="s">
        <v>6444</v>
      </c>
      <c r="C501" s="245" t="s">
        <v>1116</v>
      </c>
      <c r="D501" s="15">
        <v>65</v>
      </c>
      <c r="E501" s="15">
        <v>71</v>
      </c>
      <c r="F501" s="15">
        <v>238</v>
      </c>
      <c r="G501" s="15">
        <v>197</v>
      </c>
      <c r="H501" s="15">
        <v>207</v>
      </c>
    </row>
    <row r="502" spans="2:8">
      <c r="B502" s="17" t="s">
        <v>6445</v>
      </c>
      <c r="C502" s="246" t="s">
        <v>1117</v>
      </c>
      <c r="D502" s="18">
        <v>138</v>
      </c>
      <c r="E502" s="18">
        <v>277</v>
      </c>
      <c r="F502" s="18">
        <v>570</v>
      </c>
      <c r="G502" s="18">
        <v>403</v>
      </c>
      <c r="H502" s="18">
        <v>207</v>
      </c>
    </row>
    <row r="503" spans="2:8">
      <c r="B503" s="14" t="s">
        <v>6446</v>
      </c>
      <c r="C503" s="245" t="s">
        <v>1118</v>
      </c>
      <c r="D503" s="15">
        <v>6</v>
      </c>
      <c r="E503" s="15">
        <v>339</v>
      </c>
      <c r="F503" s="15">
        <v>309</v>
      </c>
      <c r="G503" s="15">
        <v>336</v>
      </c>
      <c r="H503" s="15">
        <v>206</v>
      </c>
    </row>
    <row r="504" spans="2:8">
      <c r="B504" s="17" t="s">
        <v>6447</v>
      </c>
      <c r="C504" s="246" t="s">
        <v>1119</v>
      </c>
      <c r="D504" s="18">
        <v>0</v>
      </c>
      <c r="E504" s="18">
        <v>0</v>
      </c>
      <c r="F504" s="18">
        <v>0</v>
      </c>
      <c r="G504" s="18">
        <v>0</v>
      </c>
      <c r="H504" s="18">
        <v>206</v>
      </c>
    </row>
    <row r="505" spans="2:8">
      <c r="B505" s="14" t="s">
        <v>6448</v>
      </c>
      <c r="C505" s="245" t="s">
        <v>1120</v>
      </c>
      <c r="D505" s="15">
        <v>37</v>
      </c>
      <c r="E505" s="15">
        <v>1110</v>
      </c>
      <c r="F505" s="15">
        <v>245</v>
      </c>
      <c r="G505" s="15">
        <v>85</v>
      </c>
      <c r="H505" s="15">
        <v>205</v>
      </c>
    </row>
    <row r="506" spans="2:8">
      <c r="B506" s="17" t="s">
        <v>6449</v>
      </c>
      <c r="C506" s="246" t="s">
        <v>1121</v>
      </c>
      <c r="D506" s="18">
        <v>0</v>
      </c>
      <c r="E506" s="18">
        <v>0</v>
      </c>
      <c r="F506" s="18">
        <v>0</v>
      </c>
      <c r="G506" s="18">
        <v>0</v>
      </c>
      <c r="H506" s="18">
        <v>205</v>
      </c>
    </row>
    <row r="507" spans="2:8">
      <c r="B507" s="14" t="s">
        <v>6450</v>
      </c>
      <c r="C507" s="245" t="s">
        <v>1122</v>
      </c>
      <c r="D507" s="15">
        <v>133</v>
      </c>
      <c r="E507" s="15">
        <v>134</v>
      </c>
      <c r="F507" s="15">
        <v>49</v>
      </c>
      <c r="G507" s="15">
        <v>79</v>
      </c>
      <c r="H507" s="15">
        <v>203</v>
      </c>
    </row>
    <row r="508" spans="2:8">
      <c r="B508" s="17" t="s">
        <v>6451</v>
      </c>
      <c r="C508" s="246" t="s">
        <v>1123</v>
      </c>
      <c r="D508" s="18">
        <v>0</v>
      </c>
      <c r="E508" s="18">
        <v>0</v>
      </c>
      <c r="F508" s="18">
        <v>0</v>
      </c>
      <c r="G508" s="18">
        <v>83</v>
      </c>
      <c r="H508" s="18">
        <v>203</v>
      </c>
    </row>
    <row r="509" spans="2:8">
      <c r="B509" s="14" t="s">
        <v>6452</v>
      </c>
      <c r="C509" s="245" t="s">
        <v>1124</v>
      </c>
      <c r="D509" s="15">
        <v>0</v>
      </c>
      <c r="E509" s="15">
        <v>0</v>
      </c>
      <c r="F509" s="15">
        <v>31</v>
      </c>
      <c r="G509" s="15">
        <v>153</v>
      </c>
      <c r="H509" s="15">
        <v>203</v>
      </c>
    </row>
    <row r="510" spans="2:8">
      <c r="B510" s="17" t="s">
        <v>6453</v>
      </c>
      <c r="C510" s="246" t="s">
        <v>1125</v>
      </c>
      <c r="D510" s="18">
        <v>87</v>
      </c>
      <c r="E510" s="18">
        <v>89</v>
      </c>
      <c r="F510" s="18">
        <v>168</v>
      </c>
      <c r="G510" s="18">
        <v>220</v>
      </c>
      <c r="H510" s="18">
        <v>202</v>
      </c>
    </row>
    <row r="511" spans="2:8">
      <c r="B511" s="14" t="s">
        <v>6454</v>
      </c>
      <c r="C511" s="245" t="s">
        <v>1126</v>
      </c>
      <c r="D511" s="15">
        <v>0</v>
      </c>
      <c r="E511" s="15">
        <v>0</v>
      </c>
      <c r="F511" s="15">
        <v>0</v>
      </c>
      <c r="G511" s="15">
        <v>0</v>
      </c>
      <c r="H511" s="15">
        <v>200</v>
      </c>
    </row>
    <row r="512" spans="2:8">
      <c r="B512" s="17" t="s">
        <v>6455</v>
      </c>
      <c r="C512" s="246" t="s">
        <v>1127</v>
      </c>
      <c r="D512" s="18">
        <v>33</v>
      </c>
      <c r="E512" s="18">
        <v>21</v>
      </c>
      <c r="F512" s="18">
        <v>12</v>
      </c>
      <c r="G512" s="18">
        <v>23</v>
      </c>
      <c r="H512" s="18">
        <v>199</v>
      </c>
    </row>
    <row r="513" spans="2:8">
      <c r="B513" s="14" t="s">
        <v>6456</v>
      </c>
      <c r="C513" s="245" t="s">
        <v>1128</v>
      </c>
      <c r="D513" s="15">
        <v>15</v>
      </c>
      <c r="E513" s="15">
        <v>129</v>
      </c>
      <c r="F513" s="15">
        <v>585</v>
      </c>
      <c r="G513" s="15">
        <v>150</v>
      </c>
      <c r="H513" s="15">
        <v>198</v>
      </c>
    </row>
    <row r="514" spans="2:8">
      <c r="B514" s="17" t="s">
        <v>6457</v>
      </c>
      <c r="C514" s="246" t="s">
        <v>1129</v>
      </c>
      <c r="D514" s="18">
        <v>0</v>
      </c>
      <c r="E514" s="18">
        <v>0</v>
      </c>
      <c r="F514" s="18">
        <v>0</v>
      </c>
      <c r="G514" s="18">
        <v>0</v>
      </c>
      <c r="H514" s="18">
        <v>197</v>
      </c>
    </row>
    <row r="515" spans="2:8">
      <c r="B515" s="14" t="s">
        <v>6458</v>
      </c>
      <c r="C515" s="245" t="s">
        <v>1130</v>
      </c>
      <c r="D515" s="15">
        <v>233</v>
      </c>
      <c r="E515" s="15">
        <v>194</v>
      </c>
      <c r="F515" s="15">
        <v>115</v>
      </c>
      <c r="G515" s="15">
        <v>169</v>
      </c>
      <c r="H515" s="15">
        <v>197</v>
      </c>
    </row>
    <row r="516" spans="2:8">
      <c r="B516" s="17" t="s">
        <v>6459</v>
      </c>
      <c r="C516" s="246" t="s">
        <v>1131</v>
      </c>
      <c r="D516" s="18">
        <v>0</v>
      </c>
      <c r="E516" s="18">
        <v>0</v>
      </c>
      <c r="F516" s="18">
        <v>16</v>
      </c>
      <c r="G516" s="18">
        <v>0</v>
      </c>
      <c r="H516" s="18">
        <v>197</v>
      </c>
    </row>
    <row r="517" spans="2:8">
      <c r="B517" s="14" t="s">
        <v>6460</v>
      </c>
      <c r="C517" s="245" t="s">
        <v>1132</v>
      </c>
      <c r="D517" s="15">
        <v>0</v>
      </c>
      <c r="E517" s="15">
        <v>0</v>
      </c>
      <c r="F517" s="15">
        <v>0</v>
      </c>
      <c r="G517" s="15">
        <v>0</v>
      </c>
      <c r="H517" s="15">
        <v>196</v>
      </c>
    </row>
    <row r="518" spans="2:8">
      <c r="B518" s="17" t="s">
        <v>6461</v>
      </c>
      <c r="C518" s="246" t="s">
        <v>1133</v>
      </c>
      <c r="D518" s="18">
        <v>76</v>
      </c>
      <c r="E518" s="18">
        <v>91</v>
      </c>
      <c r="F518" s="18">
        <v>73</v>
      </c>
      <c r="G518" s="18">
        <v>0</v>
      </c>
      <c r="H518" s="18">
        <v>196</v>
      </c>
    </row>
    <row r="519" spans="2:8">
      <c r="B519" s="14" t="s">
        <v>6462</v>
      </c>
      <c r="C519" s="245" t="s">
        <v>1134</v>
      </c>
      <c r="D519" s="15">
        <v>12</v>
      </c>
      <c r="E519" s="15">
        <v>72</v>
      </c>
      <c r="F519" s="15">
        <v>45</v>
      </c>
      <c r="G519" s="15">
        <v>58</v>
      </c>
      <c r="H519" s="15">
        <v>196</v>
      </c>
    </row>
    <row r="520" spans="2:8">
      <c r="B520" s="17" t="s">
        <v>6463</v>
      </c>
      <c r="C520" s="246" t="s">
        <v>1135</v>
      </c>
      <c r="D520" s="18">
        <v>0</v>
      </c>
      <c r="E520" s="18">
        <v>0</v>
      </c>
      <c r="F520" s="18">
        <v>0</v>
      </c>
      <c r="G520" s="18">
        <v>0</v>
      </c>
      <c r="H520" s="18">
        <v>194</v>
      </c>
    </row>
    <row r="521" spans="2:8">
      <c r="B521" s="14" t="s">
        <v>6464</v>
      </c>
      <c r="C521" s="245" t="s">
        <v>1136</v>
      </c>
      <c r="D521" s="15">
        <v>35</v>
      </c>
      <c r="E521" s="15">
        <v>37</v>
      </c>
      <c r="F521" s="15">
        <v>175</v>
      </c>
      <c r="G521" s="15">
        <v>0</v>
      </c>
      <c r="H521" s="15">
        <v>193</v>
      </c>
    </row>
    <row r="522" spans="2:8">
      <c r="B522" s="17" t="s">
        <v>6465</v>
      </c>
      <c r="C522" s="246" t="s">
        <v>1137</v>
      </c>
      <c r="D522" s="18">
        <v>3</v>
      </c>
      <c r="E522" s="18">
        <v>61</v>
      </c>
      <c r="F522" s="18">
        <v>85</v>
      </c>
      <c r="G522" s="18">
        <v>171</v>
      </c>
      <c r="H522" s="18">
        <v>192</v>
      </c>
    </row>
    <row r="523" spans="2:8">
      <c r="B523" s="14" t="s">
        <v>6466</v>
      </c>
      <c r="C523" s="245" t="s">
        <v>1138</v>
      </c>
      <c r="D523" s="15">
        <v>31</v>
      </c>
      <c r="E523" s="15">
        <v>100</v>
      </c>
      <c r="F523" s="15">
        <v>87</v>
      </c>
      <c r="G523" s="15">
        <v>150</v>
      </c>
      <c r="H523" s="15">
        <v>192</v>
      </c>
    </row>
    <row r="524" spans="2:8">
      <c r="B524" s="17" t="s">
        <v>6467</v>
      </c>
      <c r="C524" s="246" t="s">
        <v>1010</v>
      </c>
      <c r="D524" s="18">
        <v>215</v>
      </c>
      <c r="E524" s="18">
        <v>130</v>
      </c>
      <c r="F524" s="18">
        <v>59</v>
      </c>
      <c r="G524" s="18">
        <v>81</v>
      </c>
      <c r="H524" s="18">
        <v>192</v>
      </c>
    </row>
    <row r="525" spans="2:8">
      <c r="B525" s="14" t="s">
        <v>6468</v>
      </c>
      <c r="C525" s="245" t="s">
        <v>1139</v>
      </c>
      <c r="D525" s="15">
        <v>1936</v>
      </c>
      <c r="E525" s="15">
        <v>1693</v>
      </c>
      <c r="F525" s="15">
        <v>1003</v>
      </c>
      <c r="G525" s="15">
        <v>2289</v>
      </c>
      <c r="H525" s="15">
        <v>190</v>
      </c>
    </row>
    <row r="526" spans="2:8">
      <c r="B526" s="17" t="s">
        <v>6469</v>
      </c>
      <c r="C526" s="246" t="s">
        <v>1140</v>
      </c>
      <c r="D526" s="18">
        <v>43</v>
      </c>
      <c r="E526" s="18">
        <v>8</v>
      </c>
      <c r="F526" s="18">
        <v>0</v>
      </c>
      <c r="G526" s="18">
        <v>95</v>
      </c>
      <c r="H526" s="18">
        <v>189</v>
      </c>
    </row>
    <row r="527" spans="2:8">
      <c r="B527" s="14" t="s">
        <v>6470</v>
      </c>
      <c r="C527" s="245" t="s">
        <v>1141</v>
      </c>
      <c r="D527" s="15">
        <v>388</v>
      </c>
      <c r="E527" s="15">
        <v>171</v>
      </c>
      <c r="F527" s="15">
        <v>341</v>
      </c>
      <c r="G527" s="15">
        <v>330</v>
      </c>
      <c r="H527" s="15">
        <v>188</v>
      </c>
    </row>
    <row r="528" spans="2:8">
      <c r="B528" s="17" t="s">
        <v>6471</v>
      </c>
      <c r="C528" s="246" t="s">
        <v>1142</v>
      </c>
      <c r="D528" s="18">
        <v>24</v>
      </c>
      <c r="E528" s="18">
        <v>41</v>
      </c>
      <c r="F528" s="18">
        <v>37</v>
      </c>
      <c r="G528" s="18">
        <v>78</v>
      </c>
      <c r="H528" s="18">
        <v>188</v>
      </c>
    </row>
    <row r="529" spans="2:8">
      <c r="B529" s="14" t="s">
        <v>6472</v>
      </c>
      <c r="C529" s="245" t="s">
        <v>1143</v>
      </c>
      <c r="D529" s="15">
        <v>0</v>
      </c>
      <c r="E529" s="15">
        <v>0</v>
      </c>
      <c r="F529" s="15">
        <v>0</v>
      </c>
      <c r="G529" s="15">
        <v>157</v>
      </c>
      <c r="H529" s="15">
        <v>185</v>
      </c>
    </row>
    <row r="530" spans="2:8">
      <c r="B530" s="17" t="s">
        <v>6473</v>
      </c>
      <c r="C530" s="246" t="s">
        <v>1144</v>
      </c>
      <c r="D530" s="18">
        <v>0</v>
      </c>
      <c r="E530" s="18">
        <v>3</v>
      </c>
      <c r="F530" s="18">
        <v>0</v>
      </c>
      <c r="G530" s="18">
        <v>0</v>
      </c>
      <c r="H530" s="18">
        <v>185</v>
      </c>
    </row>
    <row r="531" spans="2:8">
      <c r="B531" s="14" t="s">
        <v>6474</v>
      </c>
      <c r="C531" s="245" t="s">
        <v>891</v>
      </c>
      <c r="D531" s="15">
        <v>195</v>
      </c>
      <c r="E531" s="15">
        <v>197</v>
      </c>
      <c r="F531" s="15">
        <v>268</v>
      </c>
      <c r="G531" s="15">
        <v>241</v>
      </c>
      <c r="H531" s="15">
        <v>183</v>
      </c>
    </row>
    <row r="532" spans="2:8">
      <c r="B532" s="17" t="s">
        <v>6475</v>
      </c>
      <c r="C532" s="246" t="s">
        <v>1145</v>
      </c>
      <c r="D532" s="18">
        <v>0</v>
      </c>
      <c r="E532" s="18">
        <v>0</v>
      </c>
      <c r="F532" s="18">
        <v>0</v>
      </c>
      <c r="G532" s="18">
        <v>0</v>
      </c>
      <c r="H532" s="18">
        <v>177</v>
      </c>
    </row>
    <row r="533" spans="2:8">
      <c r="B533" s="14" t="s">
        <v>6476</v>
      </c>
      <c r="C533" s="245" t="s">
        <v>1146</v>
      </c>
      <c r="D533" s="15">
        <v>0</v>
      </c>
      <c r="E533" s="15">
        <v>0</v>
      </c>
      <c r="F533" s="15">
        <v>0</v>
      </c>
      <c r="G533" s="15">
        <v>0</v>
      </c>
      <c r="H533" s="15">
        <v>175</v>
      </c>
    </row>
    <row r="534" spans="2:8">
      <c r="B534" s="17" t="s">
        <v>6477</v>
      </c>
      <c r="C534" s="246" t="s">
        <v>1147</v>
      </c>
      <c r="D534" s="18">
        <v>0</v>
      </c>
      <c r="E534" s="18">
        <v>0</v>
      </c>
      <c r="F534" s="18">
        <v>0</v>
      </c>
      <c r="G534" s="18">
        <v>0</v>
      </c>
      <c r="H534" s="18">
        <v>175</v>
      </c>
    </row>
    <row r="535" spans="2:8">
      <c r="B535" s="14" t="s">
        <v>6478</v>
      </c>
      <c r="C535" s="245" t="s">
        <v>1148</v>
      </c>
      <c r="D535" s="15">
        <v>123</v>
      </c>
      <c r="E535" s="15">
        <v>27</v>
      </c>
      <c r="F535" s="15">
        <v>0</v>
      </c>
      <c r="G535" s="15">
        <v>38</v>
      </c>
      <c r="H535" s="15">
        <v>175</v>
      </c>
    </row>
    <row r="536" spans="2:8">
      <c r="B536" s="17" t="s">
        <v>6479</v>
      </c>
      <c r="C536" s="246" t="s">
        <v>1149</v>
      </c>
      <c r="D536" s="18">
        <v>3</v>
      </c>
      <c r="E536" s="18">
        <v>52</v>
      </c>
      <c r="F536" s="18">
        <v>34</v>
      </c>
      <c r="G536" s="18">
        <v>34</v>
      </c>
      <c r="H536" s="18">
        <v>175</v>
      </c>
    </row>
    <row r="537" spans="2:8">
      <c r="B537" s="14" t="s">
        <v>6480</v>
      </c>
      <c r="C537" s="245" t="s">
        <v>1150</v>
      </c>
      <c r="D537" s="15">
        <v>85</v>
      </c>
      <c r="E537" s="15">
        <v>20</v>
      </c>
      <c r="F537" s="15">
        <v>49</v>
      </c>
      <c r="G537" s="15">
        <v>44</v>
      </c>
      <c r="H537" s="15">
        <v>173</v>
      </c>
    </row>
    <row r="538" spans="2:8">
      <c r="B538" s="17" t="s">
        <v>6481</v>
      </c>
      <c r="C538" s="246" t="s">
        <v>1151</v>
      </c>
      <c r="D538" s="18">
        <v>0</v>
      </c>
      <c r="E538" s="18">
        <v>0</v>
      </c>
      <c r="F538" s="18">
        <v>0</v>
      </c>
      <c r="G538" s="18">
        <v>0</v>
      </c>
      <c r="H538" s="18">
        <v>173</v>
      </c>
    </row>
    <row r="539" spans="2:8">
      <c r="B539" s="14" t="s">
        <v>6482</v>
      </c>
      <c r="C539" s="245" t="s">
        <v>1152</v>
      </c>
      <c r="D539" s="15">
        <v>0</v>
      </c>
      <c r="E539" s="15">
        <v>29</v>
      </c>
      <c r="F539" s="15">
        <v>0</v>
      </c>
      <c r="G539" s="15">
        <v>218</v>
      </c>
      <c r="H539" s="15">
        <v>172</v>
      </c>
    </row>
    <row r="540" spans="2:8">
      <c r="B540" s="17" t="s">
        <v>6483</v>
      </c>
      <c r="C540" s="246" t="s">
        <v>749</v>
      </c>
      <c r="D540" s="18">
        <v>13</v>
      </c>
      <c r="E540" s="18">
        <v>2</v>
      </c>
      <c r="F540" s="18">
        <v>51</v>
      </c>
      <c r="G540" s="18">
        <v>90</v>
      </c>
      <c r="H540" s="18">
        <v>172</v>
      </c>
    </row>
    <row r="541" spans="2:8">
      <c r="B541" s="14" t="s">
        <v>6484</v>
      </c>
      <c r="C541" s="245" t="s">
        <v>1153</v>
      </c>
      <c r="D541" s="15">
        <v>56</v>
      </c>
      <c r="E541" s="15">
        <v>6</v>
      </c>
      <c r="F541" s="15">
        <v>102</v>
      </c>
      <c r="G541" s="15">
        <v>44</v>
      </c>
      <c r="H541" s="15">
        <v>171</v>
      </c>
    </row>
    <row r="542" spans="2:8">
      <c r="B542" s="17" t="s">
        <v>6485</v>
      </c>
      <c r="C542" s="246" t="s">
        <v>1010</v>
      </c>
      <c r="D542" s="18">
        <v>31</v>
      </c>
      <c r="E542" s="18">
        <v>15</v>
      </c>
      <c r="F542" s="18">
        <v>45</v>
      </c>
      <c r="G542" s="18">
        <v>18</v>
      </c>
      <c r="H542" s="18">
        <v>171</v>
      </c>
    </row>
    <row r="543" spans="2:8">
      <c r="B543" s="14" t="s">
        <v>6486</v>
      </c>
      <c r="C543" s="245" t="s">
        <v>1154</v>
      </c>
      <c r="D543" s="15">
        <v>1740</v>
      </c>
      <c r="E543" s="15">
        <v>1081</v>
      </c>
      <c r="F543" s="15">
        <v>740</v>
      </c>
      <c r="G543" s="15">
        <v>371</v>
      </c>
      <c r="H543" s="15">
        <v>169</v>
      </c>
    </row>
    <row r="544" spans="2:8">
      <c r="B544" s="17" t="s">
        <v>6487</v>
      </c>
      <c r="C544" s="246" t="s">
        <v>1155</v>
      </c>
      <c r="D544" s="18">
        <v>44</v>
      </c>
      <c r="E544" s="18">
        <v>70</v>
      </c>
      <c r="F544" s="18">
        <v>171</v>
      </c>
      <c r="G544" s="18">
        <v>191</v>
      </c>
      <c r="H544" s="18">
        <v>168</v>
      </c>
    </row>
    <row r="545" spans="2:8">
      <c r="B545" s="14" t="s">
        <v>6488</v>
      </c>
      <c r="C545" s="245" t="s">
        <v>1156</v>
      </c>
      <c r="D545" s="15">
        <v>0</v>
      </c>
      <c r="E545" s="15">
        <v>0</v>
      </c>
      <c r="F545" s="15">
        <v>297</v>
      </c>
      <c r="G545" s="15">
        <v>72</v>
      </c>
      <c r="H545" s="15">
        <v>168</v>
      </c>
    </row>
    <row r="546" spans="2:8">
      <c r="B546" s="17" t="s">
        <v>6489</v>
      </c>
      <c r="C546" s="246" t="s">
        <v>1157</v>
      </c>
      <c r="D546" s="18">
        <v>0</v>
      </c>
      <c r="E546" s="18">
        <v>0</v>
      </c>
      <c r="F546" s="18">
        <v>0</v>
      </c>
      <c r="G546" s="18">
        <v>0</v>
      </c>
      <c r="H546" s="18">
        <v>167</v>
      </c>
    </row>
    <row r="547" spans="2:8">
      <c r="B547" s="14" t="s">
        <v>6490</v>
      </c>
      <c r="C547" s="245" t="s">
        <v>1158</v>
      </c>
      <c r="D547" s="15">
        <v>0</v>
      </c>
      <c r="E547" s="15">
        <v>10</v>
      </c>
      <c r="F547" s="15">
        <v>20</v>
      </c>
      <c r="G547" s="15">
        <v>71</v>
      </c>
      <c r="H547" s="15">
        <v>165</v>
      </c>
    </row>
    <row r="548" spans="2:8">
      <c r="B548" s="17" t="s">
        <v>6491</v>
      </c>
      <c r="C548" s="246" t="s">
        <v>1159</v>
      </c>
      <c r="D548" s="18">
        <v>174</v>
      </c>
      <c r="E548" s="18">
        <v>1191</v>
      </c>
      <c r="F548" s="18">
        <v>203</v>
      </c>
      <c r="G548" s="18">
        <v>194</v>
      </c>
      <c r="H548" s="18">
        <v>164</v>
      </c>
    </row>
    <row r="549" spans="2:8">
      <c r="B549" s="14" t="s">
        <v>6492</v>
      </c>
      <c r="C549" s="245" t="s">
        <v>1160</v>
      </c>
      <c r="D549" s="15">
        <v>6</v>
      </c>
      <c r="E549" s="15">
        <v>0</v>
      </c>
      <c r="F549" s="15">
        <v>0</v>
      </c>
      <c r="G549" s="15">
        <v>96</v>
      </c>
      <c r="H549" s="15">
        <v>162</v>
      </c>
    </row>
    <row r="550" spans="2:8">
      <c r="B550" s="17" t="s">
        <v>6493</v>
      </c>
      <c r="C550" s="246" t="s">
        <v>1161</v>
      </c>
      <c r="D550" s="18">
        <v>136</v>
      </c>
      <c r="E550" s="18">
        <v>134</v>
      </c>
      <c r="F550" s="18">
        <v>38</v>
      </c>
      <c r="G550" s="18">
        <v>53</v>
      </c>
      <c r="H550" s="18">
        <v>161</v>
      </c>
    </row>
    <row r="551" spans="2:8">
      <c r="B551" s="14" t="s">
        <v>6494</v>
      </c>
      <c r="C551" s="245" t="s">
        <v>1162</v>
      </c>
      <c r="D551" s="15">
        <v>0</v>
      </c>
      <c r="E551" s="15">
        <v>75</v>
      </c>
      <c r="F551" s="15">
        <v>0</v>
      </c>
      <c r="G551" s="15">
        <v>178</v>
      </c>
      <c r="H551" s="15">
        <v>161</v>
      </c>
    </row>
    <row r="552" spans="2:8">
      <c r="B552" s="17" t="s">
        <v>6495</v>
      </c>
      <c r="C552" s="246" t="s">
        <v>1163</v>
      </c>
      <c r="D552" s="18">
        <v>57</v>
      </c>
      <c r="E552" s="18">
        <v>71</v>
      </c>
      <c r="F552" s="18">
        <v>120</v>
      </c>
      <c r="G552" s="18">
        <v>72</v>
      </c>
      <c r="H552" s="18">
        <v>161</v>
      </c>
    </row>
    <row r="553" spans="2:8">
      <c r="B553" s="14" t="s">
        <v>6496</v>
      </c>
      <c r="C553" s="245" t="s">
        <v>1164</v>
      </c>
      <c r="D553" s="15">
        <v>29</v>
      </c>
      <c r="E553" s="15">
        <v>74</v>
      </c>
      <c r="F553" s="15">
        <v>16</v>
      </c>
      <c r="G553" s="15">
        <v>13</v>
      </c>
      <c r="H553" s="15">
        <v>160</v>
      </c>
    </row>
    <row r="554" spans="2:8">
      <c r="B554" s="17" t="s">
        <v>6497</v>
      </c>
      <c r="C554" s="246" t="s">
        <v>1165</v>
      </c>
      <c r="D554" s="18">
        <v>143</v>
      </c>
      <c r="E554" s="18">
        <v>200</v>
      </c>
      <c r="F554" s="18">
        <v>52</v>
      </c>
      <c r="G554" s="18">
        <v>121</v>
      </c>
      <c r="H554" s="18">
        <v>160</v>
      </c>
    </row>
    <row r="555" spans="2:8">
      <c r="B555" s="14" t="s">
        <v>6498</v>
      </c>
      <c r="C555" s="245" t="s">
        <v>1166</v>
      </c>
      <c r="D555" s="15">
        <v>126</v>
      </c>
      <c r="E555" s="15">
        <v>43</v>
      </c>
      <c r="F555" s="15">
        <v>56</v>
      </c>
      <c r="G555" s="15">
        <v>229</v>
      </c>
      <c r="H555" s="15">
        <v>159</v>
      </c>
    </row>
    <row r="556" spans="2:8">
      <c r="B556" s="17" t="s">
        <v>6499</v>
      </c>
      <c r="C556" s="246" t="s">
        <v>1167</v>
      </c>
      <c r="D556" s="18">
        <v>376</v>
      </c>
      <c r="E556" s="18">
        <v>105</v>
      </c>
      <c r="F556" s="18">
        <v>208</v>
      </c>
      <c r="G556" s="18">
        <v>97</v>
      </c>
      <c r="H556" s="18">
        <v>159</v>
      </c>
    </row>
    <row r="557" spans="2:8">
      <c r="B557" s="14" t="s">
        <v>6500</v>
      </c>
      <c r="C557" s="245" t="s">
        <v>1168</v>
      </c>
      <c r="D557" s="15">
        <v>17</v>
      </c>
      <c r="E557" s="15">
        <v>172</v>
      </c>
      <c r="F557" s="15">
        <v>214</v>
      </c>
      <c r="G557" s="15">
        <v>155</v>
      </c>
      <c r="H557" s="15">
        <v>158</v>
      </c>
    </row>
    <row r="558" spans="2:8">
      <c r="B558" s="17" t="s">
        <v>6501</v>
      </c>
      <c r="C558" s="246" t="s">
        <v>1169</v>
      </c>
      <c r="D558" s="18">
        <v>0</v>
      </c>
      <c r="E558" s="18">
        <v>73</v>
      </c>
      <c r="F558" s="18">
        <v>0</v>
      </c>
      <c r="G558" s="18">
        <v>31</v>
      </c>
      <c r="H558" s="18">
        <v>157</v>
      </c>
    </row>
    <row r="559" spans="2:8">
      <c r="B559" s="14" t="s">
        <v>6502</v>
      </c>
      <c r="C559" s="245" t="s">
        <v>1170</v>
      </c>
      <c r="D559" s="15">
        <v>230</v>
      </c>
      <c r="E559" s="15">
        <v>203</v>
      </c>
      <c r="F559" s="15">
        <v>244</v>
      </c>
      <c r="G559" s="15">
        <v>202</v>
      </c>
      <c r="H559" s="15">
        <v>156</v>
      </c>
    </row>
    <row r="560" spans="2:8">
      <c r="B560" s="17" t="s">
        <v>6503</v>
      </c>
      <c r="C560" s="246" t="s">
        <v>1171</v>
      </c>
      <c r="D560" s="18">
        <v>194</v>
      </c>
      <c r="E560" s="18">
        <v>284</v>
      </c>
      <c r="F560" s="18">
        <v>76</v>
      </c>
      <c r="G560" s="18">
        <v>71</v>
      </c>
      <c r="H560" s="18">
        <v>156</v>
      </c>
    </row>
    <row r="561" spans="2:8">
      <c r="B561" s="14" t="s">
        <v>6504</v>
      </c>
      <c r="C561" s="245" t="s">
        <v>1172</v>
      </c>
      <c r="D561" s="15">
        <v>0</v>
      </c>
      <c r="E561" s="15">
        <v>0</v>
      </c>
      <c r="F561" s="15">
        <v>0</v>
      </c>
      <c r="G561" s="15">
        <v>0</v>
      </c>
      <c r="H561" s="15">
        <v>156</v>
      </c>
    </row>
    <row r="562" spans="2:8">
      <c r="B562" s="17" t="s">
        <v>6505</v>
      </c>
      <c r="C562" s="246" t="s">
        <v>1173</v>
      </c>
      <c r="D562" s="18">
        <v>534</v>
      </c>
      <c r="E562" s="18">
        <v>313</v>
      </c>
      <c r="F562" s="18">
        <v>172</v>
      </c>
      <c r="G562" s="18">
        <v>137</v>
      </c>
      <c r="H562" s="18">
        <v>156</v>
      </c>
    </row>
    <row r="563" spans="2:8">
      <c r="B563" s="14" t="s">
        <v>6506</v>
      </c>
      <c r="C563" s="245" t="s">
        <v>1174</v>
      </c>
      <c r="D563" s="15">
        <v>0</v>
      </c>
      <c r="E563" s="15">
        <v>0</v>
      </c>
      <c r="F563" s="15">
        <v>78</v>
      </c>
      <c r="G563" s="15">
        <v>163</v>
      </c>
      <c r="H563" s="15">
        <v>154</v>
      </c>
    </row>
    <row r="564" spans="2:8">
      <c r="B564" s="17" t="s">
        <v>6507</v>
      </c>
      <c r="C564" s="246" t="s">
        <v>1175</v>
      </c>
      <c r="D564" s="18">
        <v>52</v>
      </c>
      <c r="E564" s="18">
        <v>57</v>
      </c>
      <c r="F564" s="18">
        <v>48</v>
      </c>
      <c r="G564" s="18">
        <v>149</v>
      </c>
      <c r="H564" s="18">
        <v>153</v>
      </c>
    </row>
    <row r="565" spans="2:8">
      <c r="B565" s="14" t="s">
        <v>6508</v>
      </c>
      <c r="C565" s="245" t="s">
        <v>884</v>
      </c>
      <c r="D565" s="15">
        <v>274</v>
      </c>
      <c r="E565" s="15">
        <v>191</v>
      </c>
      <c r="F565" s="15">
        <v>50</v>
      </c>
      <c r="G565" s="15">
        <v>121</v>
      </c>
      <c r="H565" s="15">
        <v>153</v>
      </c>
    </row>
    <row r="566" spans="2:8">
      <c r="B566" s="17" t="s">
        <v>6509</v>
      </c>
      <c r="C566" s="246" t="s">
        <v>1176</v>
      </c>
      <c r="D566" s="18">
        <v>0</v>
      </c>
      <c r="E566" s="18">
        <v>0</v>
      </c>
      <c r="F566" s="18">
        <v>0</v>
      </c>
      <c r="G566" s="18">
        <v>0</v>
      </c>
      <c r="H566" s="18">
        <v>152</v>
      </c>
    </row>
    <row r="567" spans="2:8">
      <c r="B567" s="14" t="s">
        <v>6510</v>
      </c>
      <c r="C567" s="245" t="s">
        <v>1177</v>
      </c>
      <c r="D567" s="15">
        <v>191</v>
      </c>
      <c r="E567" s="15">
        <v>243</v>
      </c>
      <c r="F567" s="15">
        <v>51</v>
      </c>
      <c r="G567" s="15">
        <v>59</v>
      </c>
      <c r="H567" s="15">
        <v>149</v>
      </c>
    </row>
    <row r="568" spans="2:8">
      <c r="B568" s="17" t="s">
        <v>6511</v>
      </c>
      <c r="C568" s="246" t="s">
        <v>1178</v>
      </c>
      <c r="D568" s="18">
        <v>440</v>
      </c>
      <c r="E568" s="18">
        <v>261</v>
      </c>
      <c r="F568" s="18">
        <v>255</v>
      </c>
      <c r="G568" s="18">
        <v>283</v>
      </c>
      <c r="H568" s="18">
        <v>148</v>
      </c>
    </row>
    <row r="569" spans="2:8">
      <c r="B569" s="14" t="s">
        <v>6512</v>
      </c>
      <c r="C569" s="245" t="s">
        <v>1179</v>
      </c>
      <c r="D569" s="15">
        <v>216</v>
      </c>
      <c r="E569" s="15">
        <v>119</v>
      </c>
      <c r="F569" s="15">
        <v>100</v>
      </c>
      <c r="G569" s="15">
        <v>96</v>
      </c>
      <c r="H569" s="15">
        <v>147</v>
      </c>
    </row>
    <row r="570" spans="2:8">
      <c r="B570" s="17" t="s">
        <v>6513</v>
      </c>
      <c r="C570" s="246" t="s">
        <v>1180</v>
      </c>
      <c r="D570" s="18">
        <v>135</v>
      </c>
      <c r="E570" s="18">
        <v>100</v>
      </c>
      <c r="F570" s="18">
        <v>129</v>
      </c>
      <c r="G570" s="18">
        <v>118</v>
      </c>
      <c r="H570" s="18">
        <v>146</v>
      </c>
    </row>
    <row r="571" spans="2:8">
      <c r="B571" s="14" t="s">
        <v>6514</v>
      </c>
      <c r="C571" s="245" t="s">
        <v>1181</v>
      </c>
      <c r="D571" s="15">
        <v>178</v>
      </c>
      <c r="E571" s="15">
        <v>179</v>
      </c>
      <c r="F571" s="15">
        <v>49</v>
      </c>
      <c r="G571" s="15">
        <v>7</v>
      </c>
      <c r="H571" s="15">
        <v>143</v>
      </c>
    </row>
    <row r="572" spans="2:8">
      <c r="B572" s="17" t="s">
        <v>6515</v>
      </c>
      <c r="C572" s="246" t="s">
        <v>1182</v>
      </c>
      <c r="D572" s="18">
        <v>31</v>
      </c>
      <c r="E572" s="18">
        <v>29</v>
      </c>
      <c r="F572" s="18">
        <v>53</v>
      </c>
      <c r="G572" s="18">
        <v>141</v>
      </c>
      <c r="H572" s="18">
        <v>143</v>
      </c>
    </row>
    <row r="573" spans="2:8">
      <c r="B573" s="14" t="s">
        <v>6516</v>
      </c>
      <c r="C573" s="245" t="s">
        <v>1183</v>
      </c>
      <c r="D573" s="15">
        <v>11</v>
      </c>
      <c r="E573" s="15">
        <v>0</v>
      </c>
      <c r="F573" s="15">
        <v>3</v>
      </c>
      <c r="G573" s="15">
        <v>7</v>
      </c>
      <c r="H573" s="15">
        <v>143</v>
      </c>
    </row>
    <row r="574" spans="2:8">
      <c r="B574" s="17" t="s">
        <v>6517</v>
      </c>
      <c r="C574" s="246" t="s">
        <v>1184</v>
      </c>
      <c r="D574" s="18">
        <v>0</v>
      </c>
      <c r="E574" s="18">
        <v>6</v>
      </c>
      <c r="F574" s="18">
        <v>11</v>
      </c>
      <c r="G574" s="18">
        <v>79</v>
      </c>
      <c r="H574" s="18">
        <v>142</v>
      </c>
    </row>
    <row r="575" spans="2:8">
      <c r="B575" s="14" t="s">
        <v>6518</v>
      </c>
      <c r="C575" s="245" t="s">
        <v>1185</v>
      </c>
      <c r="D575" s="15">
        <v>243</v>
      </c>
      <c r="E575" s="15">
        <v>375</v>
      </c>
      <c r="F575" s="15">
        <v>160</v>
      </c>
      <c r="G575" s="15">
        <v>91</v>
      </c>
      <c r="H575" s="15">
        <v>140</v>
      </c>
    </row>
    <row r="576" spans="2:8">
      <c r="B576" s="17" t="s">
        <v>6519</v>
      </c>
      <c r="C576" s="246" t="s">
        <v>1186</v>
      </c>
      <c r="D576" s="18">
        <v>123</v>
      </c>
      <c r="E576" s="18">
        <v>193</v>
      </c>
      <c r="F576" s="18">
        <v>132</v>
      </c>
      <c r="G576" s="18">
        <v>99</v>
      </c>
      <c r="H576" s="18">
        <v>140</v>
      </c>
    </row>
    <row r="577" spans="2:8">
      <c r="B577" s="14" t="s">
        <v>6520</v>
      </c>
      <c r="C577" s="245" t="s">
        <v>1187</v>
      </c>
      <c r="D577" s="15">
        <v>231</v>
      </c>
      <c r="E577" s="15">
        <v>103</v>
      </c>
      <c r="F577" s="15">
        <v>21</v>
      </c>
      <c r="G577" s="15">
        <v>3</v>
      </c>
      <c r="H577" s="15">
        <v>139</v>
      </c>
    </row>
    <row r="578" spans="2:8">
      <c r="B578" s="17" t="s">
        <v>6521</v>
      </c>
      <c r="C578" s="246" t="s">
        <v>1036</v>
      </c>
      <c r="D578" s="18">
        <v>0</v>
      </c>
      <c r="E578" s="18">
        <v>0</v>
      </c>
      <c r="F578" s="18">
        <v>85</v>
      </c>
      <c r="G578" s="18">
        <v>149</v>
      </c>
      <c r="H578" s="18">
        <v>139</v>
      </c>
    </row>
    <row r="579" spans="2:8">
      <c r="B579" s="14" t="s">
        <v>6522</v>
      </c>
      <c r="C579" s="245" t="s">
        <v>1188</v>
      </c>
      <c r="D579" s="15">
        <v>56</v>
      </c>
      <c r="E579" s="15">
        <v>52</v>
      </c>
      <c r="F579" s="15">
        <v>24</v>
      </c>
      <c r="G579" s="15">
        <v>131</v>
      </c>
      <c r="H579" s="15">
        <v>138</v>
      </c>
    </row>
    <row r="580" spans="2:8">
      <c r="B580" s="17" t="s">
        <v>6523</v>
      </c>
      <c r="C580" s="246" t="s">
        <v>1189</v>
      </c>
      <c r="D580" s="18">
        <v>152</v>
      </c>
      <c r="E580" s="18">
        <v>277</v>
      </c>
      <c r="F580" s="18">
        <v>362</v>
      </c>
      <c r="G580" s="18">
        <v>62</v>
      </c>
      <c r="H580" s="18">
        <v>137</v>
      </c>
    </row>
    <row r="581" spans="2:8">
      <c r="B581" s="14" t="s">
        <v>6524</v>
      </c>
      <c r="C581" s="245" t="s">
        <v>1190</v>
      </c>
      <c r="D581" s="15">
        <v>0</v>
      </c>
      <c r="E581" s="15">
        <v>0</v>
      </c>
      <c r="F581" s="15">
        <v>0</v>
      </c>
      <c r="G581" s="15">
        <v>0</v>
      </c>
      <c r="H581" s="15">
        <v>135</v>
      </c>
    </row>
    <row r="582" spans="2:8">
      <c r="B582" s="17" t="s">
        <v>6525</v>
      </c>
      <c r="C582" s="246" t="s">
        <v>1191</v>
      </c>
      <c r="D582" s="18">
        <v>0</v>
      </c>
      <c r="E582" s="18">
        <v>0</v>
      </c>
      <c r="F582" s="18">
        <v>0</v>
      </c>
      <c r="G582" s="18">
        <v>0</v>
      </c>
      <c r="H582" s="18">
        <v>134</v>
      </c>
    </row>
    <row r="583" spans="2:8">
      <c r="B583" s="14" t="s">
        <v>6526</v>
      </c>
      <c r="C583" s="245" t="s">
        <v>1192</v>
      </c>
      <c r="D583" s="15">
        <v>106</v>
      </c>
      <c r="E583" s="15">
        <v>88</v>
      </c>
      <c r="F583" s="15">
        <v>54</v>
      </c>
      <c r="G583" s="15">
        <v>100</v>
      </c>
      <c r="H583" s="15">
        <v>134</v>
      </c>
    </row>
    <row r="584" spans="2:8">
      <c r="B584" s="17" t="s">
        <v>6527</v>
      </c>
      <c r="C584" s="246" t="s">
        <v>1193</v>
      </c>
      <c r="D584" s="18">
        <v>298</v>
      </c>
      <c r="E584" s="18">
        <v>62</v>
      </c>
      <c r="F584" s="18">
        <v>226</v>
      </c>
      <c r="G584" s="18">
        <v>280</v>
      </c>
      <c r="H584" s="18">
        <v>132</v>
      </c>
    </row>
    <row r="585" spans="2:8">
      <c r="B585" s="14" t="s">
        <v>6528</v>
      </c>
      <c r="C585" s="245" t="s">
        <v>1194</v>
      </c>
      <c r="D585" s="15">
        <v>0</v>
      </c>
      <c r="E585" s="15">
        <v>7</v>
      </c>
      <c r="F585" s="15">
        <v>5</v>
      </c>
      <c r="G585" s="15">
        <v>14</v>
      </c>
      <c r="H585" s="15">
        <v>131</v>
      </c>
    </row>
    <row r="586" spans="2:8">
      <c r="B586" s="17" t="s">
        <v>6529</v>
      </c>
      <c r="C586" s="246" t="s">
        <v>1195</v>
      </c>
      <c r="D586" s="18">
        <v>0</v>
      </c>
      <c r="E586" s="18">
        <v>0</v>
      </c>
      <c r="F586" s="18">
        <v>0</v>
      </c>
      <c r="G586" s="18">
        <v>0</v>
      </c>
      <c r="H586" s="18">
        <v>131</v>
      </c>
    </row>
    <row r="587" spans="2:8">
      <c r="B587" s="14" t="s">
        <v>6530</v>
      </c>
      <c r="C587" s="245" t="s">
        <v>1196</v>
      </c>
      <c r="D587" s="15">
        <v>393</v>
      </c>
      <c r="E587" s="15">
        <v>605</v>
      </c>
      <c r="F587" s="15">
        <v>174</v>
      </c>
      <c r="G587" s="15">
        <v>284</v>
      </c>
      <c r="H587" s="15">
        <v>131</v>
      </c>
    </row>
    <row r="588" spans="2:8">
      <c r="B588" s="17" t="s">
        <v>6531</v>
      </c>
      <c r="C588" s="246" t="s">
        <v>1197</v>
      </c>
      <c r="D588" s="18">
        <v>0</v>
      </c>
      <c r="E588" s="18">
        <v>0</v>
      </c>
      <c r="F588" s="18">
        <v>0</v>
      </c>
      <c r="G588" s="18">
        <v>0</v>
      </c>
      <c r="H588" s="18">
        <v>129</v>
      </c>
    </row>
    <row r="589" spans="2:8">
      <c r="B589" s="14" t="s">
        <v>6532</v>
      </c>
      <c r="C589" s="245" t="s">
        <v>1198</v>
      </c>
      <c r="D589" s="15">
        <v>191</v>
      </c>
      <c r="E589" s="15">
        <v>110</v>
      </c>
      <c r="F589" s="15">
        <v>58</v>
      </c>
      <c r="G589" s="15">
        <v>0</v>
      </c>
      <c r="H589" s="15">
        <v>129</v>
      </c>
    </row>
    <row r="590" spans="2:8">
      <c r="B590" s="17" t="s">
        <v>6533</v>
      </c>
      <c r="C590" s="246" t="s">
        <v>1199</v>
      </c>
      <c r="D590" s="18">
        <v>7</v>
      </c>
      <c r="E590" s="18">
        <v>89</v>
      </c>
      <c r="F590" s="18">
        <v>2</v>
      </c>
      <c r="G590" s="18">
        <v>0</v>
      </c>
      <c r="H590" s="18">
        <v>129</v>
      </c>
    </row>
    <row r="591" spans="2:8">
      <c r="B591" s="14" t="s">
        <v>6534</v>
      </c>
      <c r="C591" s="245" t="s">
        <v>1200</v>
      </c>
      <c r="D591" s="15">
        <v>50</v>
      </c>
      <c r="E591" s="15">
        <v>103</v>
      </c>
      <c r="F591" s="15">
        <v>72</v>
      </c>
      <c r="G591" s="15">
        <v>111</v>
      </c>
      <c r="H591" s="15">
        <v>129</v>
      </c>
    </row>
    <row r="592" spans="2:8">
      <c r="B592" s="17" t="s">
        <v>6535</v>
      </c>
      <c r="C592" s="246" t="s">
        <v>1201</v>
      </c>
      <c r="D592" s="18">
        <v>91</v>
      </c>
      <c r="E592" s="18">
        <v>246</v>
      </c>
      <c r="F592" s="18">
        <v>105</v>
      </c>
      <c r="G592" s="18">
        <v>135</v>
      </c>
      <c r="H592" s="18">
        <v>127</v>
      </c>
    </row>
    <row r="593" spans="2:8">
      <c r="B593" s="14" t="s">
        <v>6536</v>
      </c>
      <c r="C593" s="245" t="s">
        <v>1202</v>
      </c>
      <c r="D593" s="15">
        <v>0</v>
      </c>
      <c r="E593" s="15">
        <v>14</v>
      </c>
      <c r="F593" s="15">
        <v>131</v>
      </c>
      <c r="G593" s="15">
        <v>0</v>
      </c>
      <c r="H593" s="15">
        <v>126</v>
      </c>
    </row>
    <row r="594" spans="2:8">
      <c r="B594" s="17" t="s">
        <v>6537</v>
      </c>
      <c r="C594" s="246" t="s">
        <v>717</v>
      </c>
      <c r="D594" s="18">
        <v>1618</v>
      </c>
      <c r="E594" s="18">
        <v>763</v>
      </c>
      <c r="F594" s="18">
        <v>99</v>
      </c>
      <c r="G594" s="18">
        <v>284</v>
      </c>
      <c r="H594" s="18">
        <v>126</v>
      </c>
    </row>
    <row r="595" spans="2:8">
      <c r="B595" s="14" t="s">
        <v>6538</v>
      </c>
      <c r="C595" s="245" t="s">
        <v>1203</v>
      </c>
      <c r="D595" s="15">
        <v>16</v>
      </c>
      <c r="E595" s="15">
        <v>70</v>
      </c>
      <c r="F595" s="15">
        <v>125</v>
      </c>
      <c r="G595" s="15">
        <v>44</v>
      </c>
      <c r="H595" s="15">
        <v>126</v>
      </c>
    </row>
    <row r="596" spans="2:8">
      <c r="B596" s="17" t="s">
        <v>6539</v>
      </c>
      <c r="C596" s="246" t="s">
        <v>1204</v>
      </c>
      <c r="D596" s="18">
        <v>0</v>
      </c>
      <c r="E596" s="18">
        <v>0</v>
      </c>
      <c r="F596" s="18">
        <v>0</v>
      </c>
      <c r="G596" s="18">
        <v>0</v>
      </c>
      <c r="H596" s="18">
        <v>125</v>
      </c>
    </row>
    <row r="597" spans="2:8">
      <c r="B597" s="14" t="s">
        <v>6540</v>
      </c>
      <c r="C597" s="245" t="s">
        <v>1205</v>
      </c>
      <c r="D597" s="15">
        <v>16</v>
      </c>
      <c r="E597" s="15">
        <v>24</v>
      </c>
      <c r="F597" s="15">
        <v>6</v>
      </c>
      <c r="G597" s="15">
        <v>47</v>
      </c>
      <c r="H597" s="15">
        <v>125</v>
      </c>
    </row>
    <row r="598" spans="2:8">
      <c r="B598" s="17" t="s">
        <v>6541</v>
      </c>
      <c r="C598" s="246" t="s">
        <v>1206</v>
      </c>
      <c r="D598" s="18">
        <v>42</v>
      </c>
      <c r="E598" s="18">
        <v>59</v>
      </c>
      <c r="F598" s="18">
        <v>134</v>
      </c>
      <c r="G598" s="18">
        <v>114</v>
      </c>
      <c r="H598" s="18">
        <v>124</v>
      </c>
    </row>
    <row r="599" spans="2:8">
      <c r="B599" s="14" t="s">
        <v>6542</v>
      </c>
      <c r="C599" s="245" t="s">
        <v>1207</v>
      </c>
      <c r="D599" s="15">
        <v>0</v>
      </c>
      <c r="E599" s="15">
        <v>0</v>
      </c>
      <c r="F599" s="15">
        <v>0</v>
      </c>
      <c r="G599" s="15">
        <v>0</v>
      </c>
      <c r="H599" s="15">
        <v>124</v>
      </c>
    </row>
    <row r="600" spans="2:8">
      <c r="B600" s="17" t="s">
        <v>6543</v>
      </c>
      <c r="C600" s="246" t="s">
        <v>1208</v>
      </c>
      <c r="D600" s="18">
        <v>49</v>
      </c>
      <c r="E600" s="18">
        <v>87</v>
      </c>
      <c r="F600" s="18">
        <v>124</v>
      </c>
      <c r="G600" s="18">
        <v>92</v>
      </c>
      <c r="H600" s="18">
        <v>122</v>
      </c>
    </row>
    <row r="601" spans="2:8">
      <c r="B601" s="14" t="s">
        <v>6544</v>
      </c>
      <c r="C601" s="245" t="s">
        <v>1209</v>
      </c>
      <c r="D601" s="15">
        <v>34</v>
      </c>
      <c r="E601" s="15">
        <v>261</v>
      </c>
      <c r="F601" s="15">
        <v>125</v>
      </c>
      <c r="G601" s="15">
        <v>313</v>
      </c>
      <c r="H601" s="15">
        <v>122</v>
      </c>
    </row>
    <row r="602" spans="2:8">
      <c r="B602" s="17" t="s">
        <v>6545</v>
      </c>
      <c r="C602" s="246" t="s">
        <v>1210</v>
      </c>
      <c r="D602" s="18">
        <v>26</v>
      </c>
      <c r="E602" s="18">
        <v>29</v>
      </c>
      <c r="F602" s="18">
        <v>0</v>
      </c>
      <c r="G602" s="18">
        <v>0</v>
      </c>
      <c r="H602" s="18">
        <v>122</v>
      </c>
    </row>
    <row r="603" spans="2:8">
      <c r="B603" s="14" t="s">
        <v>6546</v>
      </c>
      <c r="C603" s="245" t="s">
        <v>1211</v>
      </c>
      <c r="D603" s="15">
        <v>0</v>
      </c>
      <c r="E603" s="15">
        <v>0</v>
      </c>
      <c r="F603" s="15">
        <v>0</v>
      </c>
      <c r="G603" s="15">
        <v>0</v>
      </c>
      <c r="H603" s="15">
        <v>122</v>
      </c>
    </row>
    <row r="604" spans="2:8">
      <c r="B604" s="17" t="s">
        <v>6547</v>
      </c>
      <c r="C604" s="246" t="s">
        <v>1212</v>
      </c>
      <c r="D604" s="18">
        <v>0</v>
      </c>
      <c r="E604" s="18">
        <v>0</v>
      </c>
      <c r="F604" s="18">
        <v>0</v>
      </c>
      <c r="G604" s="18">
        <v>198</v>
      </c>
      <c r="H604" s="18">
        <v>121</v>
      </c>
    </row>
    <row r="605" spans="2:8">
      <c r="B605" s="14" t="s">
        <v>6548</v>
      </c>
      <c r="C605" s="245" t="s">
        <v>1213</v>
      </c>
      <c r="D605" s="15">
        <v>107</v>
      </c>
      <c r="E605" s="15">
        <v>0</v>
      </c>
      <c r="F605" s="15">
        <v>0</v>
      </c>
      <c r="G605" s="15">
        <v>220</v>
      </c>
      <c r="H605" s="15">
        <v>121</v>
      </c>
    </row>
    <row r="606" spans="2:8">
      <c r="B606" s="17" t="s">
        <v>6549</v>
      </c>
      <c r="C606" s="246" t="s">
        <v>1214</v>
      </c>
      <c r="D606" s="18">
        <v>0</v>
      </c>
      <c r="E606" s="18">
        <v>0</v>
      </c>
      <c r="F606" s="18">
        <v>0</v>
      </c>
      <c r="G606" s="18">
        <v>0</v>
      </c>
      <c r="H606" s="18">
        <v>121</v>
      </c>
    </row>
    <row r="607" spans="2:8">
      <c r="B607" s="14" t="s">
        <v>6550</v>
      </c>
      <c r="C607" s="245" t="s">
        <v>1215</v>
      </c>
      <c r="D607" s="15">
        <v>145</v>
      </c>
      <c r="E607" s="15">
        <v>118</v>
      </c>
      <c r="F607" s="15">
        <v>107</v>
      </c>
      <c r="G607" s="15">
        <v>87</v>
      </c>
      <c r="H607" s="15">
        <v>120</v>
      </c>
    </row>
    <row r="608" spans="2:8">
      <c r="B608" s="17" t="s">
        <v>6551</v>
      </c>
      <c r="C608" s="246" t="s">
        <v>1216</v>
      </c>
      <c r="D608" s="18">
        <v>60</v>
      </c>
      <c r="E608" s="18">
        <v>76</v>
      </c>
      <c r="F608" s="18">
        <v>93</v>
      </c>
      <c r="G608" s="18">
        <v>78</v>
      </c>
      <c r="H608" s="18">
        <v>119</v>
      </c>
    </row>
    <row r="609" spans="2:8">
      <c r="B609" s="14" t="s">
        <v>6552</v>
      </c>
      <c r="C609" s="245" t="s">
        <v>1217</v>
      </c>
      <c r="D609" s="15">
        <v>0</v>
      </c>
      <c r="E609" s="15">
        <v>0</v>
      </c>
      <c r="F609" s="15">
        <v>0</v>
      </c>
      <c r="G609" s="15">
        <v>0</v>
      </c>
      <c r="H609" s="15">
        <v>119</v>
      </c>
    </row>
    <row r="610" spans="2:8">
      <c r="B610" s="17" t="s">
        <v>6553</v>
      </c>
      <c r="C610" s="246" t="s">
        <v>1218</v>
      </c>
      <c r="D610" s="18">
        <v>58</v>
      </c>
      <c r="E610" s="18">
        <v>16</v>
      </c>
      <c r="F610" s="18">
        <v>52</v>
      </c>
      <c r="G610" s="18">
        <v>15</v>
      </c>
      <c r="H610" s="18">
        <v>119</v>
      </c>
    </row>
    <row r="611" spans="2:8">
      <c r="B611" s="14" t="s">
        <v>6554</v>
      </c>
      <c r="C611" s="245" t="s">
        <v>1219</v>
      </c>
      <c r="D611" s="15">
        <v>804</v>
      </c>
      <c r="E611" s="15">
        <v>736</v>
      </c>
      <c r="F611" s="15">
        <v>348</v>
      </c>
      <c r="G611" s="15">
        <v>766</v>
      </c>
      <c r="H611" s="15">
        <v>118</v>
      </c>
    </row>
    <row r="612" spans="2:8">
      <c r="B612" s="17" t="s">
        <v>6555</v>
      </c>
      <c r="C612" s="246" t="s">
        <v>1220</v>
      </c>
      <c r="D612" s="18">
        <v>12</v>
      </c>
      <c r="E612" s="18">
        <v>1</v>
      </c>
      <c r="F612" s="18">
        <v>128</v>
      </c>
      <c r="G612" s="18">
        <v>246</v>
      </c>
      <c r="H612" s="18">
        <v>116</v>
      </c>
    </row>
    <row r="613" spans="2:8">
      <c r="B613" s="14" t="s">
        <v>6556</v>
      </c>
      <c r="C613" s="245" t="s">
        <v>1221</v>
      </c>
      <c r="D613" s="15">
        <v>110</v>
      </c>
      <c r="E613" s="15">
        <v>107</v>
      </c>
      <c r="F613" s="15">
        <v>140</v>
      </c>
      <c r="G613" s="15">
        <v>96</v>
      </c>
      <c r="H613" s="15">
        <v>116</v>
      </c>
    </row>
    <row r="614" spans="2:8">
      <c r="B614" s="17" t="s">
        <v>6557</v>
      </c>
      <c r="C614" s="246" t="s">
        <v>936</v>
      </c>
      <c r="D614" s="18">
        <v>0</v>
      </c>
      <c r="E614" s="18">
        <v>0</v>
      </c>
      <c r="F614" s="18">
        <v>136</v>
      </c>
      <c r="G614" s="18">
        <v>314</v>
      </c>
      <c r="H614" s="18">
        <v>116</v>
      </c>
    </row>
    <row r="615" spans="2:8">
      <c r="B615" s="14" t="s">
        <v>6558</v>
      </c>
      <c r="C615" s="245" t="s">
        <v>1222</v>
      </c>
      <c r="D615" s="15">
        <v>59</v>
      </c>
      <c r="E615" s="15">
        <v>43</v>
      </c>
      <c r="F615" s="15">
        <v>14</v>
      </c>
      <c r="G615" s="15">
        <v>27</v>
      </c>
      <c r="H615" s="15">
        <v>115</v>
      </c>
    </row>
    <row r="616" spans="2:8">
      <c r="B616" s="17" t="s">
        <v>6559</v>
      </c>
      <c r="C616" s="246" t="s">
        <v>1223</v>
      </c>
      <c r="D616" s="18">
        <v>53</v>
      </c>
      <c r="E616" s="18">
        <v>4</v>
      </c>
      <c r="F616" s="18">
        <v>9</v>
      </c>
      <c r="G616" s="18">
        <v>6</v>
      </c>
      <c r="H616" s="18">
        <v>115</v>
      </c>
    </row>
    <row r="617" spans="2:8">
      <c r="B617" s="14" t="s">
        <v>6560</v>
      </c>
      <c r="C617" s="245" t="s">
        <v>1224</v>
      </c>
      <c r="D617" s="15">
        <v>0</v>
      </c>
      <c r="E617" s="15">
        <v>49</v>
      </c>
      <c r="F617" s="15">
        <v>0</v>
      </c>
      <c r="G617" s="15">
        <v>0</v>
      </c>
      <c r="H617" s="15">
        <v>115</v>
      </c>
    </row>
    <row r="618" spans="2:8">
      <c r="B618" s="17" t="s">
        <v>6561</v>
      </c>
      <c r="C618" s="246" t="s">
        <v>1225</v>
      </c>
      <c r="D618" s="18">
        <v>139</v>
      </c>
      <c r="E618" s="18">
        <v>130</v>
      </c>
      <c r="F618" s="18">
        <v>47</v>
      </c>
      <c r="G618" s="18">
        <v>159</v>
      </c>
      <c r="H618" s="18">
        <v>114</v>
      </c>
    </row>
    <row r="619" spans="2:8">
      <c r="B619" s="14" t="s">
        <v>6562</v>
      </c>
      <c r="C619" s="245" t="s">
        <v>1166</v>
      </c>
      <c r="D619" s="15">
        <v>3</v>
      </c>
      <c r="E619" s="15">
        <v>0</v>
      </c>
      <c r="F619" s="15">
        <v>0</v>
      </c>
      <c r="G619" s="15">
        <v>30</v>
      </c>
      <c r="H619" s="15">
        <v>113</v>
      </c>
    </row>
    <row r="620" spans="2:8">
      <c r="B620" s="17" t="s">
        <v>6563</v>
      </c>
      <c r="C620" s="246" t="s">
        <v>1226</v>
      </c>
      <c r="D620" s="18">
        <v>0</v>
      </c>
      <c r="E620" s="18">
        <v>9</v>
      </c>
      <c r="F620" s="18">
        <v>105</v>
      </c>
      <c r="G620" s="18">
        <v>34</v>
      </c>
      <c r="H620" s="18">
        <v>113</v>
      </c>
    </row>
    <row r="621" spans="2:8">
      <c r="B621" s="14" t="s">
        <v>6564</v>
      </c>
      <c r="C621" s="245" t="s">
        <v>1227</v>
      </c>
      <c r="D621" s="15">
        <v>90</v>
      </c>
      <c r="E621" s="15">
        <v>92</v>
      </c>
      <c r="F621" s="15">
        <v>47</v>
      </c>
      <c r="G621" s="15">
        <v>47</v>
      </c>
      <c r="H621" s="15">
        <v>113</v>
      </c>
    </row>
    <row r="622" spans="2:8">
      <c r="B622" s="17" t="s">
        <v>6565</v>
      </c>
      <c r="C622" s="246" t="s">
        <v>1228</v>
      </c>
      <c r="D622" s="18">
        <v>0</v>
      </c>
      <c r="E622" s="18">
        <v>0</v>
      </c>
      <c r="F622" s="18">
        <v>0</v>
      </c>
      <c r="G622" s="18">
        <v>920</v>
      </c>
      <c r="H622" s="18">
        <v>112</v>
      </c>
    </row>
    <row r="623" spans="2:8">
      <c r="B623" s="14" t="s">
        <v>6566</v>
      </c>
      <c r="C623" s="245" t="s">
        <v>1229</v>
      </c>
      <c r="D623" s="15">
        <v>12</v>
      </c>
      <c r="E623" s="15">
        <v>0</v>
      </c>
      <c r="F623" s="15">
        <v>10</v>
      </c>
      <c r="G623" s="15">
        <v>85</v>
      </c>
      <c r="H623" s="15">
        <v>112</v>
      </c>
    </row>
    <row r="624" spans="2:8">
      <c r="B624" s="17" t="s">
        <v>6567</v>
      </c>
      <c r="C624" s="246" t="s">
        <v>1230</v>
      </c>
      <c r="D624" s="18">
        <v>103</v>
      </c>
      <c r="E624" s="18">
        <v>95</v>
      </c>
      <c r="F624" s="18">
        <v>64</v>
      </c>
      <c r="G624" s="18">
        <v>87</v>
      </c>
      <c r="H624" s="18">
        <v>112</v>
      </c>
    </row>
    <row r="625" spans="2:8">
      <c r="B625" s="14" t="s">
        <v>6568</v>
      </c>
      <c r="C625" s="245" t="s">
        <v>1231</v>
      </c>
      <c r="D625" s="15">
        <v>29</v>
      </c>
      <c r="E625" s="15">
        <v>55</v>
      </c>
      <c r="F625" s="15">
        <v>109</v>
      </c>
      <c r="G625" s="15">
        <v>110</v>
      </c>
      <c r="H625" s="15">
        <v>111</v>
      </c>
    </row>
    <row r="626" spans="2:8">
      <c r="B626" s="17" t="s">
        <v>6569</v>
      </c>
      <c r="C626" s="246" t="s">
        <v>1232</v>
      </c>
      <c r="D626" s="18">
        <v>0</v>
      </c>
      <c r="E626" s="18">
        <v>0</v>
      </c>
      <c r="F626" s="18">
        <v>0</v>
      </c>
      <c r="G626" s="18">
        <v>0</v>
      </c>
      <c r="H626" s="18">
        <v>111</v>
      </c>
    </row>
    <row r="627" spans="2:8">
      <c r="B627" s="14" t="s">
        <v>6570</v>
      </c>
      <c r="C627" s="245" t="s">
        <v>1233</v>
      </c>
      <c r="D627" s="15">
        <v>98</v>
      </c>
      <c r="E627" s="15">
        <v>118</v>
      </c>
      <c r="F627" s="15">
        <v>77</v>
      </c>
      <c r="G627" s="15">
        <v>130</v>
      </c>
      <c r="H627" s="15">
        <v>110</v>
      </c>
    </row>
    <row r="628" spans="2:8">
      <c r="B628" s="17" t="s">
        <v>6571</v>
      </c>
      <c r="C628" s="246" t="s">
        <v>1234</v>
      </c>
      <c r="D628" s="18">
        <v>115</v>
      </c>
      <c r="E628" s="18">
        <v>59</v>
      </c>
      <c r="F628" s="18">
        <v>39</v>
      </c>
      <c r="G628" s="18">
        <v>159</v>
      </c>
      <c r="H628" s="18">
        <v>109</v>
      </c>
    </row>
    <row r="629" spans="2:8">
      <c r="B629" s="14" t="s">
        <v>6572</v>
      </c>
      <c r="C629" s="245" t="s">
        <v>1235</v>
      </c>
      <c r="D629" s="15">
        <v>83</v>
      </c>
      <c r="E629" s="15">
        <v>93</v>
      </c>
      <c r="F629" s="15">
        <v>55</v>
      </c>
      <c r="G629" s="15">
        <v>73</v>
      </c>
      <c r="H629" s="15">
        <v>109</v>
      </c>
    </row>
    <row r="630" spans="2:8">
      <c r="B630" s="17" t="s">
        <v>6573</v>
      </c>
      <c r="C630" s="246" t="s">
        <v>1236</v>
      </c>
      <c r="D630" s="18">
        <v>87</v>
      </c>
      <c r="E630" s="18">
        <v>175</v>
      </c>
      <c r="F630" s="18">
        <v>64</v>
      </c>
      <c r="G630" s="18">
        <v>60</v>
      </c>
      <c r="H630" s="18">
        <v>108</v>
      </c>
    </row>
    <row r="631" spans="2:8">
      <c r="B631" s="14" t="s">
        <v>6574</v>
      </c>
      <c r="C631" s="245" t="s">
        <v>1000</v>
      </c>
      <c r="D631" s="15">
        <v>0</v>
      </c>
      <c r="E631" s="15">
        <v>0</v>
      </c>
      <c r="F631" s="15">
        <v>180</v>
      </c>
      <c r="G631" s="15">
        <v>451</v>
      </c>
      <c r="H631" s="15">
        <v>107</v>
      </c>
    </row>
    <row r="632" spans="2:8">
      <c r="B632" s="17" t="s">
        <v>6575</v>
      </c>
      <c r="C632" s="246" t="s">
        <v>1237</v>
      </c>
      <c r="D632" s="18">
        <v>63</v>
      </c>
      <c r="E632" s="18">
        <v>22</v>
      </c>
      <c r="F632" s="18">
        <v>55</v>
      </c>
      <c r="G632" s="18">
        <v>71</v>
      </c>
      <c r="H632" s="18">
        <v>107</v>
      </c>
    </row>
    <row r="633" spans="2:8">
      <c r="B633" s="14" t="s">
        <v>6576</v>
      </c>
      <c r="C633" s="245" t="s">
        <v>1238</v>
      </c>
      <c r="D633" s="15">
        <v>215</v>
      </c>
      <c r="E633" s="15">
        <v>13</v>
      </c>
      <c r="F633" s="15">
        <v>80</v>
      </c>
      <c r="G633" s="15">
        <v>91</v>
      </c>
      <c r="H633" s="15">
        <v>105</v>
      </c>
    </row>
    <row r="634" spans="2:8">
      <c r="B634" s="17" t="s">
        <v>6577</v>
      </c>
      <c r="C634" s="246" t="s">
        <v>1239</v>
      </c>
      <c r="D634" s="18">
        <v>153</v>
      </c>
      <c r="E634" s="18">
        <v>98</v>
      </c>
      <c r="F634" s="18">
        <v>82</v>
      </c>
      <c r="G634" s="18">
        <v>177</v>
      </c>
      <c r="H634" s="18">
        <v>105</v>
      </c>
    </row>
    <row r="635" spans="2:8">
      <c r="B635" s="14" t="s">
        <v>6578</v>
      </c>
      <c r="C635" s="245" t="s">
        <v>1240</v>
      </c>
      <c r="D635" s="15">
        <v>23</v>
      </c>
      <c r="E635" s="15">
        <v>56</v>
      </c>
      <c r="F635" s="15">
        <v>11</v>
      </c>
      <c r="G635" s="15">
        <v>35</v>
      </c>
      <c r="H635" s="15">
        <v>105</v>
      </c>
    </row>
    <row r="636" spans="2:8">
      <c r="B636" s="17" t="s">
        <v>6579</v>
      </c>
      <c r="C636" s="246" t="s">
        <v>1241</v>
      </c>
      <c r="D636" s="18">
        <v>55</v>
      </c>
      <c r="E636" s="18">
        <v>21</v>
      </c>
      <c r="F636" s="18">
        <v>65</v>
      </c>
      <c r="G636" s="18">
        <v>682</v>
      </c>
      <c r="H636" s="18">
        <v>104</v>
      </c>
    </row>
    <row r="637" spans="2:8">
      <c r="B637" s="14" t="s">
        <v>6580</v>
      </c>
      <c r="C637" s="245" t="s">
        <v>1242</v>
      </c>
      <c r="D637" s="15">
        <v>385</v>
      </c>
      <c r="E637" s="15">
        <v>177</v>
      </c>
      <c r="F637" s="15">
        <v>37</v>
      </c>
      <c r="G637" s="15">
        <v>103</v>
      </c>
      <c r="H637" s="15">
        <v>104</v>
      </c>
    </row>
    <row r="638" spans="2:8">
      <c r="B638" s="17" t="s">
        <v>6581</v>
      </c>
      <c r="C638" s="246" t="s">
        <v>950</v>
      </c>
      <c r="D638" s="18">
        <v>57</v>
      </c>
      <c r="E638" s="18">
        <v>101</v>
      </c>
      <c r="F638" s="18">
        <v>34</v>
      </c>
      <c r="G638" s="18">
        <v>94</v>
      </c>
      <c r="H638" s="18">
        <v>104</v>
      </c>
    </row>
    <row r="639" spans="2:8">
      <c r="B639" s="14" t="s">
        <v>6582</v>
      </c>
      <c r="C639" s="245" t="s">
        <v>1243</v>
      </c>
      <c r="D639" s="15">
        <v>390</v>
      </c>
      <c r="E639" s="15">
        <v>49</v>
      </c>
      <c r="F639" s="15">
        <v>28</v>
      </c>
      <c r="G639" s="15">
        <v>37</v>
      </c>
      <c r="H639" s="15">
        <v>103</v>
      </c>
    </row>
    <row r="640" spans="2:8">
      <c r="B640" s="17" t="s">
        <v>6583</v>
      </c>
      <c r="C640" s="246" t="s">
        <v>1244</v>
      </c>
      <c r="D640" s="18">
        <v>20</v>
      </c>
      <c r="E640" s="18">
        <v>32</v>
      </c>
      <c r="F640" s="18">
        <v>20</v>
      </c>
      <c r="G640" s="18">
        <v>99</v>
      </c>
      <c r="H640" s="18">
        <v>103</v>
      </c>
    </row>
    <row r="641" spans="2:8">
      <c r="B641" s="14" t="s">
        <v>6584</v>
      </c>
      <c r="C641" s="245" t="s">
        <v>1245</v>
      </c>
      <c r="D641" s="15">
        <v>0</v>
      </c>
      <c r="E641" s="15">
        <v>0</v>
      </c>
      <c r="F641" s="15">
        <v>0</v>
      </c>
      <c r="G641" s="15">
        <v>0</v>
      </c>
      <c r="H641" s="15">
        <v>102</v>
      </c>
    </row>
    <row r="642" spans="2:8">
      <c r="B642" s="17" t="s">
        <v>6585</v>
      </c>
      <c r="C642" s="246" t="s">
        <v>1246</v>
      </c>
      <c r="D642" s="18">
        <v>24</v>
      </c>
      <c r="E642" s="18">
        <v>64</v>
      </c>
      <c r="F642" s="18">
        <v>126</v>
      </c>
      <c r="G642" s="18">
        <v>115</v>
      </c>
      <c r="H642" s="18">
        <v>102</v>
      </c>
    </row>
    <row r="643" spans="2:8">
      <c r="B643" s="14" t="s">
        <v>6586</v>
      </c>
      <c r="C643" s="245" t="s">
        <v>1247</v>
      </c>
      <c r="D643" s="15">
        <v>0</v>
      </c>
      <c r="E643" s="15">
        <v>0</v>
      </c>
      <c r="F643" s="15">
        <v>0</v>
      </c>
      <c r="G643" s="15">
        <v>0</v>
      </c>
      <c r="H643" s="15">
        <v>101</v>
      </c>
    </row>
    <row r="644" spans="2:8">
      <c r="B644" s="17" t="s">
        <v>6587</v>
      </c>
      <c r="C644" s="246" t="s">
        <v>1248</v>
      </c>
      <c r="D644" s="18">
        <v>57</v>
      </c>
      <c r="E644" s="18">
        <v>108</v>
      </c>
      <c r="F644" s="18">
        <v>107</v>
      </c>
      <c r="G644" s="18">
        <v>178</v>
      </c>
      <c r="H644" s="18">
        <v>101</v>
      </c>
    </row>
    <row r="645" spans="2:8">
      <c r="B645" s="14" t="s">
        <v>6588</v>
      </c>
      <c r="C645" s="245" t="s">
        <v>1249</v>
      </c>
      <c r="D645" s="15">
        <v>53</v>
      </c>
      <c r="E645" s="15">
        <v>80</v>
      </c>
      <c r="F645" s="15">
        <v>114</v>
      </c>
      <c r="G645" s="15">
        <v>126</v>
      </c>
      <c r="H645" s="15">
        <v>98</v>
      </c>
    </row>
    <row r="646" spans="2:8">
      <c r="B646" s="17" t="s">
        <v>6589</v>
      </c>
      <c r="C646" s="246" t="s">
        <v>1250</v>
      </c>
      <c r="D646" s="18">
        <v>0</v>
      </c>
      <c r="E646" s="18">
        <v>0</v>
      </c>
      <c r="F646" s="18">
        <v>0</v>
      </c>
      <c r="G646" s="18">
        <v>0</v>
      </c>
      <c r="H646" s="18">
        <v>97</v>
      </c>
    </row>
    <row r="647" spans="2:8">
      <c r="B647" s="14" t="s">
        <v>6590</v>
      </c>
      <c r="C647" s="245" t="s">
        <v>1251</v>
      </c>
      <c r="D647" s="15">
        <v>54</v>
      </c>
      <c r="E647" s="15">
        <v>29</v>
      </c>
      <c r="F647" s="15">
        <v>35</v>
      </c>
      <c r="G647" s="15">
        <v>59</v>
      </c>
      <c r="H647" s="15">
        <v>97</v>
      </c>
    </row>
    <row r="648" spans="2:8">
      <c r="B648" s="17" t="s">
        <v>6591</v>
      </c>
      <c r="C648" s="246" t="s">
        <v>1252</v>
      </c>
      <c r="D648" s="18">
        <v>0</v>
      </c>
      <c r="E648" s="18">
        <v>4</v>
      </c>
      <c r="F648" s="18">
        <v>0</v>
      </c>
      <c r="G648" s="18">
        <v>0</v>
      </c>
      <c r="H648" s="18">
        <v>96</v>
      </c>
    </row>
    <row r="649" spans="2:8">
      <c r="B649" s="14" t="s">
        <v>6592</v>
      </c>
      <c r="C649" s="245" t="s">
        <v>1253</v>
      </c>
      <c r="D649" s="15">
        <v>88</v>
      </c>
      <c r="E649" s="15">
        <v>95</v>
      </c>
      <c r="F649" s="15">
        <v>110</v>
      </c>
      <c r="G649" s="15">
        <v>26</v>
      </c>
      <c r="H649" s="15">
        <v>95</v>
      </c>
    </row>
    <row r="650" spans="2:8">
      <c r="B650" s="17" t="s">
        <v>6593</v>
      </c>
      <c r="C650" s="246" t="s">
        <v>1254</v>
      </c>
      <c r="D650" s="18">
        <v>0</v>
      </c>
      <c r="E650" s="18">
        <v>0</v>
      </c>
      <c r="F650" s="18">
        <v>0</v>
      </c>
      <c r="G650" s="18">
        <v>0</v>
      </c>
      <c r="H650" s="18">
        <v>95</v>
      </c>
    </row>
    <row r="651" spans="2:8">
      <c r="B651" s="14" t="s">
        <v>6594</v>
      </c>
      <c r="C651" s="245" t="s">
        <v>1255</v>
      </c>
      <c r="D651" s="15">
        <v>11</v>
      </c>
      <c r="E651" s="15">
        <v>37</v>
      </c>
      <c r="F651" s="15">
        <v>10</v>
      </c>
      <c r="G651" s="15">
        <v>58</v>
      </c>
      <c r="H651" s="15">
        <v>93</v>
      </c>
    </row>
    <row r="652" spans="2:8">
      <c r="B652" s="17" t="s">
        <v>6595</v>
      </c>
      <c r="C652" s="246" t="s">
        <v>1256</v>
      </c>
      <c r="D652" s="18">
        <v>44</v>
      </c>
      <c r="E652" s="18">
        <v>22</v>
      </c>
      <c r="F652" s="18">
        <v>32</v>
      </c>
      <c r="G652" s="18">
        <v>178</v>
      </c>
      <c r="H652" s="18">
        <v>91</v>
      </c>
    </row>
    <row r="653" spans="2:8">
      <c r="B653" s="14" t="s">
        <v>6596</v>
      </c>
      <c r="C653" s="245" t="s">
        <v>1257</v>
      </c>
      <c r="D653" s="15">
        <v>22</v>
      </c>
      <c r="E653" s="15">
        <v>104</v>
      </c>
      <c r="F653" s="15">
        <v>14</v>
      </c>
      <c r="G653" s="15">
        <v>30</v>
      </c>
      <c r="H653" s="15">
        <v>90</v>
      </c>
    </row>
    <row r="654" spans="2:8">
      <c r="B654" s="17" t="s">
        <v>6597</v>
      </c>
      <c r="C654" s="246" t="s">
        <v>1258</v>
      </c>
      <c r="D654" s="18">
        <v>104</v>
      </c>
      <c r="E654" s="18">
        <v>93</v>
      </c>
      <c r="F654" s="18">
        <v>95</v>
      </c>
      <c r="G654" s="18">
        <v>179</v>
      </c>
      <c r="H654" s="18">
        <v>89</v>
      </c>
    </row>
    <row r="655" spans="2:8">
      <c r="B655" s="14" t="s">
        <v>6598</v>
      </c>
      <c r="C655" s="245" t="s">
        <v>1259</v>
      </c>
      <c r="D655" s="15">
        <v>0</v>
      </c>
      <c r="E655" s="15">
        <v>8</v>
      </c>
      <c r="F655" s="15">
        <v>5</v>
      </c>
      <c r="G655" s="15">
        <v>17</v>
      </c>
      <c r="H655" s="15">
        <v>89</v>
      </c>
    </row>
    <row r="656" spans="2:8">
      <c r="B656" s="17" t="s">
        <v>6599</v>
      </c>
      <c r="C656" s="246" t="s">
        <v>1260</v>
      </c>
      <c r="D656" s="18">
        <v>0</v>
      </c>
      <c r="E656" s="18">
        <v>0</v>
      </c>
      <c r="F656" s="18">
        <v>0</v>
      </c>
      <c r="G656" s="18">
        <v>0</v>
      </c>
      <c r="H656" s="18">
        <v>88</v>
      </c>
    </row>
    <row r="657" spans="2:8">
      <c r="B657" s="14" t="s">
        <v>6600</v>
      </c>
      <c r="C657" s="245" t="s">
        <v>1261</v>
      </c>
      <c r="D657" s="15">
        <v>84</v>
      </c>
      <c r="E657" s="15">
        <v>32</v>
      </c>
      <c r="F657" s="15">
        <v>23</v>
      </c>
      <c r="G657" s="15">
        <v>5</v>
      </c>
      <c r="H657" s="15">
        <v>86</v>
      </c>
    </row>
    <row r="658" spans="2:8">
      <c r="B658" s="17" t="s">
        <v>6601</v>
      </c>
      <c r="C658" s="246" t="s">
        <v>1262</v>
      </c>
      <c r="D658" s="18">
        <v>120</v>
      </c>
      <c r="E658" s="18">
        <v>97</v>
      </c>
      <c r="F658" s="18">
        <v>55</v>
      </c>
      <c r="G658" s="18">
        <v>3</v>
      </c>
      <c r="H658" s="18">
        <v>86</v>
      </c>
    </row>
    <row r="659" spans="2:8">
      <c r="B659" s="14" t="s">
        <v>6602</v>
      </c>
      <c r="C659" s="245" t="s">
        <v>1263</v>
      </c>
      <c r="D659" s="15">
        <v>10</v>
      </c>
      <c r="E659" s="15">
        <v>2</v>
      </c>
      <c r="F659" s="15">
        <v>51</v>
      </c>
      <c r="G659" s="15">
        <v>59</v>
      </c>
      <c r="H659" s="15">
        <v>85</v>
      </c>
    </row>
    <row r="660" spans="2:8">
      <c r="B660" s="17" t="s">
        <v>6603</v>
      </c>
      <c r="C660" s="246" t="s">
        <v>1264</v>
      </c>
      <c r="D660" s="18">
        <v>10</v>
      </c>
      <c r="E660" s="18">
        <v>135</v>
      </c>
      <c r="F660" s="18">
        <v>82</v>
      </c>
      <c r="G660" s="18">
        <v>70</v>
      </c>
      <c r="H660" s="18">
        <v>85</v>
      </c>
    </row>
    <row r="661" spans="2:8">
      <c r="B661" s="14" t="s">
        <v>6604</v>
      </c>
      <c r="C661" s="245" t="s">
        <v>798</v>
      </c>
      <c r="D661" s="15">
        <v>0</v>
      </c>
      <c r="E661" s="15">
        <v>0</v>
      </c>
      <c r="F661" s="15">
        <v>0</v>
      </c>
      <c r="G661" s="15">
        <v>0</v>
      </c>
      <c r="H661" s="15">
        <v>85</v>
      </c>
    </row>
    <row r="662" spans="2:8">
      <c r="B662" s="17" t="s">
        <v>6605</v>
      </c>
      <c r="C662" s="246" t="s">
        <v>1265</v>
      </c>
      <c r="D662" s="18">
        <v>48</v>
      </c>
      <c r="E662" s="18">
        <v>25</v>
      </c>
      <c r="F662" s="18">
        <v>42</v>
      </c>
      <c r="G662" s="18">
        <v>58</v>
      </c>
      <c r="H662" s="18">
        <v>83</v>
      </c>
    </row>
    <row r="663" spans="2:8">
      <c r="B663" s="14" t="s">
        <v>6606</v>
      </c>
      <c r="C663" s="245" t="s">
        <v>1266</v>
      </c>
      <c r="D663" s="15">
        <v>7</v>
      </c>
      <c r="E663" s="15">
        <v>17</v>
      </c>
      <c r="F663" s="15">
        <v>16</v>
      </c>
      <c r="G663" s="15">
        <v>70</v>
      </c>
      <c r="H663" s="15">
        <v>83</v>
      </c>
    </row>
    <row r="664" spans="2:8">
      <c r="B664" s="17" t="s">
        <v>6607</v>
      </c>
      <c r="C664" s="246" t="s">
        <v>1267</v>
      </c>
      <c r="D664" s="18">
        <v>0</v>
      </c>
      <c r="E664" s="18">
        <v>0</v>
      </c>
      <c r="F664" s="18">
        <v>0</v>
      </c>
      <c r="G664" s="18">
        <v>0</v>
      </c>
      <c r="H664" s="18">
        <v>83</v>
      </c>
    </row>
    <row r="665" spans="2:8">
      <c r="B665" s="14" t="s">
        <v>6608</v>
      </c>
      <c r="C665" s="245" t="s">
        <v>1268</v>
      </c>
      <c r="D665" s="15">
        <v>0</v>
      </c>
      <c r="E665" s="15">
        <v>97</v>
      </c>
      <c r="F665" s="15">
        <v>0</v>
      </c>
      <c r="G665" s="15">
        <v>37</v>
      </c>
      <c r="H665" s="15">
        <v>82</v>
      </c>
    </row>
    <row r="666" spans="2:8">
      <c r="B666" s="17" t="s">
        <v>6609</v>
      </c>
      <c r="C666" s="246" t="s">
        <v>1269</v>
      </c>
      <c r="D666" s="18">
        <v>324</v>
      </c>
      <c r="E666" s="18">
        <v>0</v>
      </c>
      <c r="F666" s="18">
        <v>9</v>
      </c>
      <c r="G666" s="18">
        <v>137</v>
      </c>
      <c r="H666" s="18">
        <v>82</v>
      </c>
    </row>
    <row r="667" spans="2:8">
      <c r="B667" s="14" t="s">
        <v>6610</v>
      </c>
      <c r="C667" s="245" t="s">
        <v>1270</v>
      </c>
      <c r="D667" s="15">
        <v>138</v>
      </c>
      <c r="E667" s="15">
        <v>56</v>
      </c>
      <c r="F667" s="15">
        <v>462</v>
      </c>
      <c r="G667" s="15">
        <v>136</v>
      </c>
      <c r="H667" s="15">
        <v>81</v>
      </c>
    </row>
    <row r="668" spans="2:8">
      <c r="B668" s="17" t="s">
        <v>6611</v>
      </c>
      <c r="C668" s="246" t="s">
        <v>1271</v>
      </c>
      <c r="D668" s="18">
        <v>171</v>
      </c>
      <c r="E668" s="18">
        <v>135</v>
      </c>
      <c r="F668" s="18">
        <v>72</v>
      </c>
      <c r="G668" s="18">
        <v>135</v>
      </c>
      <c r="H668" s="18">
        <v>81</v>
      </c>
    </row>
    <row r="669" spans="2:8">
      <c r="B669" s="14" t="s">
        <v>6612</v>
      </c>
      <c r="C669" s="245" t="s">
        <v>1272</v>
      </c>
      <c r="D669" s="15">
        <v>11</v>
      </c>
      <c r="E669" s="15">
        <v>16</v>
      </c>
      <c r="F669" s="15">
        <v>5</v>
      </c>
      <c r="G669" s="15">
        <v>126</v>
      </c>
      <c r="H669" s="15">
        <v>80</v>
      </c>
    </row>
    <row r="670" spans="2:8">
      <c r="B670" s="17" t="s">
        <v>6613</v>
      </c>
      <c r="C670" s="246" t="s">
        <v>1273</v>
      </c>
      <c r="D670" s="18">
        <v>122</v>
      </c>
      <c r="E670" s="18">
        <v>68</v>
      </c>
      <c r="F670" s="18">
        <v>52</v>
      </c>
      <c r="G670" s="18">
        <v>87</v>
      </c>
      <c r="H670" s="18">
        <v>80</v>
      </c>
    </row>
    <row r="671" spans="2:8">
      <c r="B671" s="14" t="s">
        <v>6614</v>
      </c>
      <c r="C671" s="245" t="s">
        <v>1274</v>
      </c>
      <c r="D671" s="15">
        <v>12</v>
      </c>
      <c r="E671" s="15">
        <v>9</v>
      </c>
      <c r="F671" s="15">
        <v>24</v>
      </c>
      <c r="G671" s="15">
        <v>70</v>
      </c>
      <c r="H671" s="15">
        <v>80</v>
      </c>
    </row>
    <row r="672" spans="2:8">
      <c r="B672" s="17" t="s">
        <v>6615</v>
      </c>
      <c r="C672" s="246" t="s">
        <v>1275</v>
      </c>
      <c r="D672" s="18">
        <v>102</v>
      </c>
      <c r="E672" s="18">
        <v>74</v>
      </c>
      <c r="F672" s="18">
        <v>18</v>
      </c>
      <c r="G672" s="18">
        <v>37</v>
      </c>
      <c r="H672" s="18">
        <v>80</v>
      </c>
    </row>
    <row r="673" spans="2:8">
      <c r="B673" s="14" t="s">
        <v>6616</v>
      </c>
      <c r="C673" s="245" t="s">
        <v>1276</v>
      </c>
      <c r="D673" s="15">
        <v>0</v>
      </c>
      <c r="E673" s="15">
        <v>13</v>
      </c>
      <c r="F673" s="15">
        <v>3</v>
      </c>
      <c r="G673" s="15">
        <v>5</v>
      </c>
      <c r="H673" s="15">
        <v>79</v>
      </c>
    </row>
    <row r="674" spans="2:8">
      <c r="B674" s="17" t="s">
        <v>6617</v>
      </c>
      <c r="C674" s="246" t="s">
        <v>1277</v>
      </c>
      <c r="D674" s="18">
        <v>0</v>
      </c>
      <c r="E674" s="18">
        <v>0</v>
      </c>
      <c r="F674" s="18">
        <v>25</v>
      </c>
      <c r="G674" s="18">
        <v>496</v>
      </c>
      <c r="H674" s="18">
        <v>79</v>
      </c>
    </row>
    <row r="675" spans="2:8">
      <c r="B675" s="14" t="s">
        <v>6618</v>
      </c>
      <c r="C675" s="245" t="s">
        <v>1278</v>
      </c>
      <c r="D675" s="15">
        <v>11</v>
      </c>
      <c r="E675" s="15">
        <v>146</v>
      </c>
      <c r="F675" s="15">
        <v>144</v>
      </c>
      <c r="G675" s="15">
        <v>70</v>
      </c>
      <c r="H675" s="15">
        <v>79</v>
      </c>
    </row>
    <row r="676" spans="2:8">
      <c r="B676" s="17" t="s">
        <v>6619</v>
      </c>
      <c r="C676" s="246" t="s">
        <v>1279</v>
      </c>
      <c r="D676" s="18">
        <v>0</v>
      </c>
      <c r="E676" s="18">
        <v>0</v>
      </c>
      <c r="F676" s="18">
        <v>0</v>
      </c>
      <c r="G676" s="18">
        <v>0</v>
      </c>
      <c r="H676" s="18">
        <v>79</v>
      </c>
    </row>
    <row r="677" spans="2:8">
      <c r="B677" s="14" t="s">
        <v>6620</v>
      </c>
      <c r="C677" s="245" t="s">
        <v>1280</v>
      </c>
      <c r="D677" s="15">
        <v>5</v>
      </c>
      <c r="E677" s="15">
        <v>202</v>
      </c>
      <c r="F677" s="15">
        <v>3</v>
      </c>
      <c r="G677" s="15">
        <v>43</v>
      </c>
      <c r="H677" s="15">
        <v>79</v>
      </c>
    </row>
    <row r="678" spans="2:8">
      <c r="B678" s="17" t="s">
        <v>6621</v>
      </c>
      <c r="C678" s="246" t="s">
        <v>1281</v>
      </c>
      <c r="D678" s="18">
        <v>1835</v>
      </c>
      <c r="E678" s="18">
        <v>54</v>
      </c>
      <c r="F678" s="18">
        <v>2</v>
      </c>
      <c r="G678" s="18">
        <v>835</v>
      </c>
      <c r="H678" s="18">
        <v>79</v>
      </c>
    </row>
    <row r="679" spans="2:8">
      <c r="B679" s="14" t="s">
        <v>6622</v>
      </c>
      <c r="C679" s="245" t="s">
        <v>1282</v>
      </c>
      <c r="D679" s="15">
        <v>86</v>
      </c>
      <c r="E679" s="15">
        <v>182</v>
      </c>
      <c r="F679" s="15">
        <v>147</v>
      </c>
      <c r="G679" s="15">
        <v>270</v>
      </c>
      <c r="H679" s="15">
        <v>78</v>
      </c>
    </row>
    <row r="680" spans="2:8">
      <c r="B680" s="17" t="s">
        <v>6623</v>
      </c>
      <c r="C680" s="246" t="s">
        <v>1283</v>
      </c>
      <c r="D680" s="18">
        <v>916</v>
      </c>
      <c r="E680" s="18">
        <v>1015</v>
      </c>
      <c r="F680" s="18">
        <v>866</v>
      </c>
      <c r="G680" s="18">
        <v>1755</v>
      </c>
      <c r="H680" s="18">
        <v>78</v>
      </c>
    </row>
    <row r="681" spans="2:8">
      <c r="B681" s="14" t="s">
        <v>6624</v>
      </c>
      <c r="C681" s="245" t="s">
        <v>1284</v>
      </c>
      <c r="D681" s="15">
        <v>124</v>
      </c>
      <c r="E681" s="15">
        <v>48</v>
      </c>
      <c r="F681" s="15">
        <v>62</v>
      </c>
      <c r="G681" s="15">
        <v>49</v>
      </c>
      <c r="H681" s="15">
        <v>78</v>
      </c>
    </row>
    <row r="682" spans="2:8">
      <c r="B682" s="17" t="s">
        <v>6625</v>
      </c>
      <c r="C682" s="246" t="s">
        <v>1285</v>
      </c>
      <c r="D682" s="18">
        <v>147</v>
      </c>
      <c r="E682" s="18">
        <v>17</v>
      </c>
      <c r="F682" s="18">
        <v>4</v>
      </c>
      <c r="G682" s="18">
        <v>4</v>
      </c>
      <c r="H682" s="18">
        <v>78</v>
      </c>
    </row>
    <row r="683" spans="2:8">
      <c r="B683" s="14" t="s">
        <v>6626</v>
      </c>
      <c r="C683" s="245" t="s">
        <v>1286</v>
      </c>
      <c r="D683" s="15">
        <v>0</v>
      </c>
      <c r="E683" s="15">
        <v>0</v>
      </c>
      <c r="F683" s="15">
        <v>0</v>
      </c>
      <c r="G683" s="15">
        <v>0</v>
      </c>
      <c r="H683" s="15">
        <v>78</v>
      </c>
    </row>
    <row r="684" spans="2:8">
      <c r="B684" s="17" t="s">
        <v>6627</v>
      </c>
      <c r="C684" s="246" t="s">
        <v>1287</v>
      </c>
      <c r="D684" s="18">
        <v>101</v>
      </c>
      <c r="E684" s="18">
        <v>59</v>
      </c>
      <c r="F684" s="18">
        <v>82</v>
      </c>
      <c r="G684" s="18">
        <v>30</v>
      </c>
      <c r="H684" s="18">
        <v>78</v>
      </c>
    </row>
    <row r="685" spans="2:8">
      <c r="B685" s="14" t="s">
        <v>6628</v>
      </c>
      <c r="C685" s="245" t="s">
        <v>1288</v>
      </c>
      <c r="D685" s="15">
        <v>0</v>
      </c>
      <c r="E685" s="15">
        <v>0</v>
      </c>
      <c r="F685" s="15">
        <v>0</v>
      </c>
      <c r="G685" s="15">
        <v>1</v>
      </c>
      <c r="H685" s="15">
        <v>77</v>
      </c>
    </row>
    <row r="686" spans="2:8">
      <c r="B686" s="17" t="s">
        <v>6629</v>
      </c>
      <c r="C686" s="246" t="s">
        <v>1289</v>
      </c>
      <c r="D686" s="18">
        <v>0</v>
      </c>
      <c r="E686" s="18">
        <v>0</v>
      </c>
      <c r="F686" s="18">
        <v>0</v>
      </c>
      <c r="G686" s="18">
        <v>15</v>
      </c>
      <c r="H686" s="18">
        <v>77</v>
      </c>
    </row>
    <row r="687" spans="2:8">
      <c r="B687" s="14" t="s">
        <v>6630</v>
      </c>
      <c r="C687" s="245" t="s">
        <v>1290</v>
      </c>
      <c r="D687" s="15">
        <v>3</v>
      </c>
      <c r="E687" s="15">
        <v>14</v>
      </c>
      <c r="F687" s="15">
        <v>6</v>
      </c>
      <c r="G687" s="15">
        <v>163</v>
      </c>
      <c r="H687" s="15">
        <v>77</v>
      </c>
    </row>
    <row r="688" spans="2:8">
      <c r="B688" s="17" t="s">
        <v>6631</v>
      </c>
      <c r="C688" s="246" t="s">
        <v>1291</v>
      </c>
      <c r="D688" s="18">
        <v>32</v>
      </c>
      <c r="E688" s="18">
        <v>74</v>
      </c>
      <c r="F688" s="18">
        <v>41</v>
      </c>
      <c r="G688" s="18">
        <v>43</v>
      </c>
      <c r="H688" s="18">
        <v>76</v>
      </c>
    </row>
    <row r="689" spans="2:8">
      <c r="B689" s="14" t="s">
        <v>6632</v>
      </c>
      <c r="C689" s="245" t="s">
        <v>1292</v>
      </c>
      <c r="D689" s="15">
        <v>100</v>
      </c>
      <c r="E689" s="15">
        <v>86</v>
      </c>
      <c r="F689" s="15">
        <v>65</v>
      </c>
      <c r="G689" s="15">
        <v>0</v>
      </c>
      <c r="H689" s="15">
        <v>74</v>
      </c>
    </row>
    <row r="690" spans="2:8">
      <c r="B690" s="17" t="s">
        <v>6633</v>
      </c>
      <c r="C690" s="246" t="s">
        <v>1293</v>
      </c>
      <c r="D690" s="18">
        <v>175</v>
      </c>
      <c r="E690" s="18">
        <v>154</v>
      </c>
      <c r="F690" s="18">
        <v>127</v>
      </c>
      <c r="G690" s="18">
        <v>156</v>
      </c>
      <c r="H690" s="18">
        <v>74</v>
      </c>
    </row>
    <row r="691" spans="2:8">
      <c r="B691" s="14" t="s">
        <v>6634</v>
      </c>
      <c r="C691" s="245" t="s">
        <v>1294</v>
      </c>
      <c r="D691" s="15">
        <v>55</v>
      </c>
      <c r="E691" s="15">
        <v>32</v>
      </c>
      <c r="F691" s="15">
        <v>140</v>
      </c>
      <c r="G691" s="15">
        <v>50</v>
      </c>
      <c r="H691" s="15">
        <v>74</v>
      </c>
    </row>
    <row r="692" spans="2:8">
      <c r="B692" s="17" t="s">
        <v>6635</v>
      </c>
      <c r="C692" s="246" t="s">
        <v>1295</v>
      </c>
      <c r="D692" s="18">
        <v>0</v>
      </c>
      <c r="E692" s="18">
        <v>621</v>
      </c>
      <c r="F692" s="18">
        <v>0</v>
      </c>
      <c r="G692" s="18">
        <v>661</v>
      </c>
      <c r="H692" s="18">
        <v>73</v>
      </c>
    </row>
    <row r="693" spans="2:8">
      <c r="B693" s="14" t="s">
        <v>6636</v>
      </c>
      <c r="C693" s="245" t="s">
        <v>1296</v>
      </c>
      <c r="D693" s="15">
        <v>17</v>
      </c>
      <c r="E693" s="15">
        <v>12</v>
      </c>
      <c r="F693" s="15">
        <v>31</v>
      </c>
      <c r="G693" s="15">
        <v>27</v>
      </c>
      <c r="H693" s="15">
        <v>73</v>
      </c>
    </row>
    <row r="694" spans="2:8">
      <c r="B694" s="17" t="s">
        <v>6637</v>
      </c>
      <c r="C694" s="246" t="s">
        <v>1297</v>
      </c>
      <c r="D694" s="18">
        <v>0</v>
      </c>
      <c r="E694" s="18">
        <v>0</v>
      </c>
      <c r="F694" s="18">
        <v>0</v>
      </c>
      <c r="G694" s="18">
        <v>0</v>
      </c>
      <c r="H694" s="18">
        <v>73</v>
      </c>
    </row>
    <row r="695" spans="2:8">
      <c r="B695" s="14" t="s">
        <v>6638</v>
      </c>
      <c r="C695" s="245" t="s">
        <v>1298</v>
      </c>
      <c r="D695" s="15">
        <v>13</v>
      </c>
      <c r="E695" s="15">
        <v>82</v>
      </c>
      <c r="F695" s="15">
        <v>43</v>
      </c>
      <c r="G695" s="15">
        <v>58</v>
      </c>
      <c r="H695" s="15">
        <v>73</v>
      </c>
    </row>
    <row r="696" spans="2:8">
      <c r="B696" s="17" t="s">
        <v>6639</v>
      </c>
      <c r="C696" s="246" t="s">
        <v>1299</v>
      </c>
      <c r="D696" s="18">
        <v>0</v>
      </c>
      <c r="E696" s="18">
        <v>72</v>
      </c>
      <c r="F696" s="18">
        <v>0</v>
      </c>
      <c r="G696" s="18">
        <v>169</v>
      </c>
      <c r="H696" s="18">
        <v>73</v>
      </c>
    </row>
    <row r="697" spans="2:8">
      <c r="B697" s="14" t="s">
        <v>6640</v>
      </c>
      <c r="C697" s="245" t="s">
        <v>1300</v>
      </c>
      <c r="D697" s="15">
        <v>38</v>
      </c>
      <c r="E697" s="15">
        <v>43</v>
      </c>
      <c r="F697" s="15">
        <v>32</v>
      </c>
      <c r="G697" s="15">
        <v>82</v>
      </c>
      <c r="H697" s="15">
        <v>72</v>
      </c>
    </row>
    <row r="698" spans="2:8">
      <c r="B698" s="17" t="s">
        <v>6641</v>
      </c>
      <c r="C698" s="246" t="s">
        <v>1301</v>
      </c>
      <c r="D698" s="18">
        <v>0</v>
      </c>
      <c r="E698" s="18">
        <v>0</v>
      </c>
      <c r="F698" s="18">
        <v>0</v>
      </c>
      <c r="G698" s="18">
        <v>10</v>
      </c>
      <c r="H698" s="18">
        <v>72</v>
      </c>
    </row>
    <row r="699" spans="2:8">
      <c r="B699" s="14" t="s">
        <v>6642</v>
      </c>
      <c r="C699" s="245" t="s">
        <v>1302</v>
      </c>
      <c r="D699" s="15">
        <v>1900</v>
      </c>
      <c r="E699" s="15">
        <v>435</v>
      </c>
      <c r="F699" s="15">
        <v>38</v>
      </c>
      <c r="G699" s="15">
        <v>194</v>
      </c>
      <c r="H699" s="15">
        <v>72</v>
      </c>
    </row>
    <row r="700" spans="2:8">
      <c r="B700" s="17" t="s">
        <v>6643</v>
      </c>
      <c r="C700" s="246" t="s">
        <v>1303</v>
      </c>
      <c r="D700" s="18">
        <v>0</v>
      </c>
      <c r="E700" s="18">
        <v>0</v>
      </c>
      <c r="F700" s="18">
        <v>0</v>
      </c>
      <c r="G700" s="18">
        <v>18</v>
      </c>
      <c r="H700" s="18">
        <v>72</v>
      </c>
    </row>
    <row r="701" spans="2:8">
      <c r="B701" s="14" t="s">
        <v>6644</v>
      </c>
      <c r="C701" s="245" t="s">
        <v>1304</v>
      </c>
      <c r="D701" s="15">
        <v>0</v>
      </c>
      <c r="E701" s="15">
        <v>0</v>
      </c>
      <c r="F701" s="15">
        <v>0</v>
      </c>
      <c r="G701" s="15">
        <v>0</v>
      </c>
      <c r="H701" s="15">
        <v>71</v>
      </c>
    </row>
    <row r="702" spans="2:8">
      <c r="B702" s="17" t="s">
        <v>6645</v>
      </c>
      <c r="C702" s="246" t="s">
        <v>1305</v>
      </c>
      <c r="D702" s="18">
        <v>0</v>
      </c>
      <c r="E702" s="18">
        <v>0</v>
      </c>
      <c r="F702" s="18">
        <v>0</v>
      </c>
      <c r="G702" s="18">
        <v>0</v>
      </c>
      <c r="H702" s="18">
        <v>70</v>
      </c>
    </row>
    <row r="703" spans="2:8">
      <c r="B703" s="14" t="s">
        <v>6646</v>
      </c>
      <c r="C703" s="245" t="s">
        <v>1306</v>
      </c>
      <c r="D703" s="15">
        <v>0</v>
      </c>
      <c r="E703" s="15">
        <v>0</v>
      </c>
      <c r="F703" s="15">
        <v>0</v>
      </c>
      <c r="G703" s="15">
        <v>0</v>
      </c>
      <c r="H703" s="15">
        <v>70</v>
      </c>
    </row>
    <row r="704" spans="2:8">
      <c r="B704" s="17" t="s">
        <v>6647</v>
      </c>
      <c r="C704" s="246" t="s">
        <v>1307</v>
      </c>
      <c r="D704" s="18">
        <v>248</v>
      </c>
      <c r="E704" s="18">
        <v>120</v>
      </c>
      <c r="F704" s="18">
        <v>113</v>
      </c>
      <c r="G704" s="18">
        <v>77</v>
      </c>
      <c r="H704" s="18">
        <v>70</v>
      </c>
    </row>
    <row r="705" spans="2:8">
      <c r="B705" s="14" t="s">
        <v>6648</v>
      </c>
      <c r="C705" s="245" t="s">
        <v>1308</v>
      </c>
      <c r="D705" s="15">
        <v>0</v>
      </c>
      <c r="E705" s="15">
        <v>0</v>
      </c>
      <c r="F705" s="15">
        <v>0</v>
      </c>
      <c r="G705" s="15">
        <v>0</v>
      </c>
      <c r="H705" s="15">
        <v>70</v>
      </c>
    </row>
    <row r="706" spans="2:8">
      <c r="B706" s="17" t="s">
        <v>6649</v>
      </c>
      <c r="C706" s="246" t="s">
        <v>1309</v>
      </c>
      <c r="D706" s="18">
        <v>94</v>
      </c>
      <c r="E706" s="18">
        <v>0</v>
      </c>
      <c r="F706" s="18">
        <v>891</v>
      </c>
      <c r="G706" s="18">
        <v>34</v>
      </c>
      <c r="H706" s="18">
        <v>69</v>
      </c>
    </row>
    <row r="707" spans="2:8">
      <c r="B707" s="14" t="s">
        <v>6650</v>
      </c>
      <c r="C707" s="245" t="s">
        <v>1310</v>
      </c>
      <c r="D707" s="15">
        <v>0</v>
      </c>
      <c r="E707" s="15">
        <v>0</v>
      </c>
      <c r="F707" s="15">
        <v>0</v>
      </c>
      <c r="G707" s="15">
        <v>0</v>
      </c>
      <c r="H707" s="15">
        <v>69</v>
      </c>
    </row>
    <row r="708" spans="2:8">
      <c r="B708" s="17" t="s">
        <v>6651</v>
      </c>
      <c r="C708" s="246" t="s">
        <v>1311</v>
      </c>
      <c r="D708" s="18">
        <v>3254</v>
      </c>
      <c r="E708" s="18">
        <v>1940</v>
      </c>
      <c r="F708" s="18">
        <v>1676</v>
      </c>
      <c r="G708" s="18">
        <v>820</v>
      </c>
      <c r="H708" s="18">
        <v>67</v>
      </c>
    </row>
    <row r="709" spans="2:8">
      <c r="B709" s="14" t="s">
        <v>6652</v>
      </c>
      <c r="C709" s="245" t="s">
        <v>974</v>
      </c>
      <c r="D709" s="15">
        <v>0</v>
      </c>
      <c r="E709" s="15">
        <v>0</v>
      </c>
      <c r="F709" s="15">
        <v>0</v>
      </c>
      <c r="G709" s="15">
        <v>0</v>
      </c>
      <c r="H709" s="15">
        <v>67</v>
      </c>
    </row>
    <row r="710" spans="2:8">
      <c r="B710" s="17" t="s">
        <v>6653</v>
      </c>
      <c r="C710" s="246" t="s">
        <v>1312</v>
      </c>
      <c r="D710" s="18">
        <v>7</v>
      </c>
      <c r="E710" s="18">
        <v>0</v>
      </c>
      <c r="F710" s="18">
        <v>0</v>
      </c>
      <c r="G710" s="18">
        <v>0</v>
      </c>
      <c r="H710" s="18">
        <v>67</v>
      </c>
    </row>
    <row r="711" spans="2:8">
      <c r="B711" s="14" t="s">
        <v>6654</v>
      </c>
      <c r="C711" s="245" t="s">
        <v>1313</v>
      </c>
      <c r="D711" s="15">
        <v>0</v>
      </c>
      <c r="E711" s="15">
        <v>100</v>
      </c>
      <c r="F711" s="15">
        <v>41</v>
      </c>
      <c r="G711" s="15">
        <v>0</v>
      </c>
      <c r="H711" s="15">
        <v>67</v>
      </c>
    </row>
    <row r="712" spans="2:8">
      <c r="B712" s="17" t="s">
        <v>6655</v>
      </c>
      <c r="C712" s="246" t="s">
        <v>1314</v>
      </c>
      <c r="D712" s="18">
        <v>0</v>
      </c>
      <c r="E712" s="18">
        <v>0</v>
      </c>
      <c r="F712" s="18">
        <v>17</v>
      </c>
      <c r="G712" s="18">
        <v>1</v>
      </c>
      <c r="H712" s="18">
        <v>67</v>
      </c>
    </row>
    <row r="713" spans="2:8">
      <c r="B713" s="14" t="s">
        <v>6656</v>
      </c>
      <c r="C713" s="245" t="s">
        <v>1315</v>
      </c>
      <c r="D713" s="15">
        <v>37</v>
      </c>
      <c r="E713" s="15">
        <v>19</v>
      </c>
      <c r="F713" s="15">
        <v>93</v>
      </c>
      <c r="G713" s="15">
        <v>86</v>
      </c>
      <c r="H713" s="15">
        <v>66</v>
      </c>
    </row>
    <row r="714" spans="2:8">
      <c r="B714" s="17" t="s">
        <v>6657</v>
      </c>
      <c r="C714" s="246" t="s">
        <v>1316</v>
      </c>
      <c r="D714" s="18">
        <v>0</v>
      </c>
      <c r="E714" s="18">
        <v>0</v>
      </c>
      <c r="F714" s="18">
        <v>0</v>
      </c>
      <c r="G714" s="18">
        <v>15</v>
      </c>
      <c r="H714" s="18">
        <v>65</v>
      </c>
    </row>
    <row r="715" spans="2:8">
      <c r="B715" s="14" t="s">
        <v>6658</v>
      </c>
      <c r="C715" s="245" t="s">
        <v>1317</v>
      </c>
      <c r="D715" s="15">
        <v>0</v>
      </c>
      <c r="E715" s="15">
        <v>7</v>
      </c>
      <c r="F715" s="15">
        <v>12</v>
      </c>
      <c r="G715" s="15">
        <v>62</v>
      </c>
      <c r="H715" s="15">
        <v>65</v>
      </c>
    </row>
    <row r="716" spans="2:8">
      <c r="B716" s="17" t="s">
        <v>6659</v>
      </c>
      <c r="C716" s="246" t="s">
        <v>1318</v>
      </c>
      <c r="D716" s="18">
        <v>0</v>
      </c>
      <c r="E716" s="18">
        <v>0</v>
      </c>
      <c r="F716" s="18">
        <v>74</v>
      </c>
      <c r="G716" s="18">
        <v>416</v>
      </c>
      <c r="H716" s="18">
        <v>65</v>
      </c>
    </row>
    <row r="717" spans="2:8">
      <c r="B717" s="14" t="s">
        <v>6660</v>
      </c>
      <c r="C717" s="245" t="s">
        <v>1319</v>
      </c>
      <c r="D717" s="15">
        <v>63</v>
      </c>
      <c r="E717" s="15">
        <v>52</v>
      </c>
      <c r="F717" s="15">
        <v>91</v>
      </c>
      <c r="G717" s="15">
        <v>70</v>
      </c>
      <c r="H717" s="15">
        <v>65</v>
      </c>
    </row>
    <row r="718" spans="2:8">
      <c r="B718" s="17" t="s">
        <v>6661</v>
      </c>
      <c r="C718" s="246" t="s">
        <v>1320</v>
      </c>
      <c r="D718" s="18">
        <v>118</v>
      </c>
      <c r="E718" s="18">
        <v>70</v>
      </c>
      <c r="F718" s="18">
        <v>34</v>
      </c>
      <c r="G718" s="18">
        <v>77</v>
      </c>
      <c r="H718" s="18">
        <v>64</v>
      </c>
    </row>
    <row r="719" spans="2:8">
      <c r="B719" s="14" t="s">
        <v>6662</v>
      </c>
      <c r="C719" s="245" t="s">
        <v>1321</v>
      </c>
      <c r="D719" s="15">
        <v>0</v>
      </c>
      <c r="E719" s="15">
        <v>0</v>
      </c>
      <c r="F719" s="15">
        <v>0</v>
      </c>
      <c r="G719" s="15">
        <v>0</v>
      </c>
      <c r="H719" s="15">
        <v>64</v>
      </c>
    </row>
    <row r="720" spans="2:8">
      <c r="B720" s="17" t="s">
        <v>6663</v>
      </c>
      <c r="C720" s="246" t="s">
        <v>1322</v>
      </c>
      <c r="D720" s="18">
        <v>80</v>
      </c>
      <c r="E720" s="18">
        <v>47</v>
      </c>
      <c r="F720" s="18">
        <v>42</v>
      </c>
      <c r="G720" s="18">
        <v>53</v>
      </c>
      <c r="H720" s="18">
        <v>63</v>
      </c>
    </row>
    <row r="721" spans="2:8">
      <c r="B721" s="14" t="s">
        <v>6664</v>
      </c>
      <c r="C721" s="245" t="s">
        <v>1323</v>
      </c>
      <c r="D721" s="15">
        <v>37</v>
      </c>
      <c r="E721" s="15">
        <v>32</v>
      </c>
      <c r="F721" s="15">
        <v>30</v>
      </c>
      <c r="G721" s="15">
        <v>57</v>
      </c>
      <c r="H721" s="15">
        <v>62</v>
      </c>
    </row>
    <row r="722" spans="2:8">
      <c r="B722" s="17" t="s">
        <v>6665</v>
      </c>
      <c r="C722" s="246" t="s">
        <v>1324</v>
      </c>
      <c r="D722" s="18">
        <v>0</v>
      </c>
      <c r="E722" s="18">
        <v>0</v>
      </c>
      <c r="F722" s="18">
        <v>0</v>
      </c>
      <c r="G722" s="18">
        <v>0</v>
      </c>
      <c r="H722" s="18">
        <v>62</v>
      </c>
    </row>
    <row r="723" spans="2:8">
      <c r="B723" s="14" t="s">
        <v>6666</v>
      </c>
      <c r="C723" s="245" t="s">
        <v>1325</v>
      </c>
      <c r="D723" s="15">
        <v>0</v>
      </c>
      <c r="E723" s="15">
        <v>3</v>
      </c>
      <c r="F723" s="15">
        <v>0</v>
      </c>
      <c r="G723" s="15">
        <v>23</v>
      </c>
      <c r="H723" s="15">
        <v>61</v>
      </c>
    </row>
    <row r="724" spans="2:8">
      <c r="B724" s="17" t="s">
        <v>6667</v>
      </c>
      <c r="C724" s="246" t="s">
        <v>1326</v>
      </c>
      <c r="D724" s="18">
        <v>427</v>
      </c>
      <c r="E724" s="18">
        <v>195</v>
      </c>
      <c r="F724" s="18">
        <v>26</v>
      </c>
      <c r="G724" s="18">
        <v>0</v>
      </c>
      <c r="H724" s="18">
        <v>61</v>
      </c>
    </row>
    <row r="725" spans="2:8">
      <c r="B725" s="14" t="s">
        <v>6668</v>
      </c>
      <c r="C725" s="245" t="s">
        <v>1327</v>
      </c>
      <c r="D725" s="15">
        <v>46</v>
      </c>
      <c r="E725" s="15">
        <v>231</v>
      </c>
      <c r="F725" s="15">
        <v>197</v>
      </c>
      <c r="G725" s="15">
        <v>53</v>
      </c>
      <c r="H725" s="15">
        <v>61</v>
      </c>
    </row>
    <row r="726" spans="2:8">
      <c r="B726" s="17" t="s">
        <v>6669</v>
      </c>
      <c r="C726" s="246" t="s">
        <v>1328</v>
      </c>
      <c r="D726" s="18">
        <v>33</v>
      </c>
      <c r="E726" s="18">
        <v>44</v>
      </c>
      <c r="F726" s="18">
        <v>68</v>
      </c>
      <c r="G726" s="18">
        <v>56</v>
      </c>
      <c r="H726" s="18">
        <v>60</v>
      </c>
    </row>
    <row r="727" spans="2:8">
      <c r="B727" s="14" t="s">
        <v>6670</v>
      </c>
      <c r="C727" s="245" t="s">
        <v>1329</v>
      </c>
      <c r="D727" s="15">
        <v>3</v>
      </c>
      <c r="E727" s="15">
        <v>22</v>
      </c>
      <c r="F727" s="15">
        <v>28</v>
      </c>
      <c r="G727" s="15">
        <v>96</v>
      </c>
      <c r="H727" s="15">
        <v>60</v>
      </c>
    </row>
    <row r="728" spans="2:8">
      <c r="B728" s="17" t="s">
        <v>6671</v>
      </c>
      <c r="C728" s="246" t="s">
        <v>1330</v>
      </c>
      <c r="D728" s="18">
        <v>82</v>
      </c>
      <c r="E728" s="18">
        <v>84</v>
      </c>
      <c r="F728" s="18">
        <v>62</v>
      </c>
      <c r="G728" s="18">
        <v>72</v>
      </c>
      <c r="H728" s="18">
        <v>59</v>
      </c>
    </row>
    <row r="729" spans="2:8">
      <c r="B729" s="14" t="s">
        <v>6672</v>
      </c>
      <c r="C729" s="245" t="s">
        <v>1331</v>
      </c>
      <c r="D729" s="15">
        <v>33</v>
      </c>
      <c r="E729" s="15">
        <v>30</v>
      </c>
      <c r="F729" s="15">
        <v>27</v>
      </c>
      <c r="G729" s="15">
        <v>43</v>
      </c>
      <c r="H729" s="15">
        <v>59</v>
      </c>
    </row>
    <row r="730" spans="2:8">
      <c r="B730" s="17" t="s">
        <v>6673</v>
      </c>
      <c r="C730" s="246" t="s">
        <v>1332</v>
      </c>
      <c r="D730" s="18">
        <v>17</v>
      </c>
      <c r="E730" s="18">
        <v>0</v>
      </c>
      <c r="F730" s="18">
        <v>0</v>
      </c>
      <c r="G730" s="18">
        <v>0</v>
      </c>
      <c r="H730" s="18">
        <v>59</v>
      </c>
    </row>
    <row r="731" spans="2:8">
      <c r="B731" s="14" t="s">
        <v>6674</v>
      </c>
      <c r="C731" s="245" t="s">
        <v>1333</v>
      </c>
      <c r="D731" s="15">
        <v>0</v>
      </c>
      <c r="E731" s="15">
        <v>0</v>
      </c>
      <c r="F731" s="15">
        <v>0</v>
      </c>
      <c r="G731" s="15">
        <v>0</v>
      </c>
      <c r="H731" s="15">
        <v>59</v>
      </c>
    </row>
    <row r="732" spans="2:8">
      <c r="B732" s="17" t="s">
        <v>6675</v>
      </c>
      <c r="C732" s="246" t="s">
        <v>1334</v>
      </c>
      <c r="D732" s="18">
        <v>144</v>
      </c>
      <c r="E732" s="18">
        <v>137</v>
      </c>
      <c r="F732" s="18">
        <v>156</v>
      </c>
      <c r="G732" s="18">
        <v>82</v>
      </c>
      <c r="H732" s="18">
        <v>59</v>
      </c>
    </row>
    <row r="733" spans="2:8">
      <c r="B733" s="14" t="s">
        <v>6676</v>
      </c>
      <c r="C733" s="245" t="s">
        <v>1335</v>
      </c>
      <c r="D733" s="15">
        <v>3181</v>
      </c>
      <c r="E733" s="15">
        <v>0</v>
      </c>
      <c r="F733" s="15">
        <v>0</v>
      </c>
      <c r="G733" s="15">
        <v>0</v>
      </c>
      <c r="H733" s="15">
        <v>58</v>
      </c>
    </row>
    <row r="734" spans="2:8">
      <c r="B734" s="17" t="s">
        <v>6677</v>
      </c>
      <c r="C734" s="246" t="s">
        <v>1336</v>
      </c>
      <c r="D734" s="18">
        <v>0</v>
      </c>
      <c r="E734" s="18">
        <v>9</v>
      </c>
      <c r="F734" s="18">
        <v>11</v>
      </c>
      <c r="G734" s="18">
        <v>52</v>
      </c>
      <c r="H734" s="18">
        <v>58</v>
      </c>
    </row>
    <row r="735" spans="2:8">
      <c r="B735" s="14" t="s">
        <v>6678</v>
      </c>
      <c r="C735" s="245" t="s">
        <v>1337</v>
      </c>
      <c r="D735" s="15">
        <v>0</v>
      </c>
      <c r="E735" s="15">
        <v>0</v>
      </c>
      <c r="F735" s="15">
        <v>0</v>
      </c>
      <c r="G735" s="15">
        <v>0</v>
      </c>
      <c r="H735" s="15">
        <v>58</v>
      </c>
    </row>
    <row r="736" spans="2:8">
      <c r="B736" s="17" t="s">
        <v>6679</v>
      </c>
      <c r="C736" s="246" t="s">
        <v>1338</v>
      </c>
      <c r="D736" s="18">
        <v>37</v>
      </c>
      <c r="E736" s="18">
        <v>0</v>
      </c>
      <c r="F736" s="18">
        <v>0</v>
      </c>
      <c r="G736" s="18">
        <v>50</v>
      </c>
      <c r="H736" s="18">
        <v>58</v>
      </c>
    </row>
    <row r="737" spans="2:8">
      <c r="B737" s="14" t="s">
        <v>6680</v>
      </c>
      <c r="C737" s="245" t="s">
        <v>1339</v>
      </c>
      <c r="D737" s="15">
        <v>44</v>
      </c>
      <c r="E737" s="15">
        <v>0</v>
      </c>
      <c r="F737" s="15">
        <v>43</v>
      </c>
      <c r="G737" s="15">
        <v>40</v>
      </c>
      <c r="H737" s="15">
        <v>58</v>
      </c>
    </row>
    <row r="738" spans="2:8">
      <c r="B738" s="17" t="s">
        <v>6681</v>
      </c>
      <c r="C738" s="246" t="s">
        <v>1340</v>
      </c>
      <c r="D738" s="18">
        <v>0</v>
      </c>
      <c r="E738" s="18">
        <v>0</v>
      </c>
      <c r="F738" s="18">
        <v>0</v>
      </c>
      <c r="G738" s="18">
        <v>0</v>
      </c>
      <c r="H738" s="18">
        <v>58</v>
      </c>
    </row>
    <row r="739" spans="2:8">
      <c r="B739" s="14" t="s">
        <v>6682</v>
      </c>
      <c r="C739" s="245" t="s">
        <v>1341</v>
      </c>
      <c r="D739" s="15">
        <v>74</v>
      </c>
      <c r="E739" s="15">
        <v>127</v>
      </c>
      <c r="F739" s="15">
        <v>0</v>
      </c>
      <c r="G739" s="15">
        <v>65</v>
      </c>
      <c r="H739" s="15">
        <v>58</v>
      </c>
    </row>
    <row r="740" spans="2:8">
      <c r="B740" s="17" t="s">
        <v>6683</v>
      </c>
      <c r="C740" s="246" t="s">
        <v>1342</v>
      </c>
      <c r="D740" s="18">
        <v>0</v>
      </c>
      <c r="E740" s="18">
        <v>35</v>
      </c>
      <c r="F740" s="18">
        <v>82</v>
      </c>
      <c r="G740" s="18">
        <v>81</v>
      </c>
      <c r="H740" s="18">
        <v>57</v>
      </c>
    </row>
    <row r="741" spans="2:8">
      <c r="B741" s="14" t="s">
        <v>6684</v>
      </c>
      <c r="C741" s="245" t="s">
        <v>1343</v>
      </c>
      <c r="D741" s="15">
        <v>17</v>
      </c>
      <c r="E741" s="15">
        <v>0</v>
      </c>
      <c r="F741" s="15">
        <v>2</v>
      </c>
      <c r="G741" s="15">
        <v>64</v>
      </c>
      <c r="H741" s="15">
        <v>57</v>
      </c>
    </row>
    <row r="742" spans="2:8">
      <c r="B742" s="17" t="s">
        <v>6685</v>
      </c>
      <c r="C742" s="246" t="s">
        <v>1344</v>
      </c>
      <c r="D742" s="18">
        <v>97</v>
      </c>
      <c r="E742" s="18">
        <v>3</v>
      </c>
      <c r="F742" s="18">
        <v>12</v>
      </c>
      <c r="G742" s="18">
        <v>94</v>
      </c>
      <c r="H742" s="18">
        <v>57</v>
      </c>
    </row>
    <row r="743" spans="2:8">
      <c r="B743" s="14" t="s">
        <v>6686</v>
      </c>
      <c r="C743" s="245" t="s">
        <v>749</v>
      </c>
      <c r="D743" s="15">
        <v>126</v>
      </c>
      <c r="E743" s="15">
        <v>45</v>
      </c>
      <c r="F743" s="15">
        <v>60</v>
      </c>
      <c r="G743" s="15">
        <v>67</v>
      </c>
      <c r="H743" s="15">
        <v>57</v>
      </c>
    </row>
    <row r="744" spans="2:8">
      <c r="B744" s="17" t="s">
        <v>6687</v>
      </c>
      <c r="C744" s="246" t="s">
        <v>1345</v>
      </c>
      <c r="D744" s="18">
        <v>12</v>
      </c>
      <c r="E744" s="18">
        <v>17</v>
      </c>
      <c r="F744" s="18">
        <v>12</v>
      </c>
      <c r="G744" s="18">
        <v>8</v>
      </c>
      <c r="H744" s="18">
        <v>56</v>
      </c>
    </row>
    <row r="745" spans="2:8">
      <c r="B745" s="14" t="s">
        <v>6688</v>
      </c>
      <c r="C745" s="245" t="s">
        <v>1346</v>
      </c>
      <c r="D745" s="15">
        <v>12</v>
      </c>
      <c r="E745" s="15">
        <v>0</v>
      </c>
      <c r="F745" s="15">
        <v>0</v>
      </c>
      <c r="G745" s="15">
        <v>0</v>
      </c>
      <c r="H745" s="15">
        <v>56</v>
      </c>
    </row>
    <row r="746" spans="2:8">
      <c r="B746" s="17" t="s">
        <v>6689</v>
      </c>
      <c r="C746" s="246" t="s">
        <v>1300</v>
      </c>
      <c r="D746" s="18">
        <v>42</v>
      </c>
      <c r="E746" s="18">
        <v>47</v>
      </c>
      <c r="F746" s="18">
        <v>27</v>
      </c>
      <c r="G746" s="18">
        <v>49</v>
      </c>
      <c r="H746" s="18">
        <v>56</v>
      </c>
    </row>
    <row r="747" spans="2:8">
      <c r="B747" s="14" t="s">
        <v>6690</v>
      </c>
      <c r="C747" s="245" t="s">
        <v>1347</v>
      </c>
      <c r="D747" s="15">
        <v>0</v>
      </c>
      <c r="E747" s="15">
        <v>40</v>
      </c>
      <c r="F747" s="15">
        <v>6</v>
      </c>
      <c r="G747" s="15">
        <v>27</v>
      </c>
      <c r="H747" s="15">
        <v>56</v>
      </c>
    </row>
    <row r="748" spans="2:8">
      <c r="B748" s="17" t="s">
        <v>6691</v>
      </c>
      <c r="C748" s="246" t="s">
        <v>1348</v>
      </c>
      <c r="D748" s="18">
        <v>0</v>
      </c>
      <c r="E748" s="18">
        <v>0</v>
      </c>
      <c r="F748" s="18">
        <v>8</v>
      </c>
      <c r="G748" s="18">
        <v>40</v>
      </c>
      <c r="H748" s="18">
        <v>56</v>
      </c>
    </row>
    <row r="749" spans="2:8">
      <c r="B749" s="14" t="s">
        <v>6692</v>
      </c>
      <c r="C749" s="245" t="s">
        <v>1349</v>
      </c>
      <c r="D749" s="15">
        <v>0</v>
      </c>
      <c r="E749" s="15">
        <v>0</v>
      </c>
      <c r="F749" s="15">
        <v>0</v>
      </c>
      <c r="G749" s="15">
        <v>0</v>
      </c>
      <c r="H749" s="15">
        <v>55</v>
      </c>
    </row>
    <row r="750" spans="2:8">
      <c r="B750" s="17" t="s">
        <v>6693</v>
      </c>
      <c r="C750" s="246" t="s">
        <v>1350</v>
      </c>
      <c r="D750" s="18">
        <v>0</v>
      </c>
      <c r="E750" s="18">
        <v>0</v>
      </c>
      <c r="F750" s="18">
        <v>0</v>
      </c>
      <c r="G750" s="18">
        <v>0</v>
      </c>
      <c r="H750" s="18">
        <v>55</v>
      </c>
    </row>
    <row r="751" spans="2:8">
      <c r="B751" s="14" t="s">
        <v>6694</v>
      </c>
      <c r="C751" s="245" t="s">
        <v>1351</v>
      </c>
      <c r="D751" s="15">
        <v>110</v>
      </c>
      <c r="E751" s="15">
        <v>97</v>
      </c>
      <c r="F751" s="15">
        <v>36</v>
      </c>
      <c r="G751" s="15">
        <v>38</v>
      </c>
      <c r="H751" s="15">
        <v>54</v>
      </c>
    </row>
    <row r="752" spans="2:8">
      <c r="B752" s="17" t="s">
        <v>6695</v>
      </c>
      <c r="C752" s="246" t="s">
        <v>1352</v>
      </c>
      <c r="D752" s="18">
        <v>0</v>
      </c>
      <c r="E752" s="18">
        <v>10</v>
      </c>
      <c r="F752" s="18">
        <v>11</v>
      </c>
      <c r="G752" s="18">
        <v>11</v>
      </c>
      <c r="H752" s="18">
        <v>53</v>
      </c>
    </row>
    <row r="753" spans="2:8">
      <c r="B753" s="14" t="s">
        <v>6696</v>
      </c>
      <c r="C753" s="245" t="s">
        <v>1353</v>
      </c>
      <c r="D753" s="15">
        <v>24</v>
      </c>
      <c r="E753" s="15">
        <v>12</v>
      </c>
      <c r="F753" s="15">
        <v>0</v>
      </c>
      <c r="G753" s="15">
        <v>5</v>
      </c>
      <c r="H753" s="15">
        <v>53</v>
      </c>
    </row>
    <row r="754" spans="2:8">
      <c r="B754" s="17" t="s">
        <v>6697</v>
      </c>
      <c r="C754" s="246" t="s">
        <v>1354</v>
      </c>
      <c r="D754" s="18">
        <v>0</v>
      </c>
      <c r="E754" s="18">
        <v>0</v>
      </c>
      <c r="F754" s="18">
        <v>87</v>
      </c>
      <c r="G754" s="18">
        <v>54</v>
      </c>
      <c r="H754" s="18">
        <v>53</v>
      </c>
    </row>
    <row r="755" spans="2:8">
      <c r="B755" s="14" t="s">
        <v>6698</v>
      </c>
      <c r="C755" s="245" t="s">
        <v>1355</v>
      </c>
      <c r="D755" s="15">
        <v>24</v>
      </c>
      <c r="E755" s="15">
        <v>23</v>
      </c>
      <c r="F755" s="15">
        <v>12</v>
      </c>
      <c r="G755" s="15">
        <v>49</v>
      </c>
      <c r="H755" s="15">
        <v>53</v>
      </c>
    </row>
    <row r="756" spans="2:8">
      <c r="B756" s="17" t="s">
        <v>6699</v>
      </c>
      <c r="C756" s="246" t="s">
        <v>1356</v>
      </c>
      <c r="D756" s="18">
        <v>54</v>
      </c>
      <c r="E756" s="18">
        <v>32</v>
      </c>
      <c r="F756" s="18">
        <v>10</v>
      </c>
      <c r="G756" s="18">
        <v>40</v>
      </c>
      <c r="H756" s="18">
        <v>53</v>
      </c>
    </row>
    <row r="757" spans="2:8">
      <c r="B757" s="14" t="s">
        <v>6700</v>
      </c>
      <c r="C757" s="245" t="s">
        <v>1357</v>
      </c>
      <c r="D757" s="15">
        <v>0</v>
      </c>
      <c r="E757" s="15">
        <v>0</v>
      </c>
      <c r="F757" s="15">
        <v>0</v>
      </c>
      <c r="G757" s="15">
        <v>212</v>
      </c>
      <c r="H757" s="15">
        <v>52</v>
      </c>
    </row>
    <row r="758" spans="2:8">
      <c r="B758" s="17" t="s">
        <v>6701</v>
      </c>
      <c r="C758" s="246" t="s">
        <v>1358</v>
      </c>
      <c r="D758" s="18">
        <v>46</v>
      </c>
      <c r="E758" s="18">
        <v>65</v>
      </c>
      <c r="F758" s="18">
        <v>45</v>
      </c>
      <c r="G758" s="18">
        <v>77</v>
      </c>
      <c r="H758" s="18">
        <v>52</v>
      </c>
    </row>
    <row r="759" spans="2:8">
      <c r="B759" s="14" t="s">
        <v>6702</v>
      </c>
      <c r="C759" s="245" t="s">
        <v>1359</v>
      </c>
      <c r="D759" s="15">
        <v>0</v>
      </c>
      <c r="E759" s="15">
        <v>0</v>
      </c>
      <c r="F759" s="15">
        <v>0</v>
      </c>
      <c r="G759" s="15">
        <v>0</v>
      </c>
      <c r="H759" s="15">
        <v>52</v>
      </c>
    </row>
    <row r="760" spans="2:8">
      <c r="B760" s="17" t="s">
        <v>6703</v>
      </c>
      <c r="C760" s="246" t="s">
        <v>1360</v>
      </c>
      <c r="D760" s="18">
        <v>0</v>
      </c>
      <c r="E760" s="18">
        <v>0</v>
      </c>
      <c r="F760" s="18">
        <v>0</v>
      </c>
      <c r="G760" s="18">
        <v>0</v>
      </c>
      <c r="H760" s="18">
        <v>51</v>
      </c>
    </row>
    <row r="761" spans="2:8">
      <c r="B761" s="14" t="s">
        <v>6704</v>
      </c>
      <c r="C761" s="245" t="s">
        <v>1361</v>
      </c>
      <c r="D761" s="15">
        <v>22</v>
      </c>
      <c r="E761" s="15">
        <v>242</v>
      </c>
      <c r="F761" s="15">
        <v>90</v>
      </c>
      <c r="G761" s="15">
        <v>52</v>
      </c>
      <c r="H761" s="15">
        <v>51</v>
      </c>
    </row>
    <row r="762" spans="2:8">
      <c r="B762" s="17" t="s">
        <v>6705</v>
      </c>
      <c r="C762" s="246" t="s">
        <v>866</v>
      </c>
      <c r="D762" s="18">
        <v>20</v>
      </c>
      <c r="E762" s="18">
        <v>64</v>
      </c>
      <c r="F762" s="18">
        <v>22</v>
      </c>
      <c r="G762" s="18">
        <v>32</v>
      </c>
      <c r="H762" s="18">
        <v>51</v>
      </c>
    </row>
    <row r="763" spans="2:8">
      <c r="B763" s="14" t="s">
        <v>6706</v>
      </c>
      <c r="C763" s="245" t="s">
        <v>1362</v>
      </c>
      <c r="D763" s="15">
        <v>100</v>
      </c>
      <c r="E763" s="15">
        <v>22</v>
      </c>
      <c r="F763" s="15">
        <v>38</v>
      </c>
      <c r="G763" s="15">
        <v>21</v>
      </c>
      <c r="H763" s="15">
        <v>51</v>
      </c>
    </row>
    <row r="764" spans="2:8">
      <c r="B764" s="17" t="s">
        <v>6707</v>
      </c>
      <c r="C764" s="246" t="s">
        <v>1363</v>
      </c>
      <c r="D764" s="18">
        <v>0</v>
      </c>
      <c r="E764" s="18">
        <v>58</v>
      </c>
      <c r="F764" s="18">
        <v>0</v>
      </c>
      <c r="G764" s="18">
        <v>6</v>
      </c>
      <c r="H764" s="18">
        <v>51</v>
      </c>
    </row>
    <row r="765" spans="2:8">
      <c r="B765" s="14" t="s">
        <v>6708</v>
      </c>
      <c r="C765" s="245" t="s">
        <v>1364</v>
      </c>
      <c r="D765" s="15">
        <v>0</v>
      </c>
      <c r="E765" s="15">
        <v>0</v>
      </c>
      <c r="F765" s="15">
        <v>0</v>
      </c>
      <c r="G765" s="15">
        <v>0</v>
      </c>
      <c r="H765" s="15">
        <v>50</v>
      </c>
    </row>
    <row r="766" spans="2:8">
      <c r="B766" s="17" t="s">
        <v>6709</v>
      </c>
      <c r="C766" s="246" t="s">
        <v>1365</v>
      </c>
      <c r="D766" s="18">
        <v>0</v>
      </c>
      <c r="E766" s="18">
        <v>0</v>
      </c>
      <c r="F766" s="18">
        <v>0</v>
      </c>
      <c r="G766" s="18">
        <v>0</v>
      </c>
      <c r="H766" s="18">
        <v>50</v>
      </c>
    </row>
    <row r="767" spans="2:8">
      <c r="B767" s="14" t="s">
        <v>6710</v>
      </c>
      <c r="C767" s="245" t="s">
        <v>1366</v>
      </c>
      <c r="D767" s="15">
        <v>7</v>
      </c>
      <c r="E767" s="15">
        <v>13</v>
      </c>
      <c r="F767" s="15">
        <v>17</v>
      </c>
      <c r="G767" s="15">
        <v>25</v>
      </c>
      <c r="H767" s="15">
        <v>50</v>
      </c>
    </row>
    <row r="768" spans="2:8">
      <c r="B768" s="17" t="s">
        <v>6711</v>
      </c>
      <c r="C768" s="246" t="s">
        <v>1367</v>
      </c>
      <c r="D768" s="18">
        <v>69</v>
      </c>
      <c r="E768" s="18">
        <v>25</v>
      </c>
      <c r="F768" s="18">
        <v>55</v>
      </c>
      <c r="G768" s="18">
        <v>38</v>
      </c>
      <c r="H768" s="18">
        <v>50</v>
      </c>
    </row>
    <row r="769" spans="2:8">
      <c r="B769" s="14" t="s">
        <v>6712</v>
      </c>
      <c r="C769" s="245" t="s">
        <v>1368</v>
      </c>
      <c r="D769" s="15">
        <v>45</v>
      </c>
      <c r="E769" s="15">
        <v>16</v>
      </c>
      <c r="F769" s="15">
        <v>2</v>
      </c>
      <c r="G769" s="15">
        <v>19</v>
      </c>
      <c r="H769" s="15">
        <v>50</v>
      </c>
    </row>
    <row r="770" spans="2:8">
      <c r="B770" s="17" t="s">
        <v>6713</v>
      </c>
      <c r="C770" s="246" t="s">
        <v>1369</v>
      </c>
      <c r="D770" s="18">
        <v>9</v>
      </c>
      <c r="E770" s="18">
        <v>0</v>
      </c>
      <c r="F770" s="18">
        <v>43</v>
      </c>
      <c r="G770" s="18">
        <v>46</v>
      </c>
      <c r="H770" s="18">
        <v>50</v>
      </c>
    </row>
    <row r="771" spans="2:8">
      <c r="B771" s="14" t="s">
        <v>6714</v>
      </c>
      <c r="C771" s="245" t="s">
        <v>1370</v>
      </c>
      <c r="D771" s="15">
        <v>132</v>
      </c>
      <c r="E771" s="15">
        <v>116</v>
      </c>
      <c r="F771" s="15">
        <v>45</v>
      </c>
      <c r="G771" s="15">
        <v>93</v>
      </c>
      <c r="H771" s="15">
        <v>49</v>
      </c>
    </row>
    <row r="772" spans="2:8">
      <c r="B772" s="17" t="s">
        <v>6715</v>
      </c>
      <c r="C772" s="246" t="s">
        <v>1371</v>
      </c>
      <c r="D772" s="18">
        <v>0</v>
      </c>
      <c r="E772" s="18">
        <v>3</v>
      </c>
      <c r="F772" s="18">
        <v>0</v>
      </c>
      <c r="G772" s="18">
        <v>6</v>
      </c>
      <c r="H772" s="18">
        <v>48</v>
      </c>
    </row>
    <row r="773" spans="2:8">
      <c r="B773" s="14" t="s">
        <v>6716</v>
      </c>
      <c r="C773" s="245" t="s">
        <v>890</v>
      </c>
      <c r="D773" s="15">
        <v>0</v>
      </c>
      <c r="E773" s="15">
        <v>0</v>
      </c>
      <c r="F773" s="15">
        <v>0</v>
      </c>
      <c r="G773" s="15">
        <v>0</v>
      </c>
      <c r="H773" s="15">
        <v>48</v>
      </c>
    </row>
    <row r="774" spans="2:8">
      <c r="B774" s="17" t="s">
        <v>6717</v>
      </c>
      <c r="C774" s="246" t="s">
        <v>1372</v>
      </c>
      <c r="D774" s="18">
        <v>0</v>
      </c>
      <c r="E774" s="18">
        <v>10</v>
      </c>
      <c r="F774" s="18">
        <v>0</v>
      </c>
      <c r="G774" s="18">
        <v>32</v>
      </c>
      <c r="H774" s="18">
        <v>48</v>
      </c>
    </row>
    <row r="775" spans="2:8">
      <c r="B775" s="14" t="s">
        <v>6718</v>
      </c>
      <c r="C775" s="245" t="s">
        <v>1373</v>
      </c>
      <c r="D775" s="15">
        <v>191</v>
      </c>
      <c r="E775" s="15">
        <v>149</v>
      </c>
      <c r="F775" s="15">
        <v>65</v>
      </c>
      <c r="G775" s="15">
        <v>123</v>
      </c>
      <c r="H775" s="15">
        <v>47</v>
      </c>
    </row>
    <row r="776" spans="2:8">
      <c r="B776" s="17" t="s">
        <v>6719</v>
      </c>
      <c r="C776" s="246" t="s">
        <v>1374</v>
      </c>
      <c r="D776" s="18">
        <v>1</v>
      </c>
      <c r="E776" s="18">
        <v>0</v>
      </c>
      <c r="F776" s="18">
        <v>7</v>
      </c>
      <c r="G776" s="18">
        <v>27</v>
      </c>
      <c r="H776" s="18">
        <v>47</v>
      </c>
    </row>
    <row r="777" spans="2:8">
      <c r="B777" s="14" t="s">
        <v>6720</v>
      </c>
      <c r="C777" s="245" t="s">
        <v>1375</v>
      </c>
      <c r="D777" s="15">
        <v>0</v>
      </c>
      <c r="E777" s="15">
        <v>0</v>
      </c>
      <c r="F777" s="15">
        <v>0</v>
      </c>
      <c r="G777" s="15">
        <v>0</v>
      </c>
      <c r="H777" s="15">
        <v>46</v>
      </c>
    </row>
    <row r="778" spans="2:8">
      <c r="B778" s="17" t="s">
        <v>6721</v>
      </c>
      <c r="C778" s="246" t="s">
        <v>1376</v>
      </c>
      <c r="D778" s="18">
        <v>0</v>
      </c>
      <c r="E778" s="18">
        <v>0</v>
      </c>
      <c r="F778" s="18">
        <v>0</v>
      </c>
      <c r="G778" s="18">
        <v>0</v>
      </c>
      <c r="H778" s="18">
        <v>46</v>
      </c>
    </row>
    <row r="779" spans="2:8">
      <c r="B779" s="14" t="s">
        <v>6722</v>
      </c>
      <c r="C779" s="245" t="s">
        <v>1377</v>
      </c>
      <c r="D779" s="15">
        <v>0</v>
      </c>
      <c r="E779" s="15">
        <v>0</v>
      </c>
      <c r="F779" s="15">
        <v>0</v>
      </c>
      <c r="G779" s="15">
        <v>0</v>
      </c>
      <c r="H779" s="15">
        <v>45</v>
      </c>
    </row>
    <row r="780" spans="2:8">
      <c r="B780" s="17" t="s">
        <v>6723</v>
      </c>
      <c r="C780" s="246" t="s">
        <v>1378</v>
      </c>
      <c r="D780" s="18">
        <v>0</v>
      </c>
      <c r="E780" s="18">
        <v>12</v>
      </c>
      <c r="F780" s="18">
        <v>0</v>
      </c>
      <c r="G780" s="18">
        <v>2</v>
      </c>
      <c r="H780" s="18">
        <v>45</v>
      </c>
    </row>
    <row r="781" spans="2:8">
      <c r="B781" s="14" t="s">
        <v>6724</v>
      </c>
      <c r="C781" s="245" t="s">
        <v>1379</v>
      </c>
      <c r="D781" s="15">
        <v>25</v>
      </c>
      <c r="E781" s="15">
        <v>29</v>
      </c>
      <c r="F781" s="15">
        <v>36</v>
      </c>
      <c r="G781" s="15">
        <v>23</v>
      </c>
      <c r="H781" s="15">
        <v>45</v>
      </c>
    </row>
    <row r="782" spans="2:8">
      <c r="B782" s="17" t="s">
        <v>6725</v>
      </c>
      <c r="C782" s="246" t="s">
        <v>1380</v>
      </c>
      <c r="D782" s="18">
        <v>114</v>
      </c>
      <c r="E782" s="18">
        <v>68</v>
      </c>
      <c r="F782" s="18">
        <v>35</v>
      </c>
      <c r="G782" s="18">
        <v>69</v>
      </c>
      <c r="H782" s="18">
        <v>45</v>
      </c>
    </row>
    <row r="783" spans="2:8">
      <c r="B783" s="14" t="s">
        <v>6726</v>
      </c>
      <c r="C783" s="245" t="s">
        <v>1381</v>
      </c>
      <c r="D783" s="15">
        <v>24</v>
      </c>
      <c r="E783" s="15">
        <v>0</v>
      </c>
      <c r="F783" s="15">
        <v>53</v>
      </c>
      <c r="G783" s="15">
        <v>67</v>
      </c>
      <c r="H783" s="15">
        <v>45</v>
      </c>
    </row>
    <row r="784" spans="2:8">
      <c r="B784" s="17" t="s">
        <v>6727</v>
      </c>
      <c r="C784" s="246" t="s">
        <v>1382</v>
      </c>
      <c r="D784" s="18">
        <v>1</v>
      </c>
      <c r="E784" s="18">
        <v>1</v>
      </c>
      <c r="F784" s="18">
        <v>0</v>
      </c>
      <c r="G784" s="18">
        <v>0</v>
      </c>
      <c r="H784" s="18">
        <v>44</v>
      </c>
    </row>
    <row r="785" spans="2:8">
      <c r="B785" s="14" t="s">
        <v>6728</v>
      </c>
      <c r="C785" s="245" t="s">
        <v>1383</v>
      </c>
      <c r="D785" s="15">
        <v>96</v>
      </c>
      <c r="E785" s="15">
        <v>434</v>
      </c>
      <c r="F785" s="15">
        <v>173</v>
      </c>
      <c r="G785" s="15">
        <v>99</v>
      </c>
      <c r="H785" s="15">
        <v>44</v>
      </c>
    </row>
    <row r="786" spans="2:8">
      <c r="B786" s="17" t="s">
        <v>6729</v>
      </c>
      <c r="C786" s="246" t="s">
        <v>1384</v>
      </c>
      <c r="D786" s="18">
        <v>26</v>
      </c>
      <c r="E786" s="18">
        <v>25</v>
      </c>
      <c r="F786" s="18">
        <v>17</v>
      </c>
      <c r="G786" s="18">
        <v>23</v>
      </c>
      <c r="H786" s="18">
        <v>44</v>
      </c>
    </row>
    <row r="787" spans="2:8">
      <c r="B787" s="14" t="s">
        <v>6730</v>
      </c>
      <c r="C787" s="245" t="s">
        <v>1385</v>
      </c>
      <c r="D787" s="15">
        <v>1668</v>
      </c>
      <c r="E787" s="15">
        <v>2888</v>
      </c>
      <c r="F787" s="15">
        <v>437</v>
      </c>
      <c r="G787" s="15">
        <v>395</v>
      </c>
      <c r="H787" s="15">
        <v>44</v>
      </c>
    </row>
    <row r="788" spans="2:8">
      <c r="B788" s="17" t="s">
        <v>6731</v>
      </c>
      <c r="C788" s="246" t="s">
        <v>1386</v>
      </c>
      <c r="D788" s="18">
        <v>86</v>
      </c>
      <c r="E788" s="18">
        <v>176</v>
      </c>
      <c r="F788" s="18">
        <v>12</v>
      </c>
      <c r="G788" s="18">
        <v>20</v>
      </c>
      <c r="H788" s="18">
        <v>43</v>
      </c>
    </row>
    <row r="789" spans="2:8">
      <c r="B789" s="14" t="s">
        <v>6732</v>
      </c>
      <c r="C789" s="245" t="s">
        <v>1387</v>
      </c>
      <c r="D789" s="15">
        <v>16</v>
      </c>
      <c r="E789" s="15">
        <v>14</v>
      </c>
      <c r="F789" s="15">
        <v>61</v>
      </c>
      <c r="G789" s="15">
        <v>19</v>
      </c>
      <c r="H789" s="15">
        <v>43</v>
      </c>
    </row>
    <row r="790" spans="2:8">
      <c r="B790" s="17" t="s">
        <v>6733</v>
      </c>
      <c r="C790" s="246" t="s">
        <v>1388</v>
      </c>
      <c r="D790" s="18">
        <v>1697</v>
      </c>
      <c r="E790" s="18">
        <v>100</v>
      </c>
      <c r="F790" s="18">
        <v>0</v>
      </c>
      <c r="G790" s="18">
        <v>182</v>
      </c>
      <c r="H790" s="18">
        <v>43</v>
      </c>
    </row>
    <row r="791" spans="2:8">
      <c r="B791" s="14" t="s">
        <v>6734</v>
      </c>
      <c r="C791" s="245" t="s">
        <v>1389</v>
      </c>
      <c r="D791" s="15">
        <v>182</v>
      </c>
      <c r="E791" s="15">
        <v>7</v>
      </c>
      <c r="F791" s="15">
        <v>0</v>
      </c>
      <c r="G791" s="15">
        <v>0</v>
      </c>
      <c r="H791" s="15">
        <v>43</v>
      </c>
    </row>
    <row r="792" spans="2:8">
      <c r="B792" s="17" t="s">
        <v>6735</v>
      </c>
      <c r="C792" s="246" t="s">
        <v>820</v>
      </c>
      <c r="D792" s="18">
        <v>43</v>
      </c>
      <c r="E792" s="18">
        <v>13</v>
      </c>
      <c r="F792" s="18">
        <v>65</v>
      </c>
      <c r="G792" s="18">
        <v>84</v>
      </c>
      <c r="H792" s="18">
        <v>43</v>
      </c>
    </row>
    <row r="793" spans="2:8">
      <c r="B793" s="14" t="s">
        <v>6736</v>
      </c>
      <c r="C793" s="245" t="s">
        <v>1390</v>
      </c>
      <c r="D793" s="15">
        <v>66</v>
      </c>
      <c r="E793" s="15">
        <v>0</v>
      </c>
      <c r="F793" s="15">
        <v>10</v>
      </c>
      <c r="G793" s="15">
        <v>28</v>
      </c>
      <c r="H793" s="15">
        <v>43</v>
      </c>
    </row>
    <row r="794" spans="2:8">
      <c r="B794" s="17" t="s">
        <v>6737</v>
      </c>
      <c r="C794" s="246" t="s">
        <v>1391</v>
      </c>
      <c r="D794" s="18">
        <v>65</v>
      </c>
      <c r="E794" s="18">
        <v>18</v>
      </c>
      <c r="F794" s="18">
        <v>10</v>
      </c>
      <c r="G794" s="18">
        <v>315</v>
      </c>
      <c r="H794" s="18">
        <v>43</v>
      </c>
    </row>
    <row r="795" spans="2:8">
      <c r="B795" s="14" t="s">
        <v>6738</v>
      </c>
      <c r="C795" s="245" t="s">
        <v>1392</v>
      </c>
      <c r="D795" s="15">
        <v>0</v>
      </c>
      <c r="E795" s="15">
        <v>0</v>
      </c>
      <c r="F795" s="15">
        <v>50</v>
      </c>
      <c r="G795" s="15">
        <v>0</v>
      </c>
      <c r="H795" s="15">
        <v>43</v>
      </c>
    </row>
    <row r="796" spans="2:8">
      <c r="B796" s="17" t="s">
        <v>6739</v>
      </c>
      <c r="C796" s="246" t="s">
        <v>1393</v>
      </c>
      <c r="D796" s="18">
        <v>0</v>
      </c>
      <c r="E796" s="18">
        <v>0</v>
      </c>
      <c r="F796" s="18">
        <v>15</v>
      </c>
      <c r="G796" s="18">
        <v>0</v>
      </c>
      <c r="H796" s="18">
        <v>42</v>
      </c>
    </row>
    <row r="797" spans="2:8">
      <c r="B797" s="14" t="s">
        <v>6740</v>
      </c>
      <c r="C797" s="245" t="s">
        <v>1394</v>
      </c>
      <c r="D797" s="15">
        <v>0</v>
      </c>
      <c r="E797" s="15">
        <v>127</v>
      </c>
      <c r="F797" s="15">
        <v>18</v>
      </c>
      <c r="G797" s="15">
        <v>12</v>
      </c>
      <c r="H797" s="15">
        <v>40</v>
      </c>
    </row>
    <row r="798" spans="2:8">
      <c r="B798" s="17" t="s">
        <v>6741</v>
      </c>
      <c r="C798" s="246" t="s">
        <v>1395</v>
      </c>
      <c r="D798" s="18">
        <v>51</v>
      </c>
      <c r="E798" s="18">
        <v>85</v>
      </c>
      <c r="F798" s="18">
        <v>231</v>
      </c>
      <c r="G798" s="18">
        <v>67</v>
      </c>
      <c r="H798" s="18">
        <v>40</v>
      </c>
    </row>
    <row r="799" spans="2:8">
      <c r="B799" s="14" t="s">
        <v>6742</v>
      </c>
      <c r="C799" s="245" t="s">
        <v>1396</v>
      </c>
      <c r="D799" s="15">
        <v>11</v>
      </c>
      <c r="E799" s="15">
        <v>0</v>
      </c>
      <c r="F799" s="15">
        <v>25</v>
      </c>
      <c r="G799" s="15">
        <v>32</v>
      </c>
      <c r="H799" s="15">
        <v>40</v>
      </c>
    </row>
    <row r="800" spans="2:8">
      <c r="B800" s="17" t="s">
        <v>6743</v>
      </c>
      <c r="C800" s="246" t="s">
        <v>1397</v>
      </c>
      <c r="D800" s="18">
        <v>0</v>
      </c>
      <c r="E800" s="18">
        <v>0</v>
      </c>
      <c r="F800" s="18">
        <v>0</v>
      </c>
      <c r="G800" s="18">
        <v>0</v>
      </c>
      <c r="H800" s="18">
        <v>40</v>
      </c>
    </row>
    <row r="801" spans="2:8">
      <c r="B801" s="14" t="s">
        <v>6744</v>
      </c>
      <c r="C801" s="245" t="s">
        <v>1398</v>
      </c>
      <c r="D801" s="15">
        <v>138</v>
      </c>
      <c r="E801" s="15">
        <v>135</v>
      </c>
      <c r="F801" s="15">
        <v>130</v>
      </c>
      <c r="G801" s="15">
        <v>163</v>
      </c>
      <c r="H801" s="15">
        <v>40</v>
      </c>
    </row>
    <row r="802" spans="2:8">
      <c r="B802" s="17" t="s">
        <v>6745</v>
      </c>
      <c r="C802" s="246" t="s">
        <v>1399</v>
      </c>
      <c r="D802" s="18">
        <v>0</v>
      </c>
      <c r="E802" s="18">
        <v>0</v>
      </c>
      <c r="F802" s="18">
        <v>10</v>
      </c>
      <c r="G802" s="18">
        <v>10</v>
      </c>
      <c r="H802" s="18">
        <v>39</v>
      </c>
    </row>
    <row r="803" spans="2:8">
      <c r="B803" s="14" t="s">
        <v>6746</v>
      </c>
      <c r="C803" s="245" t="s">
        <v>1400</v>
      </c>
      <c r="D803" s="15">
        <v>38</v>
      </c>
      <c r="E803" s="15">
        <v>18</v>
      </c>
      <c r="F803" s="15">
        <v>26</v>
      </c>
      <c r="G803" s="15">
        <v>14</v>
      </c>
      <c r="H803" s="15">
        <v>39</v>
      </c>
    </row>
    <row r="804" spans="2:8">
      <c r="B804" s="17" t="s">
        <v>6747</v>
      </c>
      <c r="C804" s="246" t="s">
        <v>1401</v>
      </c>
      <c r="D804" s="18">
        <v>68</v>
      </c>
      <c r="E804" s="18">
        <v>31</v>
      </c>
      <c r="F804" s="18">
        <v>13</v>
      </c>
      <c r="G804" s="18">
        <v>26</v>
      </c>
      <c r="H804" s="18">
        <v>39</v>
      </c>
    </row>
    <row r="805" spans="2:8">
      <c r="B805" s="14" t="s">
        <v>6748</v>
      </c>
      <c r="C805" s="245" t="s">
        <v>1402</v>
      </c>
      <c r="D805" s="15">
        <v>56</v>
      </c>
      <c r="E805" s="15">
        <v>122</v>
      </c>
      <c r="F805" s="15">
        <v>179</v>
      </c>
      <c r="G805" s="15">
        <v>363</v>
      </c>
      <c r="H805" s="15">
        <v>39</v>
      </c>
    </row>
    <row r="806" spans="2:8">
      <c r="B806" s="17" t="s">
        <v>6749</v>
      </c>
      <c r="C806" s="246" t="s">
        <v>1403</v>
      </c>
      <c r="D806" s="18">
        <v>34</v>
      </c>
      <c r="E806" s="18">
        <v>134</v>
      </c>
      <c r="F806" s="18">
        <v>87</v>
      </c>
      <c r="G806" s="18">
        <v>14</v>
      </c>
      <c r="H806" s="18">
        <v>39</v>
      </c>
    </row>
    <row r="807" spans="2:8">
      <c r="B807" s="14" t="s">
        <v>6750</v>
      </c>
      <c r="C807" s="245" t="s">
        <v>1404</v>
      </c>
      <c r="D807" s="15">
        <v>0</v>
      </c>
      <c r="E807" s="15">
        <v>0</v>
      </c>
      <c r="F807" s="15">
        <v>0</v>
      </c>
      <c r="G807" s="15">
        <v>18</v>
      </c>
      <c r="H807" s="15">
        <v>38</v>
      </c>
    </row>
    <row r="808" spans="2:8">
      <c r="B808" s="17" t="s">
        <v>6751</v>
      </c>
      <c r="C808" s="246" t="s">
        <v>1405</v>
      </c>
      <c r="D808" s="18">
        <v>0</v>
      </c>
      <c r="E808" s="18">
        <v>1</v>
      </c>
      <c r="F808" s="18">
        <v>0</v>
      </c>
      <c r="G808" s="18">
        <v>0</v>
      </c>
      <c r="H808" s="18">
        <v>38</v>
      </c>
    </row>
    <row r="809" spans="2:8">
      <c r="B809" s="14" t="s">
        <v>6752</v>
      </c>
      <c r="C809" s="245" t="s">
        <v>1406</v>
      </c>
      <c r="D809" s="15">
        <v>0</v>
      </c>
      <c r="E809" s="15">
        <v>0</v>
      </c>
      <c r="F809" s="15">
        <v>0</v>
      </c>
      <c r="G809" s="15">
        <v>0</v>
      </c>
      <c r="H809" s="15">
        <v>38</v>
      </c>
    </row>
    <row r="810" spans="2:8">
      <c r="B810" s="17" t="s">
        <v>6753</v>
      </c>
      <c r="C810" s="246" t="s">
        <v>1407</v>
      </c>
      <c r="D810" s="18">
        <v>8</v>
      </c>
      <c r="E810" s="18">
        <v>0</v>
      </c>
      <c r="F810" s="18">
        <v>0</v>
      </c>
      <c r="G810" s="18">
        <v>0</v>
      </c>
      <c r="H810" s="18">
        <v>37</v>
      </c>
    </row>
    <row r="811" spans="2:8">
      <c r="B811" s="14" t="s">
        <v>6754</v>
      </c>
      <c r="C811" s="245" t="s">
        <v>1408</v>
      </c>
      <c r="D811" s="15">
        <v>0</v>
      </c>
      <c r="E811" s="15">
        <v>6</v>
      </c>
      <c r="F811" s="15">
        <v>15</v>
      </c>
      <c r="G811" s="15">
        <v>10</v>
      </c>
      <c r="H811" s="15">
        <v>37</v>
      </c>
    </row>
    <row r="812" spans="2:8">
      <c r="B812" s="17" t="s">
        <v>6755</v>
      </c>
      <c r="C812" s="246" t="s">
        <v>1409</v>
      </c>
      <c r="D812" s="18">
        <v>3</v>
      </c>
      <c r="E812" s="18">
        <v>0</v>
      </c>
      <c r="F812" s="18">
        <v>0</v>
      </c>
      <c r="G812" s="18">
        <v>0</v>
      </c>
      <c r="H812" s="18">
        <v>37</v>
      </c>
    </row>
    <row r="813" spans="2:8">
      <c r="B813" s="14" t="s">
        <v>6756</v>
      </c>
      <c r="C813" s="245" t="s">
        <v>1410</v>
      </c>
      <c r="D813" s="15">
        <v>186</v>
      </c>
      <c r="E813" s="15">
        <v>7</v>
      </c>
      <c r="F813" s="15">
        <v>1</v>
      </c>
      <c r="G813" s="15">
        <v>23</v>
      </c>
      <c r="H813" s="15">
        <v>37</v>
      </c>
    </row>
    <row r="814" spans="2:8">
      <c r="B814" s="17" t="s">
        <v>6757</v>
      </c>
      <c r="C814" s="246" t="s">
        <v>1411</v>
      </c>
      <c r="D814" s="18">
        <v>2</v>
      </c>
      <c r="E814" s="18">
        <v>168</v>
      </c>
      <c r="F814" s="18">
        <v>17</v>
      </c>
      <c r="G814" s="18">
        <v>6</v>
      </c>
      <c r="H814" s="18">
        <v>36</v>
      </c>
    </row>
    <row r="815" spans="2:8">
      <c r="B815" s="14" t="s">
        <v>6758</v>
      </c>
      <c r="C815" s="245" t="s">
        <v>1412</v>
      </c>
      <c r="D815" s="15">
        <v>1</v>
      </c>
      <c r="E815" s="15">
        <v>1</v>
      </c>
      <c r="F815" s="15">
        <v>0</v>
      </c>
      <c r="G815" s="15">
        <v>0</v>
      </c>
      <c r="H815" s="15">
        <v>36</v>
      </c>
    </row>
    <row r="816" spans="2:8">
      <c r="B816" s="17" t="s">
        <v>6759</v>
      </c>
      <c r="C816" s="246" t="s">
        <v>1413</v>
      </c>
      <c r="D816" s="18">
        <v>14</v>
      </c>
      <c r="E816" s="18">
        <v>9</v>
      </c>
      <c r="F816" s="18">
        <v>5</v>
      </c>
      <c r="G816" s="18">
        <v>35</v>
      </c>
      <c r="H816" s="18">
        <v>36</v>
      </c>
    </row>
    <row r="817" spans="2:8">
      <c r="B817" s="14" t="s">
        <v>6760</v>
      </c>
      <c r="C817" s="245" t="s">
        <v>1414</v>
      </c>
      <c r="D817" s="15">
        <v>166</v>
      </c>
      <c r="E817" s="15">
        <v>87</v>
      </c>
      <c r="F817" s="15">
        <v>92</v>
      </c>
      <c r="G817" s="15">
        <v>101</v>
      </c>
      <c r="H817" s="15">
        <v>36</v>
      </c>
    </row>
    <row r="818" spans="2:8">
      <c r="B818" s="17" t="s">
        <v>6761</v>
      </c>
      <c r="C818" s="246" t="s">
        <v>1415</v>
      </c>
      <c r="D818" s="18">
        <v>102</v>
      </c>
      <c r="E818" s="18">
        <v>129</v>
      </c>
      <c r="F818" s="18">
        <v>42</v>
      </c>
      <c r="G818" s="18">
        <v>39</v>
      </c>
      <c r="H818" s="18">
        <v>36</v>
      </c>
    </row>
    <row r="819" spans="2:8">
      <c r="B819" s="14" t="s">
        <v>6762</v>
      </c>
      <c r="C819" s="245" t="s">
        <v>1416</v>
      </c>
      <c r="D819" s="15">
        <v>0</v>
      </c>
      <c r="E819" s="15">
        <v>0</v>
      </c>
      <c r="F819" s="15">
        <v>5</v>
      </c>
      <c r="G819" s="15">
        <v>18</v>
      </c>
      <c r="H819" s="15">
        <v>35</v>
      </c>
    </row>
    <row r="820" spans="2:8">
      <c r="B820" s="17" t="s">
        <v>6763</v>
      </c>
      <c r="C820" s="246" t="s">
        <v>1417</v>
      </c>
      <c r="D820" s="18">
        <v>35</v>
      </c>
      <c r="E820" s="18">
        <v>77</v>
      </c>
      <c r="F820" s="18">
        <v>94</v>
      </c>
      <c r="G820" s="18">
        <v>47</v>
      </c>
      <c r="H820" s="18">
        <v>35</v>
      </c>
    </row>
    <row r="821" spans="2:8">
      <c r="B821" s="14" t="s">
        <v>6764</v>
      </c>
      <c r="C821" s="245" t="s">
        <v>1418</v>
      </c>
      <c r="D821" s="15">
        <v>111</v>
      </c>
      <c r="E821" s="15">
        <v>62</v>
      </c>
      <c r="F821" s="15">
        <v>69</v>
      </c>
      <c r="G821" s="15">
        <v>52</v>
      </c>
      <c r="H821" s="15">
        <v>35</v>
      </c>
    </row>
    <row r="822" spans="2:8">
      <c r="B822" s="17" t="s">
        <v>6765</v>
      </c>
      <c r="C822" s="246" t="s">
        <v>1419</v>
      </c>
      <c r="D822" s="18">
        <v>56</v>
      </c>
      <c r="E822" s="18">
        <v>41</v>
      </c>
      <c r="F822" s="18">
        <v>25</v>
      </c>
      <c r="G822" s="18">
        <v>0</v>
      </c>
      <c r="H822" s="18">
        <v>35</v>
      </c>
    </row>
    <row r="823" spans="2:8">
      <c r="B823" s="14" t="s">
        <v>6766</v>
      </c>
      <c r="C823" s="245" t="s">
        <v>1420</v>
      </c>
      <c r="D823" s="15">
        <v>12</v>
      </c>
      <c r="E823" s="15">
        <v>27</v>
      </c>
      <c r="F823" s="15">
        <v>7</v>
      </c>
      <c r="G823" s="15">
        <v>66</v>
      </c>
      <c r="H823" s="15">
        <v>35</v>
      </c>
    </row>
    <row r="824" spans="2:8">
      <c r="B824" s="17" t="s">
        <v>6767</v>
      </c>
      <c r="C824" s="246" t="s">
        <v>1352</v>
      </c>
      <c r="D824" s="18">
        <v>205</v>
      </c>
      <c r="E824" s="18">
        <v>295</v>
      </c>
      <c r="F824" s="18">
        <v>102</v>
      </c>
      <c r="G824" s="18">
        <v>147</v>
      </c>
      <c r="H824" s="18">
        <v>34</v>
      </c>
    </row>
    <row r="825" spans="2:8">
      <c r="B825" s="14" t="s">
        <v>6768</v>
      </c>
      <c r="C825" s="245" t="s">
        <v>1421</v>
      </c>
      <c r="D825" s="15">
        <v>45</v>
      </c>
      <c r="E825" s="15">
        <v>44</v>
      </c>
      <c r="F825" s="15">
        <v>44</v>
      </c>
      <c r="G825" s="15">
        <v>103</v>
      </c>
      <c r="H825" s="15">
        <v>34</v>
      </c>
    </row>
    <row r="826" spans="2:8">
      <c r="B826" s="17" t="s">
        <v>6769</v>
      </c>
      <c r="C826" s="246" t="s">
        <v>1422</v>
      </c>
      <c r="D826" s="18">
        <v>13</v>
      </c>
      <c r="E826" s="18">
        <v>0</v>
      </c>
      <c r="F826" s="18">
        <v>0</v>
      </c>
      <c r="G826" s="18">
        <v>5</v>
      </c>
      <c r="H826" s="18">
        <v>34</v>
      </c>
    </row>
    <row r="827" spans="2:8">
      <c r="B827" s="14" t="s">
        <v>6770</v>
      </c>
      <c r="C827" s="245" t="s">
        <v>1423</v>
      </c>
      <c r="D827" s="15">
        <v>0</v>
      </c>
      <c r="E827" s="15">
        <v>9</v>
      </c>
      <c r="F827" s="15">
        <v>13</v>
      </c>
      <c r="G827" s="15">
        <v>12</v>
      </c>
      <c r="H827" s="15">
        <v>34</v>
      </c>
    </row>
    <row r="828" spans="2:8">
      <c r="B828" s="17" t="s">
        <v>6771</v>
      </c>
      <c r="C828" s="246" t="s">
        <v>1424</v>
      </c>
      <c r="D828" s="18">
        <v>30</v>
      </c>
      <c r="E828" s="18">
        <v>43</v>
      </c>
      <c r="F828" s="18">
        <v>122</v>
      </c>
      <c r="G828" s="18">
        <v>81</v>
      </c>
      <c r="H828" s="18">
        <v>34</v>
      </c>
    </row>
    <row r="829" spans="2:8">
      <c r="B829" s="14" t="s">
        <v>6772</v>
      </c>
      <c r="C829" s="245" t="s">
        <v>1425</v>
      </c>
      <c r="D829" s="15">
        <v>65</v>
      </c>
      <c r="E829" s="15">
        <v>31</v>
      </c>
      <c r="F829" s="15">
        <v>29</v>
      </c>
      <c r="G829" s="15">
        <v>92</v>
      </c>
      <c r="H829" s="15">
        <v>33</v>
      </c>
    </row>
    <row r="830" spans="2:8">
      <c r="B830" s="17" t="s">
        <v>6773</v>
      </c>
      <c r="C830" s="246" t="s">
        <v>1426</v>
      </c>
      <c r="D830" s="18">
        <v>3</v>
      </c>
      <c r="E830" s="18">
        <v>5</v>
      </c>
      <c r="F830" s="18">
        <v>0</v>
      </c>
      <c r="G830" s="18">
        <v>0</v>
      </c>
      <c r="H830" s="18">
        <v>33</v>
      </c>
    </row>
    <row r="831" spans="2:8">
      <c r="B831" s="14" t="s">
        <v>6774</v>
      </c>
      <c r="C831" s="245" t="s">
        <v>1427</v>
      </c>
      <c r="D831" s="15">
        <v>0</v>
      </c>
      <c r="E831" s="15">
        <v>0</v>
      </c>
      <c r="F831" s="15">
        <v>0</v>
      </c>
      <c r="G831" s="15">
        <v>0</v>
      </c>
      <c r="H831" s="15">
        <v>33</v>
      </c>
    </row>
    <row r="832" spans="2:8">
      <c r="B832" s="17" t="s">
        <v>6775</v>
      </c>
      <c r="C832" s="246" t="s">
        <v>1428</v>
      </c>
      <c r="D832" s="18">
        <v>2</v>
      </c>
      <c r="E832" s="18">
        <v>3</v>
      </c>
      <c r="F832" s="18">
        <v>3</v>
      </c>
      <c r="G832" s="18">
        <v>8</v>
      </c>
      <c r="H832" s="18">
        <v>33</v>
      </c>
    </row>
    <row r="833" spans="2:8">
      <c r="B833" s="14" t="s">
        <v>6776</v>
      </c>
      <c r="C833" s="245" t="s">
        <v>1429</v>
      </c>
      <c r="D833" s="15">
        <v>0</v>
      </c>
      <c r="E833" s="15">
        <v>0</v>
      </c>
      <c r="F833" s="15">
        <v>0</v>
      </c>
      <c r="G833" s="15">
        <v>0</v>
      </c>
      <c r="H833" s="15">
        <v>33</v>
      </c>
    </row>
    <row r="834" spans="2:8">
      <c r="B834" s="17" t="s">
        <v>6777</v>
      </c>
      <c r="C834" s="246" t="s">
        <v>1430</v>
      </c>
      <c r="D834" s="18">
        <v>3</v>
      </c>
      <c r="E834" s="18">
        <v>38</v>
      </c>
      <c r="F834" s="18">
        <v>6</v>
      </c>
      <c r="G834" s="18">
        <v>0</v>
      </c>
      <c r="H834" s="18">
        <v>32</v>
      </c>
    </row>
    <row r="835" spans="2:8">
      <c r="B835" s="14" t="s">
        <v>6778</v>
      </c>
      <c r="C835" s="245" t="s">
        <v>1431</v>
      </c>
      <c r="D835" s="15">
        <v>56</v>
      </c>
      <c r="E835" s="15">
        <v>0</v>
      </c>
      <c r="F835" s="15">
        <v>100</v>
      </c>
      <c r="G835" s="15">
        <v>97</v>
      </c>
      <c r="H835" s="15">
        <v>32</v>
      </c>
    </row>
    <row r="836" spans="2:8">
      <c r="B836" s="17" t="s">
        <v>6779</v>
      </c>
      <c r="C836" s="246" t="s">
        <v>1432</v>
      </c>
      <c r="D836" s="18">
        <v>0</v>
      </c>
      <c r="E836" s="18">
        <v>0</v>
      </c>
      <c r="F836" s="18">
        <v>0</v>
      </c>
      <c r="G836" s="18">
        <v>0</v>
      </c>
      <c r="H836" s="18">
        <v>32</v>
      </c>
    </row>
    <row r="837" spans="2:8">
      <c r="B837" s="14" t="s">
        <v>6780</v>
      </c>
      <c r="C837" s="245" t="s">
        <v>1433</v>
      </c>
      <c r="D837" s="15">
        <v>0</v>
      </c>
      <c r="E837" s="15">
        <v>0</v>
      </c>
      <c r="F837" s="15">
        <v>3</v>
      </c>
      <c r="G837" s="15">
        <v>0</v>
      </c>
      <c r="H837" s="15">
        <v>32</v>
      </c>
    </row>
    <row r="838" spans="2:8">
      <c r="B838" s="17" t="s">
        <v>6781</v>
      </c>
      <c r="C838" s="246" t="s">
        <v>1434</v>
      </c>
      <c r="D838" s="18">
        <v>80</v>
      </c>
      <c r="E838" s="18">
        <v>43</v>
      </c>
      <c r="F838" s="18">
        <v>5</v>
      </c>
      <c r="G838" s="18">
        <v>108</v>
      </c>
      <c r="H838" s="18">
        <v>32</v>
      </c>
    </row>
    <row r="839" spans="2:8">
      <c r="B839" s="14" t="s">
        <v>6782</v>
      </c>
      <c r="C839" s="245" t="s">
        <v>1435</v>
      </c>
      <c r="D839" s="15">
        <v>0</v>
      </c>
      <c r="E839" s="15">
        <v>7</v>
      </c>
      <c r="F839" s="15">
        <v>21</v>
      </c>
      <c r="G839" s="15">
        <v>5</v>
      </c>
      <c r="H839" s="15">
        <v>32</v>
      </c>
    </row>
    <row r="840" spans="2:8">
      <c r="B840" s="17" t="s">
        <v>6783</v>
      </c>
      <c r="C840" s="246" t="s">
        <v>1436</v>
      </c>
      <c r="D840" s="18">
        <v>7</v>
      </c>
      <c r="E840" s="18">
        <v>0</v>
      </c>
      <c r="F840" s="18">
        <v>0</v>
      </c>
      <c r="G840" s="18">
        <v>44</v>
      </c>
      <c r="H840" s="18">
        <v>32</v>
      </c>
    </row>
    <row r="841" spans="2:8">
      <c r="B841" s="14" t="s">
        <v>6784</v>
      </c>
      <c r="C841" s="245" t="s">
        <v>1437</v>
      </c>
      <c r="D841" s="15">
        <v>0</v>
      </c>
      <c r="E841" s="15">
        <v>0</v>
      </c>
      <c r="F841" s="15">
        <v>0</v>
      </c>
      <c r="G841" s="15">
        <v>0</v>
      </c>
      <c r="H841" s="15">
        <v>31</v>
      </c>
    </row>
    <row r="842" spans="2:8">
      <c r="B842" s="17" t="s">
        <v>6785</v>
      </c>
      <c r="C842" s="246" t="s">
        <v>1438</v>
      </c>
      <c r="D842" s="18">
        <v>0</v>
      </c>
      <c r="E842" s="18">
        <v>21</v>
      </c>
      <c r="F842" s="18">
        <v>8</v>
      </c>
      <c r="G842" s="18">
        <v>37</v>
      </c>
      <c r="H842" s="18">
        <v>31</v>
      </c>
    </row>
    <row r="843" spans="2:8">
      <c r="B843" s="14" t="s">
        <v>6786</v>
      </c>
      <c r="C843" s="245" t="s">
        <v>1439</v>
      </c>
      <c r="D843" s="15">
        <v>25</v>
      </c>
      <c r="E843" s="15">
        <v>46</v>
      </c>
      <c r="F843" s="15">
        <v>18</v>
      </c>
      <c r="G843" s="15">
        <v>19</v>
      </c>
      <c r="H843" s="15">
        <v>31</v>
      </c>
    </row>
    <row r="844" spans="2:8">
      <c r="B844" s="17" t="s">
        <v>6787</v>
      </c>
      <c r="C844" s="246" t="s">
        <v>1440</v>
      </c>
      <c r="D844" s="18">
        <v>14</v>
      </c>
      <c r="E844" s="18">
        <v>56</v>
      </c>
      <c r="F844" s="18">
        <v>16</v>
      </c>
      <c r="G844" s="18">
        <v>8</v>
      </c>
      <c r="H844" s="18">
        <v>31</v>
      </c>
    </row>
    <row r="845" spans="2:8">
      <c r="B845" s="14" t="s">
        <v>6788</v>
      </c>
      <c r="C845" s="245" t="s">
        <v>1441</v>
      </c>
      <c r="D845" s="15">
        <v>0</v>
      </c>
      <c r="E845" s="15">
        <v>8</v>
      </c>
      <c r="F845" s="15">
        <v>0</v>
      </c>
      <c r="G845" s="15">
        <v>0</v>
      </c>
      <c r="H845" s="15">
        <v>31</v>
      </c>
    </row>
    <row r="846" spans="2:8">
      <c r="B846" s="17" t="s">
        <v>6789</v>
      </c>
      <c r="C846" s="246" t="s">
        <v>1442</v>
      </c>
      <c r="D846" s="18">
        <v>64</v>
      </c>
      <c r="E846" s="18">
        <v>239</v>
      </c>
      <c r="F846" s="18">
        <v>30</v>
      </c>
      <c r="G846" s="18">
        <v>105</v>
      </c>
      <c r="H846" s="18">
        <v>31</v>
      </c>
    </row>
    <row r="847" spans="2:8">
      <c r="B847" s="14" t="s">
        <v>6790</v>
      </c>
      <c r="C847" s="245" t="s">
        <v>1443</v>
      </c>
      <c r="D847" s="15">
        <v>11</v>
      </c>
      <c r="E847" s="15">
        <v>0</v>
      </c>
      <c r="F847" s="15">
        <v>0</v>
      </c>
      <c r="G847" s="15">
        <v>14</v>
      </c>
      <c r="H847" s="15">
        <v>31</v>
      </c>
    </row>
    <row r="848" spans="2:8">
      <c r="B848" s="17" t="s">
        <v>6791</v>
      </c>
      <c r="C848" s="246" t="s">
        <v>1444</v>
      </c>
      <c r="D848" s="18">
        <v>62</v>
      </c>
      <c r="E848" s="18">
        <v>41</v>
      </c>
      <c r="F848" s="18">
        <v>6</v>
      </c>
      <c r="G848" s="18">
        <v>28</v>
      </c>
      <c r="H848" s="18">
        <v>31</v>
      </c>
    </row>
    <row r="849" spans="2:8">
      <c r="B849" s="14" t="s">
        <v>6792</v>
      </c>
      <c r="C849" s="245" t="s">
        <v>1445</v>
      </c>
      <c r="D849" s="15">
        <v>5</v>
      </c>
      <c r="E849" s="15">
        <v>13</v>
      </c>
      <c r="F849" s="15">
        <v>3</v>
      </c>
      <c r="G849" s="15">
        <v>32</v>
      </c>
      <c r="H849" s="15">
        <v>30</v>
      </c>
    </row>
    <row r="850" spans="2:8">
      <c r="B850" s="17" t="s">
        <v>6793</v>
      </c>
      <c r="C850" s="246" t="s">
        <v>1446</v>
      </c>
      <c r="D850" s="18">
        <v>23</v>
      </c>
      <c r="E850" s="18">
        <v>27</v>
      </c>
      <c r="F850" s="18">
        <v>38</v>
      </c>
      <c r="G850" s="18">
        <v>80</v>
      </c>
      <c r="H850" s="18">
        <v>30</v>
      </c>
    </row>
    <row r="851" spans="2:8">
      <c r="B851" s="14" t="s">
        <v>6794</v>
      </c>
      <c r="C851" s="245" t="s">
        <v>1447</v>
      </c>
      <c r="D851" s="15">
        <v>0</v>
      </c>
      <c r="E851" s="15">
        <v>0</v>
      </c>
      <c r="F851" s="15">
        <v>0</v>
      </c>
      <c r="G851" s="15">
        <v>0</v>
      </c>
      <c r="H851" s="15">
        <v>30</v>
      </c>
    </row>
    <row r="852" spans="2:8">
      <c r="B852" s="17" t="s">
        <v>6795</v>
      </c>
      <c r="C852" s="246" t="s">
        <v>1448</v>
      </c>
      <c r="D852" s="18">
        <v>3</v>
      </c>
      <c r="E852" s="18">
        <v>5</v>
      </c>
      <c r="F852" s="18">
        <v>0</v>
      </c>
      <c r="G852" s="18">
        <v>4</v>
      </c>
      <c r="H852" s="18">
        <v>30</v>
      </c>
    </row>
    <row r="853" spans="2:8">
      <c r="B853" s="14" t="s">
        <v>6796</v>
      </c>
      <c r="C853" s="245" t="s">
        <v>1449</v>
      </c>
      <c r="D853" s="15">
        <v>0</v>
      </c>
      <c r="E853" s="15">
        <v>0</v>
      </c>
      <c r="F853" s="15">
        <v>0</v>
      </c>
      <c r="G853" s="15">
        <v>426</v>
      </c>
      <c r="H853" s="15">
        <v>30</v>
      </c>
    </row>
    <row r="854" spans="2:8">
      <c r="B854" s="17" t="s">
        <v>6797</v>
      </c>
      <c r="C854" s="246" t="s">
        <v>1450</v>
      </c>
      <c r="D854" s="18">
        <v>17</v>
      </c>
      <c r="E854" s="18">
        <v>0</v>
      </c>
      <c r="F854" s="18">
        <v>0</v>
      </c>
      <c r="G854" s="18">
        <v>0</v>
      </c>
      <c r="H854" s="18">
        <v>30</v>
      </c>
    </row>
    <row r="855" spans="2:8">
      <c r="B855" s="14" t="s">
        <v>6798</v>
      </c>
      <c r="C855" s="245" t="s">
        <v>1451</v>
      </c>
      <c r="D855" s="15">
        <v>22</v>
      </c>
      <c r="E855" s="15">
        <v>14</v>
      </c>
      <c r="F855" s="15">
        <v>0</v>
      </c>
      <c r="G855" s="15">
        <v>5</v>
      </c>
      <c r="H855" s="15">
        <v>29</v>
      </c>
    </row>
    <row r="856" spans="2:8">
      <c r="B856" s="17" t="s">
        <v>6799</v>
      </c>
      <c r="C856" s="246" t="s">
        <v>1452</v>
      </c>
      <c r="D856" s="18">
        <v>180</v>
      </c>
      <c r="E856" s="18">
        <v>7</v>
      </c>
      <c r="F856" s="18">
        <v>23</v>
      </c>
      <c r="G856" s="18">
        <v>43</v>
      </c>
      <c r="H856" s="18">
        <v>29</v>
      </c>
    </row>
    <row r="857" spans="2:8">
      <c r="B857" s="14" t="s">
        <v>6800</v>
      </c>
      <c r="C857" s="245" t="s">
        <v>1453</v>
      </c>
      <c r="D857" s="15">
        <v>0</v>
      </c>
      <c r="E857" s="15">
        <v>0</v>
      </c>
      <c r="F857" s="15">
        <v>40</v>
      </c>
      <c r="G857" s="15">
        <v>0</v>
      </c>
      <c r="H857" s="15">
        <v>29</v>
      </c>
    </row>
    <row r="858" spans="2:8">
      <c r="B858" s="17" t="s">
        <v>6801</v>
      </c>
      <c r="C858" s="246" t="s">
        <v>1454</v>
      </c>
      <c r="D858" s="18">
        <v>14</v>
      </c>
      <c r="E858" s="18">
        <v>9</v>
      </c>
      <c r="F858" s="18">
        <v>0</v>
      </c>
      <c r="G858" s="18">
        <v>73</v>
      </c>
      <c r="H858" s="18">
        <v>29</v>
      </c>
    </row>
    <row r="859" spans="2:8">
      <c r="B859" s="14" t="s">
        <v>6802</v>
      </c>
      <c r="C859" s="245" t="s">
        <v>1455</v>
      </c>
      <c r="D859" s="15">
        <v>0</v>
      </c>
      <c r="E859" s="15">
        <v>18</v>
      </c>
      <c r="F859" s="15">
        <v>14</v>
      </c>
      <c r="G859" s="15">
        <v>6</v>
      </c>
      <c r="H859" s="15">
        <v>29</v>
      </c>
    </row>
    <row r="860" spans="2:8">
      <c r="B860" s="17" t="s">
        <v>6803</v>
      </c>
      <c r="C860" s="246" t="s">
        <v>1456</v>
      </c>
      <c r="D860" s="18">
        <v>0</v>
      </c>
      <c r="E860" s="18">
        <v>13</v>
      </c>
      <c r="F860" s="18">
        <v>0</v>
      </c>
      <c r="G860" s="18">
        <v>3</v>
      </c>
      <c r="H860" s="18">
        <v>29</v>
      </c>
    </row>
    <row r="861" spans="2:8">
      <c r="B861" s="14" t="s">
        <v>6804</v>
      </c>
      <c r="C861" s="245" t="s">
        <v>1457</v>
      </c>
      <c r="D861" s="15">
        <v>0</v>
      </c>
      <c r="E861" s="15">
        <v>0</v>
      </c>
      <c r="F861" s="15">
        <v>0</v>
      </c>
      <c r="G861" s="15">
        <v>0</v>
      </c>
      <c r="H861" s="15">
        <v>29</v>
      </c>
    </row>
    <row r="862" spans="2:8">
      <c r="B862" s="17" t="s">
        <v>6805</v>
      </c>
      <c r="C862" s="246" t="s">
        <v>1458</v>
      </c>
      <c r="D862" s="18">
        <v>0</v>
      </c>
      <c r="E862" s="18">
        <v>54</v>
      </c>
      <c r="F862" s="18">
        <v>12</v>
      </c>
      <c r="G862" s="18">
        <v>0</v>
      </c>
      <c r="H862" s="18">
        <v>29</v>
      </c>
    </row>
    <row r="863" spans="2:8">
      <c r="B863" s="14" t="s">
        <v>6806</v>
      </c>
      <c r="C863" s="245" t="s">
        <v>1459</v>
      </c>
      <c r="D863" s="15">
        <v>20</v>
      </c>
      <c r="E863" s="15">
        <v>0</v>
      </c>
      <c r="F863" s="15">
        <v>0</v>
      </c>
      <c r="G863" s="15">
        <v>0</v>
      </c>
      <c r="H863" s="15">
        <v>28</v>
      </c>
    </row>
    <row r="864" spans="2:8">
      <c r="B864" s="17" t="s">
        <v>6807</v>
      </c>
      <c r="C864" s="246" t="s">
        <v>1152</v>
      </c>
      <c r="D864" s="18">
        <v>7</v>
      </c>
      <c r="E864" s="18">
        <v>1</v>
      </c>
      <c r="F864" s="18">
        <v>1</v>
      </c>
      <c r="G864" s="18">
        <v>9</v>
      </c>
      <c r="H864" s="18">
        <v>28</v>
      </c>
    </row>
    <row r="865" spans="2:8">
      <c r="B865" s="14" t="s">
        <v>6808</v>
      </c>
      <c r="C865" s="245" t="s">
        <v>1460</v>
      </c>
      <c r="D865" s="15">
        <v>66</v>
      </c>
      <c r="E865" s="15">
        <v>495</v>
      </c>
      <c r="F865" s="15">
        <v>40</v>
      </c>
      <c r="G865" s="15">
        <v>64</v>
      </c>
      <c r="H865" s="15">
        <v>28</v>
      </c>
    </row>
    <row r="866" spans="2:8">
      <c r="B866" s="17" t="s">
        <v>6809</v>
      </c>
      <c r="C866" s="246" t="s">
        <v>1461</v>
      </c>
      <c r="D866" s="18">
        <v>106</v>
      </c>
      <c r="E866" s="18">
        <v>14</v>
      </c>
      <c r="F866" s="18">
        <v>19</v>
      </c>
      <c r="G866" s="18">
        <v>21</v>
      </c>
      <c r="H866" s="18">
        <v>28</v>
      </c>
    </row>
    <row r="867" spans="2:8">
      <c r="B867" s="14" t="s">
        <v>6810</v>
      </c>
      <c r="C867" s="245" t="s">
        <v>1462</v>
      </c>
      <c r="D867" s="15">
        <v>6</v>
      </c>
      <c r="E867" s="15">
        <v>0</v>
      </c>
      <c r="F867" s="15">
        <v>0</v>
      </c>
      <c r="G867" s="15">
        <v>0</v>
      </c>
      <c r="H867" s="15">
        <v>27</v>
      </c>
    </row>
    <row r="868" spans="2:8">
      <c r="B868" s="17" t="s">
        <v>6811</v>
      </c>
      <c r="C868" s="246" t="s">
        <v>1463</v>
      </c>
      <c r="D868" s="18">
        <v>5</v>
      </c>
      <c r="E868" s="18">
        <v>8</v>
      </c>
      <c r="F868" s="18">
        <v>9</v>
      </c>
      <c r="G868" s="18">
        <v>11</v>
      </c>
      <c r="H868" s="18">
        <v>27</v>
      </c>
    </row>
    <row r="869" spans="2:8">
      <c r="B869" s="14" t="s">
        <v>6812</v>
      </c>
      <c r="C869" s="245" t="s">
        <v>1464</v>
      </c>
      <c r="D869" s="15">
        <v>7</v>
      </c>
      <c r="E869" s="15">
        <v>3</v>
      </c>
      <c r="F869" s="15">
        <v>16</v>
      </c>
      <c r="G869" s="15">
        <v>10</v>
      </c>
      <c r="H869" s="15">
        <v>27</v>
      </c>
    </row>
    <row r="870" spans="2:8">
      <c r="B870" s="17" t="s">
        <v>6813</v>
      </c>
      <c r="C870" s="246" t="s">
        <v>866</v>
      </c>
      <c r="D870" s="18">
        <v>35</v>
      </c>
      <c r="E870" s="18">
        <v>52</v>
      </c>
      <c r="F870" s="18">
        <v>48</v>
      </c>
      <c r="G870" s="18">
        <v>31</v>
      </c>
      <c r="H870" s="18">
        <v>27</v>
      </c>
    </row>
    <row r="871" spans="2:8">
      <c r="B871" s="14" t="s">
        <v>6814</v>
      </c>
      <c r="C871" s="245" t="s">
        <v>1465</v>
      </c>
      <c r="D871" s="15">
        <v>16</v>
      </c>
      <c r="E871" s="15">
        <v>8</v>
      </c>
      <c r="F871" s="15">
        <v>2</v>
      </c>
      <c r="G871" s="15">
        <v>21</v>
      </c>
      <c r="H871" s="15">
        <v>27</v>
      </c>
    </row>
    <row r="872" spans="2:8">
      <c r="B872" s="17" t="s">
        <v>6815</v>
      </c>
      <c r="C872" s="246" t="s">
        <v>1466</v>
      </c>
      <c r="D872" s="18">
        <v>22</v>
      </c>
      <c r="E872" s="18">
        <v>104</v>
      </c>
      <c r="F872" s="18">
        <v>195</v>
      </c>
      <c r="G872" s="18">
        <v>166</v>
      </c>
      <c r="H872" s="18">
        <v>27</v>
      </c>
    </row>
    <row r="873" spans="2:8">
      <c r="B873" s="14" t="s">
        <v>6816</v>
      </c>
      <c r="C873" s="245" t="s">
        <v>1467</v>
      </c>
      <c r="D873" s="15">
        <v>20</v>
      </c>
      <c r="E873" s="15">
        <v>12</v>
      </c>
      <c r="F873" s="15">
        <v>18</v>
      </c>
      <c r="G873" s="15">
        <v>27</v>
      </c>
      <c r="H873" s="15">
        <v>27</v>
      </c>
    </row>
    <row r="874" spans="2:8">
      <c r="B874" s="17" t="s">
        <v>6817</v>
      </c>
      <c r="C874" s="246" t="s">
        <v>1468</v>
      </c>
      <c r="D874" s="18">
        <v>27</v>
      </c>
      <c r="E874" s="18">
        <v>81</v>
      </c>
      <c r="F874" s="18">
        <v>22</v>
      </c>
      <c r="G874" s="18">
        <v>46</v>
      </c>
      <c r="H874" s="18">
        <v>27</v>
      </c>
    </row>
    <row r="875" spans="2:8">
      <c r="B875" s="14" t="s">
        <v>6818</v>
      </c>
      <c r="C875" s="245" t="s">
        <v>1469</v>
      </c>
      <c r="D875" s="15">
        <v>85</v>
      </c>
      <c r="E875" s="15">
        <v>8</v>
      </c>
      <c r="F875" s="15">
        <v>51</v>
      </c>
      <c r="G875" s="15">
        <v>404</v>
      </c>
      <c r="H875" s="15">
        <v>27</v>
      </c>
    </row>
    <row r="876" spans="2:8">
      <c r="B876" s="17" t="s">
        <v>6819</v>
      </c>
      <c r="C876" s="246" t="s">
        <v>990</v>
      </c>
      <c r="D876" s="18">
        <v>21</v>
      </c>
      <c r="E876" s="18">
        <v>7</v>
      </c>
      <c r="F876" s="18">
        <v>0</v>
      </c>
      <c r="G876" s="18">
        <v>21</v>
      </c>
      <c r="H876" s="18">
        <v>26</v>
      </c>
    </row>
    <row r="877" spans="2:8">
      <c r="B877" s="14" t="s">
        <v>6820</v>
      </c>
      <c r="C877" s="245" t="s">
        <v>1470</v>
      </c>
      <c r="D877" s="15">
        <v>27</v>
      </c>
      <c r="E877" s="15">
        <v>75</v>
      </c>
      <c r="F877" s="15">
        <v>48</v>
      </c>
      <c r="G877" s="15">
        <v>47</v>
      </c>
      <c r="H877" s="15">
        <v>26</v>
      </c>
    </row>
    <row r="878" spans="2:8">
      <c r="B878" s="17" t="s">
        <v>6821</v>
      </c>
      <c r="C878" s="246" t="s">
        <v>1471</v>
      </c>
      <c r="D878" s="18">
        <v>0</v>
      </c>
      <c r="E878" s="18">
        <v>2</v>
      </c>
      <c r="F878" s="18">
        <v>0</v>
      </c>
      <c r="G878" s="18">
        <v>2</v>
      </c>
      <c r="H878" s="18">
        <v>26</v>
      </c>
    </row>
    <row r="879" spans="2:8">
      <c r="B879" s="14" t="s">
        <v>6822</v>
      </c>
      <c r="C879" s="245" t="s">
        <v>1472</v>
      </c>
      <c r="D879" s="15">
        <v>17</v>
      </c>
      <c r="E879" s="15">
        <v>10</v>
      </c>
      <c r="F879" s="15">
        <v>23</v>
      </c>
      <c r="G879" s="15">
        <v>30</v>
      </c>
      <c r="H879" s="15">
        <v>26</v>
      </c>
    </row>
    <row r="880" spans="2:8">
      <c r="B880" s="17" t="s">
        <v>6823</v>
      </c>
      <c r="C880" s="246" t="s">
        <v>1473</v>
      </c>
      <c r="D880" s="18">
        <v>89</v>
      </c>
      <c r="E880" s="18">
        <v>71</v>
      </c>
      <c r="F880" s="18">
        <v>27</v>
      </c>
      <c r="G880" s="18">
        <v>57</v>
      </c>
      <c r="H880" s="18">
        <v>26</v>
      </c>
    </row>
    <row r="881" spans="2:8">
      <c r="B881" s="14" t="s">
        <v>6824</v>
      </c>
      <c r="C881" s="245" t="s">
        <v>1474</v>
      </c>
      <c r="D881" s="15">
        <v>19</v>
      </c>
      <c r="E881" s="15">
        <v>12</v>
      </c>
      <c r="F881" s="15">
        <v>18</v>
      </c>
      <c r="G881" s="15">
        <v>17</v>
      </c>
      <c r="H881" s="15">
        <v>25</v>
      </c>
    </row>
    <row r="882" spans="2:8">
      <c r="B882" s="17" t="s">
        <v>6825</v>
      </c>
      <c r="C882" s="246" t="s">
        <v>1475</v>
      </c>
      <c r="D882" s="18">
        <v>0</v>
      </c>
      <c r="E882" s="18">
        <v>0</v>
      </c>
      <c r="F882" s="18">
        <v>0</v>
      </c>
      <c r="G882" s="18">
        <v>0</v>
      </c>
      <c r="H882" s="18">
        <v>25</v>
      </c>
    </row>
    <row r="883" spans="2:8">
      <c r="B883" s="14" t="s">
        <v>6826</v>
      </c>
      <c r="C883" s="245" t="s">
        <v>1476</v>
      </c>
      <c r="D883" s="15">
        <v>5</v>
      </c>
      <c r="E883" s="15">
        <v>0</v>
      </c>
      <c r="F883" s="15">
        <v>0</v>
      </c>
      <c r="G883" s="15">
        <v>0</v>
      </c>
      <c r="H883" s="15">
        <v>25</v>
      </c>
    </row>
    <row r="884" spans="2:8">
      <c r="B884" s="17" t="s">
        <v>6827</v>
      </c>
      <c r="C884" s="246" t="s">
        <v>1477</v>
      </c>
      <c r="D884" s="18">
        <v>0</v>
      </c>
      <c r="E884" s="18">
        <v>0</v>
      </c>
      <c r="F884" s="18">
        <v>0</v>
      </c>
      <c r="G884" s="18">
        <v>0</v>
      </c>
      <c r="H884" s="18">
        <v>25</v>
      </c>
    </row>
    <row r="885" spans="2:8">
      <c r="B885" s="14" t="s">
        <v>6828</v>
      </c>
      <c r="C885" s="245" t="s">
        <v>1478</v>
      </c>
      <c r="D885" s="15">
        <v>0</v>
      </c>
      <c r="E885" s="15">
        <v>0</v>
      </c>
      <c r="F885" s="15">
        <v>0</v>
      </c>
      <c r="G885" s="15">
        <v>0</v>
      </c>
      <c r="H885" s="15">
        <v>25</v>
      </c>
    </row>
    <row r="886" spans="2:8">
      <c r="B886" s="17" t="s">
        <v>6829</v>
      </c>
      <c r="C886" s="246" t="s">
        <v>1479</v>
      </c>
      <c r="D886" s="18">
        <v>102</v>
      </c>
      <c r="E886" s="18">
        <v>70</v>
      </c>
      <c r="F886" s="18">
        <v>536</v>
      </c>
      <c r="G886" s="18">
        <v>6</v>
      </c>
      <c r="H886" s="18">
        <v>25</v>
      </c>
    </row>
    <row r="887" spans="2:8">
      <c r="B887" s="14" t="s">
        <v>6830</v>
      </c>
      <c r="C887" s="245" t="s">
        <v>1480</v>
      </c>
      <c r="D887" s="15">
        <v>50</v>
      </c>
      <c r="E887" s="15">
        <v>26</v>
      </c>
      <c r="F887" s="15">
        <v>137</v>
      </c>
      <c r="G887" s="15">
        <v>148</v>
      </c>
      <c r="H887" s="15">
        <v>24</v>
      </c>
    </row>
    <row r="888" spans="2:8">
      <c r="B888" s="17" t="s">
        <v>6831</v>
      </c>
      <c r="C888" s="246" t="s">
        <v>1481</v>
      </c>
      <c r="D888" s="18">
        <v>1</v>
      </c>
      <c r="E888" s="18">
        <v>6</v>
      </c>
      <c r="F888" s="18">
        <v>0</v>
      </c>
      <c r="G888" s="18">
        <v>0</v>
      </c>
      <c r="H888" s="18">
        <v>24</v>
      </c>
    </row>
    <row r="889" spans="2:8">
      <c r="B889" s="14" t="s">
        <v>6832</v>
      </c>
      <c r="C889" s="245" t="s">
        <v>1482</v>
      </c>
      <c r="D889" s="15">
        <v>48</v>
      </c>
      <c r="E889" s="15">
        <v>36</v>
      </c>
      <c r="F889" s="15">
        <v>46</v>
      </c>
      <c r="G889" s="15">
        <v>33</v>
      </c>
      <c r="H889" s="15">
        <v>24</v>
      </c>
    </row>
    <row r="890" spans="2:8">
      <c r="B890" s="17" t="s">
        <v>6833</v>
      </c>
      <c r="C890" s="246" t="s">
        <v>1483</v>
      </c>
      <c r="D890" s="18">
        <v>3</v>
      </c>
      <c r="E890" s="18">
        <v>0</v>
      </c>
      <c r="F890" s="18">
        <v>11</v>
      </c>
      <c r="G890" s="18">
        <v>18</v>
      </c>
      <c r="H890" s="18">
        <v>24</v>
      </c>
    </row>
    <row r="891" spans="2:8">
      <c r="B891" s="14" t="s">
        <v>6834</v>
      </c>
      <c r="C891" s="245" t="s">
        <v>1484</v>
      </c>
      <c r="D891" s="15">
        <v>9</v>
      </c>
      <c r="E891" s="15">
        <v>18</v>
      </c>
      <c r="F891" s="15">
        <v>11</v>
      </c>
      <c r="G891" s="15">
        <v>14</v>
      </c>
      <c r="H891" s="15">
        <v>24</v>
      </c>
    </row>
    <row r="892" spans="2:8">
      <c r="B892" s="17" t="s">
        <v>6835</v>
      </c>
      <c r="C892" s="246" t="s">
        <v>1485</v>
      </c>
      <c r="D892" s="18">
        <v>12</v>
      </c>
      <c r="E892" s="18">
        <v>5</v>
      </c>
      <c r="F892" s="18">
        <v>3</v>
      </c>
      <c r="G892" s="18">
        <v>0</v>
      </c>
      <c r="H892" s="18">
        <v>24</v>
      </c>
    </row>
    <row r="893" spans="2:8">
      <c r="B893" s="14" t="s">
        <v>6836</v>
      </c>
      <c r="C893" s="245" t="s">
        <v>1486</v>
      </c>
      <c r="D893" s="15">
        <v>30</v>
      </c>
      <c r="E893" s="15">
        <v>23</v>
      </c>
      <c r="F893" s="15">
        <v>16</v>
      </c>
      <c r="G893" s="15">
        <v>12</v>
      </c>
      <c r="H893" s="15">
        <v>24</v>
      </c>
    </row>
    <row r="894" spans="2:8">
      <c r="B894" s="17" t="s">
        <v>6837</v>
      </c>
      <c r="C894" s="246" t="s">
        <v>1487</v>
      </c>
      <c r="D894" s="18">
        <v>3</v>
      </c>
      <c r="E894" s="18">
        <v>0</v>
      </c>
      <c r="F894" s="18">
        <v>33</v>
      </c>
      <c r="G894" s="18">
        <v>44</v>
      </c>
      <c r="H894" s="18">
        <v>24</v>
      </c>
    </row>
    <row r="895" spans="2:8">
      <c r="B895" s="14" t="s">
        <v>6838</v>
      </c>
      <c r="C895" s="245" t="s">
        <v>1488</v>
      </c>
      <c r="D895" s="15">
        <v>0</v>
      </c>
      <c r="E895" s="15">
        <v>0</v>
      </c>
      <c r="F895" s="15">
        <v>0</v>
      </c>
      <c r="G895" s="15">
        <v>0</v>
      </c>
      <c r="H895" s="15">
        <v>23</v>
      </c>
    </row>
    <row r="896" spans="2:8">
      <c r="B896" s="17" t="s">
        <v>6839</v>
      </c>
      <c r="C896" s="246" t="s">
        <v>1489</v>
      </c>
      <c r="D896" s="18">
        <v>0</v>
      </c>
      <c r="E896" s="18">
        <v>0</v>
      </c>
      <c r="F896" s="18">
        <v>0</v>
      </c>
      <c r="G896" s="18">
        <v>0</v>
      </c>
      <c r="H896" s="18">
        <v>23</v>
      </c>
    </row>
    <row r="897" spans="2:8">
      <c r="B897" s="14" t="s">
        <v>6840</v>
      </c>
      <c r="C897" s="245" t="s">
        <v>1490</v>
      </c>
      <c r="D897" s="15">
        <v>0</v>
      </c>
      <c r="E897" s="15">
        <v>623</v>
      </c>
      <c r="F897" s="15">
        <v>402</v>
      </c>
      <c r="G897" s="15">
        <v>194</v>
      </c>
      <c r="H897" s="15">
        <v>23</v>
      </c>
    </row>
    <row r="898" spans="2:8">
      <c r="B898" s="17" t="s">
        <v>6841</v>
      </c>
      <c r="C898" s="246" t="s">
        <v>1491</v>
      </c>
      <c r="D898" s="18">
        <v>0</v>
      </c>
      <c r="E898" s="18">
        <v>0</v>
      </c>
      <c r="F898" s="18">
        <v>0</v>
      </c>
      <c r="G898" s="18">
        <v>19</v>
      </c>
      <c r="H898" s="18">
        <v>23</v>
      </c>
    </row>
    <row r="899" spans="2:8">
      <c r="B899" s="14" t="s">
        <v>6842</v>
      </c>
      <c r="C899" s="245" t="s">
        <v>1492</v>
      </c>
      <c r="D899" s="15">
        <v>4</v>
      </c>
      <c r="E899" s="15">
        <v>2</v>
      </c>
      <c r="F899" s="15">
        <v>3</v>
      </c>
      <c r="G899" s="15">
        <v>4</v>
      </c>
      <c r="H899" s="15">
        <v>23</v>
      </c>
    </row>
    <row r="900" spans="2:8">
      <c r="B900" s="17" t="s">
        <v>6843</v>
      </c>
      <c r="C900" s="246" t="s">
        <v>1493</v>
      </c>
      <c r="D900" s="18">
        <v>12</v>
      </c>
      <c r="E900" s="18">
        <v>0</v>
      </c>
      <c r="F900" s="18">
        <v>0</v>
      </c>
      <c r="G900" s="18">
        <v>0</v>
      </c>
      <c r="H900" s="18">
        <v>23</v>
      </c>
    </row>
    <row r="901" spans="2:8">
      <c r="B901" s="14" t="s">
        <v>6844</v>
      </c>
      <c r="C901" s="245" t="s">
        <v>1494</v>
      </c>
      <c r="D901" s="15">
        <v>0</v>
      </c>
      <c r="E901" s="15">
        <v>0</v>
      </c>
      <c r="F901" s="15">
        <v>0</v>
      </c>
      <c r="G901" s="15">
        <v>19</v>
      </c>
      <c r="H901" s="15">
        <v>22</v>
      </c>
    </row>
    <row r="902" spans="2:8">
      <c r="B902" s="17" t="s">
        <v>6845</v>
      </c>
      <c r="C902" s="246" t="s">
        <v>1495</v>
      </c>
      <c r="D902" s="18">
        <v>104</v>
      </c>
      <c r="E902" s="18">
        <v>46</v>
      </c>
      <c r="F902" s="18">
        <v>298</v>
      </c>
      <c r="G902" s="18">
        <v>8</v>
      </c>
      <c r="H902" s="18">
        <v>22</v>
      </c>
    </row>
    <row r="903" spans="2:8">
      <c r="B903" s="14" t="s">
        <v>6846</v>
      </c>
      <c r="C903" s="245" t="s">
        <v>1496</v>
      </c>
      <c r="D903" s="15">
        <v>8</v>
      </c>
      <c r="E903" s="15">
        <v>0</v>
      </c>
      <c r="F903" s="15">
        <v>0</v>
      </c>
      <c r="G903" s="15">
        <v>34</v>
      </c>
      <c r="H903" s="15">
        <v>21</v>
      </c>
    </row>
    <row r="904" spans="2:8">
      <c r="B904" s="17" t="s">
        <v>6847</v>
      </c>
      <c r="C904" s="246" t="s">
        <v>1497</v>
      </c>
      <c r="D904" s="18">
        <v>174</v>
      </c>
      <c r="E904" s="18">
        <v>336</v>
      </c>
      <c r="F904" s="18">
        <v>27</v>
      </c>
      <c r="G904" s="18">
        <v>93</v>
      </c>
      <c r="H904" s="18">
        <v>21</v>
      </c>
    </row>
    <row r="905" spans="2:8">
      <c r="B905" s="14" t="s">
        <v>6848</v>
      </c>
      <c r="C905" s="245" t="s">
        <v>1498</v>
      </c>
      <c r="D905" s="15">
        <v>0</v>
      </c>
      <c r="E905" s="15">
        <v>0</v>
      </c>
      <c r="F905" s="15">
        <v>0</v>
      </c>
      <c r="G905" s="15">
        <v>0</v>
      </c>
      <c r="H905" s="15">
        <v>21</v>
      </c>
    </row>
    <row r="906" spans="2:8">
      <c r="B906" s="17" t="s">
        <v>6849</v>
      </c>
      <c r="C906" s="246" t="s">
        <v>1300</v>
      </c>
      <c r="D906" s="18">
        <v>7</v>
      </c>
      <c r="E906" s="18">
        <v>14</v>
      </c>
      <c r="F906" s="18">
        <v>4</v>
      </c>
      <c r="G906" s="18">
        <v>20</v>
      </c>
      <c r="H906" s="18">
        <v>21</v>
      </c>
    </row>
    <row r="907" spans="2:8">
      <c r="B907" s="14" t="s">
        <v>6850</v>
      </c>
      <c r="C907" s="245" t="s">
        <v>1499</v>
      </c>
      <c r="D907" s="15">
        <v>22</v>
      </c>
      <c r="E907" s="15">
        <v>9</v>
      </c>
      <c r="F907" s="15">
        <v>16</v>
      </c>
      <c r="G907" s="15">
        <v>13</v>
      </c>
      <c r="H907" s="15">
        <v>21</v>
      </c>
    </row>
    <row r="908" spans="2:8">
      <c r="B908" s="17" t="s">
        <v>6851</v>
      </c>
      <c r="C908" s="246" t="s">
        <v>1500</v>
      </c>
      <c r="D908" s="18">
        <v>0</v>
      </c>
      <c r="E908" s="18">
        <v>19</v>
      </c>
      <c r="F908" s="18">
        <v>99</v>
      </c>
      <c r="G908" s="18">
        <v>165</v>
      </c>
      <c r="H908" s="18">
        <v>21</v>
      </c>
    </row>
    <row r="909" spans="2:8">
      <c r="B909" s="14" t="s">
        <v>6852</v>
      </c>
      <c r="C909" s="245" t="s">
        <v>1501</v>
      </c>
      <c r="D909" s="15">
        <v>20</v>
      </c>
      <c r="E909" s="15">
        <v>5</v>
      </c>
      <c r="F909" s="15">
        <v>0</v>
      </c>
      <c r="G909" s="15">
        <v>22</v>
      </c>
      <c r="H909" s="15">
        <v>21</v>
      </c>
    </row>
    <row r="910" spans="2:8">
      <c r="B910" s="17" t="s">
        <v>6853</v>
      </c>
      <c r="C910" s="246" t="s">
        <v>1502</v>
      </c>
      <c r="D910" s="18">
        <v>16</v>
      </c>
      <c r="E910" s="18">
        <v>21</v>
      </c>
      <c r="F910" s="18">
        <v>11</v>
      </c>
      <c r="G910" s="18">
        <v>19</v>
      </c>
      <c r="H910" s="18">
        <v>20</v>
      </c>
    </row>
    <row r="911" spans="2:8">
      <c r="B911" s="14" t="s">
        <v>6854</v>
      </c>
      <c r="C911" s="245" t="s">
        <v>1503</v>
      </c>
      <c r="D911" s="15">
        <v>8</v>
      </c>
      <c r="E911" s="15">
        <v>9</v>
      </c>
      <c r="F911" s="15">
        <v>0</v>
      </c>
      <c r="G911" s="15">
        <v>17</v>
      </c>
      <c r="H911" s="15">
        <v>20</v>
      </c>
    </row>
    <row r="912" spans="2:8">
      <c r="B912" s="17" t="s">
        <v>6855</v>
      </c>
      <c r="C912" s="246" t="s">
        <v>1504</v>
      </c>
      <c r="D912" s="18">
        <v>464</v>
      </c>
      <c r="E912" s="18">
        <v>519</v>
      </c>
      <c r="F912" s="18">
        <v>227</v>
      </c>
      <c r="G912" s="18">
        <v>165</v>
      </c>
      <c r="H912" s="18">
        <v>20</v>
      </c>
    </row>
    <row r="913" spans="2:8">
      <c r="B913" s="14" t="s">
        <v>6856</v>
      </c>
      <c r="C913" s="245" t="s">
        <v>1505</v>
      </c>
      <c r="D913" s="15">
        <v>0</v>
      </c>
      <c r="E913" s="15">
        <v>0</v>
      </c>
      <c r="F913" s="15">
        <v>0</v>
      </c>
      <c r="G913" s="15">
        <v>0</v>
      </c>
      <c r="H913" s="15">
        <v>20</v>
      </c>
    </row>
    <row r="914" spans="2:8">
      <c r="B914" s="17" t="s">
        <v>6857</v>
      </c>
      <c r="C914" s="246" t="s">
        <v>1506</v>
      </c>
      <c r="D914" s="18">
        <v>0</v>
      </c>
      <c r="E914" s="18">
        <v>0</v>
      </c>
      <c r="F914" s="18">
        <v>32</v>
      </c>
      <c r="G914" s="18">
        <v>0</v>
      </c>
      <c r="H914" s="18">
        <v>20</v>
      </c>
    </row>
    <row r="915" spans="2:8">
      <c r="B915" s="14" t="s">
        <v>6858</v>
      </c>
      <c r="C915" s="245" t="s">
        <v>1507</v>
      </c>
      <c r="D915" s="15">
        <v>19</v>
      </c>
      <c r="E915" s="15">
        <v>20</v>
      </c>
      <c r="F915" s="15">
        <v>11</v>
      </c>
      <c r="G915" s="15">
        <v>29</v>
      </c>
      <c r="H915" s="15">
        <v>20</v>
      </c>
    </row>
    <row r="916" spans="2:8">
      <c r="B916" s="17" t="s">
        <v>6859</v>
      </c>
      <c r="C916" s="246" t="s">
        <v>1508</v>
      </c>
      <c r="D916" s="18">
        <v>8</v>
      </c>
      <c r="E916" s="18">
        <v>4</v>
      </c>
      <c r="F916" s="18">
        <v>1</v>
      </c>
      <c r="G916" s="18">
        <v>16</v>
      </c>
      <c r="H916" s="18">
        <v>20</v>
      </c>
    </row>
    <row r="917" spans="2:8">
      <c r="B917" s="14" t="s">
        <v>6860</v>
      </c>
      <c r="C917" s="245" t="s">
        <v>1509</v>
      </c>
      <c r="D917" s="15">
        <v>0</v>
      </c>
      <c r="E917" s="15">
        <v>0</v>
      </c>
      <c r="F917" s="15">
        <v>0</v>
      </c>
      <c r="G917" s="15">
        <v>0</v>
      </c>
      <c r="H917" s="15">
        <v>20</v>
      </c>
    </row>
    <row r="918" spans="2:8">
      <c r="B918" s="17" t="s">
        <v>6861</v>
      </c>
      <c r="C918" s="246" t="s">
        <v>1510</v>
      </c>
      <c r="D918" s="18">
        <v>7</v>
      </c>
      <c r="E918" s="18">
        <v>11</v>
      </c>
      <c r="F918" s="18">
        <v>19</v>
      </c>
      <c r="G918" s="18">
        <v>20</v>
      </c>
      <c r="H918" s="18">
        <v>20</v>
      </c>
    </row>
    <row r="919" spans="2:8">
      <c r="B919" s="14" t="s">
        <v>6862</v>
      </c>
      <c r="C919" s="245" t="s">
        <v>1511</v>
      </c>
      <c r="D919" s="15">
        <v>0</v>
      </c>
      <c r="E919" s="15">
        <v>0</v>
      </c>
      <c r="F919" s="15">
        <v>0</v>
      </c>
      <c r="G919" s="15">
        <v>0</v>
      </c>
      <c r="H919" s="15">
        <v>19</v>
      </c>
    </row>
    <row r="920" spans="2:8">
      <c r="B920" s="17" t="s">
        <v>6863</v>
      </c>
      <c r="C920" s="246" t="s">
        <v>1512</v>
      </c>
      <c r="D920" s="18">
        <v>0</v>
      </c>
      <c r="E920" s="18">
        <v>6</v>
      </c>
      <c r="F920" s="18">
        <v>0</v>
      </c>
      <c r="G920" s="18">
        <v>6</v>
      </c>
      <c r="H920" s="18">
        <v>19</v>
      </c>
    </row>
    <row r="921" spans="2:8">
      <c r="B921" s="14" t="s">
        <v>6864</v>
      </c>
      <c r="C921" s="245" t="s">
        <v>1513</v>
      </c>
      <c r="D921" s="15">
        <v>59</v>
      </c>
      <c r="E921" s="15">
        <v>19</v>
      </c>
      <c r="F921" s="15">
        <v>5</v>
      </c>
      <c r="G921" s="15">
        <v>4</v>
      </c>
      <c r="H921" s="15">
        <v>19</v>
      </c>
    </row>
    <row r="922" spans="2:8">
      <c r="B922" s="17" t="s">
        <v>6865</v>
      </c>
      <c r="C922" s="246" t="s">
        <v>1514</v>
      </c>
      <c r="D922" s="18">
        <v>4</v>
      </c>
      <c r="E922" s="18">
        <v>6</v>
      </c>
      <c r="F922" s="18">
        <v>15</v>
      </c>
      <c r="G922" s="18">
        <v>3</v>
      </c>
      <c r="H922" s="18">
        <v>19</v>
      </c>
    </row>
    <row r="923" spans="2:8">
      <c r="B923" s="14" t="s">
        <v>6866</v>
      </c>
      <c r="C923" s="245" t="s">
        <v>1515</v>
      </c>
      <c r="D923" s="15">
        <v>6</v>
      </c>
      <c r="E923" s="15">
        <v>5</v>
      </c>
      <c r="F923" s="15">
        <v>0</v>
      </c>
      <c r="G923" s="15">
        <v>9</v>
      </c>
      <c r="H923" s="15">
        <v>19</v>
      </c>
    </row>
    <row r="924" spans="2:8">
      <c r="B924" s="17" t="s">
        <v>6867</v>
      </c>
      <c r="C924" s="246" t="s">
        <v>1516</v>
      </c>
      <c r="D924" s="18">
        <v>265</v>
      </c>
      <c r="E924" s="18">
        <v>0</v>
      </c>
      <c r="F924" s="18">
        <v>68</v>
      </c>
      <c r="G924" s="18">
        <v>0</v>
      </c>
      <c r="H924" s="18">
        <v>19</v>
      </c>
    </row>
    <row r="925" spans="2:8">
      <c r="B925" s="14" t="s">
        <v>6868</v>
      </c>
      <c r="C925" s="245" t="s">
        <v>1517</v>
      </c>
      <c r="D925" s="15">
        <v>4</v>
      </c>
      <c r="E925" s="15">
        <v>0</v>
      </c>
      <c r="F925" s="15">
        <v>0</v>
      </c>
      <c r="G925" s="15">
        <v>0</v>
      </c>
      <c r="H925" s="15">
        <v>19</v>
      </c>
    </row>
    <row r="926" spans="2:8">
      <c r="B926" s="17" t="s">
        <v>6869</v>
      </c>
      <c r="C926" s="246" t="s">
        <v>1518</v>
      </c>
      <c r="D926" s="18">
        <v>0</v>
      </c>
      <c r="E926" s="18">
        <v>73</v>
      </c>
      <c r="F926" s="18">
        <v>0</v>
      </c>
      <c r="G926" s="18">
        <v>36</v>
      </c>
      <c r="H926" s="18">
        <v>19</v>
      </c>
    </row>
    <row r="927" spans="2:8">
      <c r="B927" s="14" t="s">
        <v>6870</v>
      </c>
      <c r="C927" s="245" t="s">
        <v>1519</v>
      </c>
      <c r="D927" s="15">
        <v>0</v>
      </c>
      <c r="E927" s="15">
        <v>0</v>
      </c>
      <c r="F927" s="15">
        <v>0</v>
      </c>
      <c r="G927" s="15">
        <v>0</v>
      </c>
      <c r="H927" s="15">
        <v>19</v>
      </c>
    </row>
    <row r="928" spans="2:8">
      <c r="B928" s="17" t="s">
        <v>6871</v>
      </c>
      <c r="C928" s="246" t="s">
        <v>943</v>
      </c>
      <c r="D928" s="18">
        <v>0</v>
      </c>
      <c r="E928" s="18">
        <v>0</v>
      </c>
      <c r="F928" s="18">
        <v>0</v>
      </c>
      <c r="G928" s="18">
        <v>0</v>
      </c>
      <c r="H928" s="18">
        <v>18</v>
      </c>
    </row>
    <row r="929" spans="2:8">
      <c r="B929" s="14" t="s">
        <v>6872</v>
      </c>
      <c r="C929" s="245" t="s">
        <v>1520</v>
      </c>
      <c r="D929" s="15">
        <v>0</v>
      </c>
      <c r="E929" s="15">
        <v>0</v>
      </c>
      <c r="F929" s="15">
        <v>2</v>
      </c>
      <c r="G929" s="15">
        <v>0</v>
      </c>
      <c r="H929" s="15">
        <v>18</v>
      </c>
    </row>
    <row r="930" spans="2:8">
      <c r="B930" s="17" t="s">
        <v>6873</v>
      </c>
      <c r="C930" s="246" t="s">
        <v>1521</v>
      </c>
      <c r="D930" s="18">
        <v>57</v>
      </c>
      <c r="E930" s="18">
        <v>9</v>
      </c>
      <c r="F930" s="18">
        <v>6</v>
      </c>
      <c r="G930" s="18">
        <v>9</v>
      </c>
      <c r="H930" s="18">
        <v>18</v>
      </c>
    </row>
    <row r="931" spans="2:8">
      <c r="B931" s="14" t="s">
        <v>6874</v>
      </c>
      <c r="C931" s="245" t="s">
        <v>1522</v>
      </c>
      <c r="D931" s="15">
        <v>38</v>
      </c>
      <c r="E931" s="15">
        <v>17</v>
      </c>
      <c r="F931" s="15">
        <v>19</v>
      </c>
      <c r="G931" s="15">
        <v>53</v>
      </c>
      <c r="H931" s="15">
        <v>17</v>
      </c>
    </row>
    <row r="932" spans="2:8">
      <c r="B932" s="17" t="s">
        <v>6875</v>
      </c>
      <c r="C932" s="246" t="s">
        <v>1523</v>
      </c>
      <c r="D932" s="18">
        <v>6</v>
      </c>
      <c r="E932" s="18">
        <v>13</v>
      </c>
      <c r="F932" s="18">
        <v>8</v>
      </c>
      <c r="G932" s="18">
        <v>5</v>
      </c>
      <c r="H932" s="18">
        <v>17</v>
      </c>
    </row>
    <row r="933" spans="2:8">
      <c r="B933" s="14" t="s">
        <v>6876</v>
      </c>
      <c r="C933" s="245" t="s">
        <v>1524</v>
      </c>
      <c r="D933" s="15">
        <v>0</v>
      </c>
      <c r="E933" s="15">
        <v>0</v>
      </c>
      <c r="F933" s="15">
        <v>139</v>
      </c>
      <c r="G933" s="15">
        <v>24</v>
      </c>
      <c r="H933" s="15">
        <v>17</v>
      </c>
    </row>
    <row r="934" spans="2:8">
      <c r="B934" s="17" t="s">
        <v>6877</v>
      </c>
      <c r="C934" s="246" t="s">
        <v>1525</v>
      </c>
      <c r="D934" s="18">
        <v>19</v>
      </c>
      <c r="E934" s="18">
        <v>10</v>
      </c>
      <c r="F934" s="18">
        <v>28</v>
      </c>
      <c r="G934" s="18">
        <v>10</v>
      </c>
      <c r="H934" s="18">
        <v>17</v>
      </c>
    </row>
    <row r="935" spans="2:8">
      <c r="B935" s="14" t="s">
        <v>6878</v>
      </c>
      <c r="C935" s="245" t="s">
        <v>1526</v>
      </c>
      <c r="D935" s="15">
        <v>40</v>
      </c>
      <c r="E935" s="15">
        <v>34</v>
      </c>
      <c r="F935" s="15">
        <v>13</v>
      </c>
      <c r="G935" s="15">
        <v>42</v>
      </c>
      <c r="H935" s="15">
        <v>17</v>
      </c>
    </row>
    <row r="936" spans="2:8">
      <c r="B936" s="17" t="s">
        <v>6879</v>
      </c>
      <c r="C936" s="246" t="s">
        <v>1527</v>
      </c>
      <c r="D936" s="18">
        <v>0</v>
      </c>
      <c r="E936" s="18">
        <v>0</v>
      </c>
      <c r="F936" s="18">
        <v>0</v>
      </c>
      <c r="G936" s="18">
        <v>11</v>
      </c>
      <c r="H936" s="18">
        <v>17</v>
      </c>
    </row>
    <row r="937" spans="2:8">
      <c r="B937" s="14" t="s">
        <v>6880</v>
      </c>
      <c r="C937" s="245" t="s">
        <v>1528</v>
      </c>
      <c r="D937" s="15">
        <v>0</v>
      </c>
      <c r="E937" s="15">
        <v>2</v>
      </c>
      <c r="F937" s="15">
        <v>5</v>
      </c>
      <c r="G937" s="15">
        <v>11</v>
      </c>
      <c r="H937" s="15">
        <v>17</v>
      </c>
    </row>
    <row r="938" spans="2:8">
      <c r="B938" s="17" t="s">
        <v>6881</v>
      </c>
      <c r="C938" s="246" t="s">
        <v>1529</v>
      </c>
      <c r="D938" s="18">
        <v>15</v>
      </c>
      <c r="E938" s="18">
        <v>36</v>
      </c>
      <c r="F938" s="18">
        <v>17</v>
      </c>
      <c r="G938" s="18">
        <v>42</v>
      </c>
      <c r="H938" s="18">
        <v>17</v>
      </c>
    </row>
    <row r="939" spans="2:8">
      <c r="B939" s="14" t="s">
        <v>6882</v>
      </c>
      <c r="C939" s="245" t="s">
        <v>1530</v>
      </c>
      <c r="D939" s="15">
        <v>0</v>
      </c>
      <c r="E939" s="15">
        <v>0</v>
      </c>
      <c r="F939" s="15">
        <v>17</v>
      </c>
      <c r="G939" s="15">
        <v>4</v>
      </c>
      <c r="H939" s="15">
        <v>16</v>
      </c>
    </row>
    <row r="940" spans="2:8">
      <c r="B940" s="17" t="s">
        <v>6883</v>
      </c>
      <c r="C940" s="246" t="s">
        <v>1531</v>
      </c>
      <c r="D940" s="18">
        <v>399</v>
      </c>
      <c r="E940" s="18">
        <v>35</v>
      </c>
      <c r="F940" s="18">
        <v>8</v>
      </c>
      <c r="G940" s="18">
        <v>31</v>
      </c>
      <c r="H940" s="18">
        <v>16</v>
      </c>
    </row>
    <row r="941" spans="2:8">
      <c r="B941" s="14" t="s">
        <v>6884</v>
      </c>
      <c r="C941" s="245" t="s">
        <v>1532</v>
      </c>
      <c r="D941" s="15">
        <v>12</v>
      </c>
      <c r="E941" s="15">
        <v>0</v>
      </c>
      <c r="F941" s="15">
        <v>7</v>
      </c>
      <c r="G941" s="15">
        <v>39</v>
      </c>
      <c r="H941" s="15">
        <v>16</v>
      </c>
    </row>
    <row r="942" spans="2:8">
      <c r="B942" s="17" t="s">
        <v>6885</v>
      </c>
      <c r="C942" s="246" t="s">
        <v>1533</v>
      </c>
      <c r="D942" s="18">
        <v>0</v>
      </c>
      <c r="E942" s="18">
        <v>0</v>
      </c>
      <c r="F942" s="18">
        <v>0</v>
      </c>
      <c r="G942" s="18">
        <v>95</v>
      </c>
      <c r="H942" s="18">
        <v>16</v>
      </c>
    </row>
    <row r="943" spans="2:8">
      <c r="B943" s="14" t="s">
        <v>6886</v>
      </c>
      <c r="C943" s="245" t="s">
        <v>1534</v>
      </c>
      <c r="D943" s="15">
        <v>0</v>
      </c>
      <c r="E943" s="15">
        <v>0</v>
      </c>
      <c r="F943" s="15">
        <v>4</v>
      </c>
      <c r="G943" s="15">
        <v>0</v>
      </c>
      <c r="H943" s="15">
        <v>16</v>
      </c>
    </row>
    <row r="944" spans="2:8">
      <c r="B944" s="17" t="s">
        <v>6887</v>
      </c>
      <c r="C944" s="246" t="s">
        <v>1374</v>
      </c>
      <c r="D944" s="18">
        <v>69</v>
      </c>
      <c r="E944" s="18">
        <v>2</v>
      </c>
      <c r="F944" s="18">
        <v>5</v>
      </c>
      <c r="G944" s="18">
        <v>18</v>
      </c>
      <c r="H944" s="18">
        <v>16</v>
      </c>
    </row>
    <row r="945" spans="2:8">
      <c r="B945" s="14" t="s">
        <v>6888</v>
      </c>
      <c r="C945" s="245" t="s">
        <v>1535</v>
      </c>
      <c r="D945" s="15">
        <v>31</v>
      </c>
      <c r="E945" s="15">
        <v>11</v>
      </c>
      <c r="F945" s="15">
        <v>24</v>
      </c>
      <c r="G945" s="15">
        <v>29</v>
      </c>
      <c r="H945" s="15">
        <v>16</v>
      </c>
    </row>
    <row r="946" spans="2:8">
      <c r="B946" s="17" t="s">
        <v>6889</v>
      </c>
      <c r="C946" s="246" t="s">
        <v>1536</v>
      </c>
      <c r="D946" s="18">
        <v>0</v>
      </c>
      <c r="E946" s="18">
        <v>0</v>
      </c>
      <c r="F946" s="18">
        <v>5</v>
      </c>
      <c r="G946" s="18">
        <v>29</v>
      </c>
      <c r="H946" s="18">
        <v>15</v>
      </c>
    </row>
    <row r="947" spans="2:8">
      <c r="B947" s="14" t="s">
        <v>6890</v>
      </c>
      <c r="C947" s="245" t="s">
        <v>1537</v>
      </c>
      <c r="D947" s="15">
        <v>0</v>
      </c>
      <c r="E947" s="15">
        <v>5</v>
      </c>
      <c r="F947" s="15">
        <v>17</v>
      </c>
      <c r="G947" s="15">
        <v>0</v>
      </c>
      <c r="H947" s="15">
        <v>15</v>
      </c>
    </row>
    <row r="948" spans="2:8">
      <c r="B948" s="17" t="s">
        <v>6891</v>
      </c>
      <c r="C948" s="246" t="s">
        <v>1538</v>
      </c>
      <c r="D948" s="18">
        <v>65</v>
      </c>
      <c r="E948" s="18">
        <v>30</v>
      </c>
      <c r="F948" s="18">
        <v>42</v>
      </c>
      <c r="G948" s="18">
        <v>61</v>
      </c>
      <c r="H948" s="18">
        <v>15</v>
      </c>
    </row>
    <row r="949" spans="2:8">
      <c r="B949" s="14" t="s">
        <v>6892</v>
      </c>
      <c r="C949" s="245" t="s">
        <v>1539</v>
      </c>
      <c r="D949" s="15">
        <v>3</v>
      </c>
      <c r="E949" s="15">
        <v>0</v>
      </c>
      <c r="F949" s="15">
        <v>0</v>
      </c>
      <c r="G949" s="15">
        <v>0</v>
      </c>
      <c r="H949" s="15">
        <v>15</v>
      </c>
    </row>
    <row r="950" spans="2:8">
      <c r="B950" s="17" t="s">
        <v>6893</v>
      </c>
      <c r="C950" s="246" t="s">
        <v>1540</v>
      </c>
      <c r="D950" s="18">
        <v>0</v>
      </c>
      <c r="E950" s="18">
        <v>0</v>
      </c>
      <c r="F950" s="18">
        <v>0</v>
      </c>
      <c r="G950" s="18">
        <v>8</v>
      </c>
      <c r="H950" s="18">
        <v>15</v>
      </c>
    </row>
    <row r="951" spans="2:8">
      <c r="B951" s="14" t="s">
        <v>6894</v>
      </c>
      <c r="C951" s="245" t="s">
        <v>1541</v>
      </c>
      <c r="D951" s="15">
        <v>36</v>
      </c>
      <c r="E951" s="15">
        <v>18</v>
      </c>
      <c r="F951" s="15">
        <v>16</v>
      </c>
      <c r="G951" s="15">
        <v>8</v>
      </c>
      <c r="H951" s="15">
        <v>15</v>
      </c>
    </row>
    <row r="952" spans="2:8">
      <c r="B952" s="17" t="s">
        <v>6895</v>
      </c>
      <c r="C952" s="246" t="s">
        <v>1542</v>
      </c>
      <c r="D952" s="18">
        <v>0</v>
      </c>
      <c r="E952" s="18">
        <v>0</v>
      </c>
      <c r="F952" s="18">
        <v>0</v>
      </c>
      <c r="G952" s="18">
        <v>0</v>
      </c>
      <c r="H952" s="18">
        <v>15</v>
      </c>
    </row>
    <row r="953" spans="2:8">
      <c r="B953" s="14" t="s">
        <v>6896</v>
      </c>
      <c r="C953" s="245" t="s">
        <v>1543</v>
      </c>
      <c r="D953" s="15">
        <v>0</v>
      </c>
      <c r="E953" s="15">
        <v>0</v>
      </c>
      <c r="F953" s="15">
        <v>0</v>
      </c>
      <c r="G953" s="15">
        <v>0</v>
      </c>
      <c r="H953" s="15">
        <v>15</v>
      </c>
    </row>
    <row r="954" spans="2:8">
      <c r="B954" s="17" t="s">
        <v>6897</v>
      </c>
      <c r="C954" s="246" t="s">
        <v>1544</v>
      </c>
      <c r="D954" s="18">
        <v>9</v>
      </c>
      <c r="E954" s="18">
        <v>15</v>
      </c>
      <c r="F954" s="18">
        <v>15</v>
      </c>
      <c r="G954" s="18">
        <v>11</v>
      </c>
      <c r="H954" s="18">
        <v>15</v>
      </c>
    </row>
    <row r="955" spans="2:8">
      <c r="B955" s="14" t="s">
        <v>6898</v>
      </c>
      <c r="C955" s="245" t="s">
        <v>1545</v>
      </c>
      <c r="D955" s="15">
        <v>8</v>
      </c>
      <c r="E955" s="15">
        <v>64</v>
      </c>
      <c r="F955" s="15">
        <v>9</v>
      </c>
      <c r="G955" s="15">
        <v>0</v>
      </c>
      <c r="H955" s="15">
        <v>15</v>
      </c>
    </row>
    <row r="956" spans="2:8">
      <c r="B956" s="17" t="s">
        <v>6899</v>
      </c>
      <c r="C956" s="246" t="s">
        <v>1546</v>
      </c>
      <c r="D956" s="18">
        <v>0</v>
      </c>
      <c r="E956" s="18">
        <v>19</v>
      </c>
      <c r="F956" s="18">
        <v>12</v>
      </c>
      <c r="G956" s="18">
        <v>12</v>
      </c>
      <c r="H956" s="18">
        <v>14</v>
      </c>
    </row>
    <row r="957" spans="2:8">
      <c r="B957" s="14" t="s">
        <v>6900</v>
      </c>
      <c r="C957" s="245" t="s">
        <v>1547</v>
      </c>
      <c r="D957" s="15">
        <v>0</v>
      </c>
      <c r="E957" s="15">
        <v>4</v>
      </c>
      <c r="F957" s="15">
        <v>11</v>
      </c>
      <c r="G957" s="15">
        <v>12</v>
      </c>
      <c r="H957" s="15">
        <v>14</v>
      </c>
    </row>
    <row r="958" spans="2:8">
      <c r="B958" s="17" t="s">
        <v>6901</v>
      </c>
      <c r="C958" s="246" t="s">
        <v>1548</v>
      </c>
      <c r="D958" s="18">
        <v>5</v>
      </c>
      <c r="E958" s="18">
        <v>9</v>
      </c>
      <c r="F958" s="18">
        <v>13</v>
      </c>
      <c r="G958" s="18">
        <v>28</v>
      </c>
      <c r="H958" s="18">
        <v>14</v>
      </c>
    </row>
    <row r="959" spans="2:8">
      <c r="B959" s="14" t="s">
        <v>6902</v>
      </c>
      <c r="C959" s="245" t="s">
        <v>1549</v>
      </c>
      <c r="D959" s="15">
        <v>9</v>
      </c>
      <c r="E959" s="15">
        <v>0</v>
      </c>
      <c r="F959" s="15">
        <v>0</v>
      </c>
      <c r="G959" s="15">
        <v>0</v>
      </c>
      <c r="H959" s="15">
        <v>14</v>
      </c>
    </row>
    <row r="960" spans="2:8">
      <c r="B960" s="17" t="s">
        <v>6903</v>
      </c>
      <c r="C960" s="246" t="s">
        <v>1550</v>
      </c>
      <c r="D960" s="18">
        <v>0</v>
      </c>
      <c r="E960" s="18">
        <v>10</v>
      </c>
      <c r="F960" s="18">
        <v>0</v>
      </c>
      <c r="G960" s="18">
        <v>18</v>
      </c>
      <c r="H960" s="18">
        <v>14</v>
      </c>
    </row>
    <row r="961" spans="2:8">
      <c r="B961" s="14" t="s">
        <v>6904</v>
      </c>
      <c r="C961" s="245" t="s">
        <v>1551</v>
      </c>
      <c r="D961" s="15">
        <v>8</v>
      </c>
      <c r="E961" s="15">
        <v>7</v>
      </c>
      <c r="F961" s="15">
        <v>12</v>
      </c>
      <c r="G961" s="15">
        <v>6</v>
      </c>
      <c r="H961" s="15">
        <v>14</v>
      </c>
    </row>
    <row r="962" spans="2:8">
      <c r="B962" s="17" t="s">
        <v>6905</v>
      </c>
      <c r="C962" s="246" t="s">
        <v>1552</v>
      </c>
      <c r="D962" s="18">
        <v>0</v>
      </c>
      <c r="E962" s="18">
        <v>0</v>
      </c>
      <c r="F962" s="18">
        <v>0</v>
      </c>
      <c r="G962" s="18">
        <v>11</v>
      </c>
      <c r="H962" s="18">
        <v>14</v>
      </c>
    </row>
    <row r="963" spans="2:8">
      <c r="B963" s="14" t="s">
        <v>6906</v>
      </c>
      <c r="C963" s="245" t="s">
        <v>1553</v>
      </c>
      <c r="D963" s="15">
        <v>0</v>
      </c>
      <c r="E963" s="15">
        <v>0</v>
      </c>
      <c r="F963" s="15">
        <v>0</v>
      </c>
      <c r="G963" s="15">
        <v>0</v>
      </c>
      <c r="H963" s="15">
        <v>14</v>
      </c>
    </row>
    <row r="964" spans="2:8">
      <c r="B964" s="17" t="s">
        <v>6907</v>
      </c>
      <c r="C964" s="246" t="s">
        <v>1554</v>
      </c>
      <c r="D964" s="18">
        <v>12</v>
      </c>
      <c r="E964" s="18">
        <v>3</v>
      </c>
      <c r="F964" s="18">
        <v>20</v>
      </c>
      <c r="G964" s="18">
        <v>10</v>
      </c>
      <c r="H964" s="18">
        <v>14</v>
      </c>
    </row>
    <row r="965" spans="2:8">
      <c r="B965" s="14" t="s">
        <v>6908</v>
      </c>
      <c r="C965" s="245" t="s">
        <v>1555</v>
      </c>
      <c r="D965" s="15">
        <v>0</v>
      </c>
      <c r="E965" s="15">
        <v>0</v>
      </c>
      <c r="F965" s="15">
        <v>0</v>
      </c>
      <c r="G965" s="15">
        <v>0</v>
      </c>
      <c r="H965" s="15">
        <v>14</v>
      </c>
    </row>
    <row r="966" spans="2:8">
      <c r="B966" s="17" t="s">
        <v>6909</v>
      </c>
      <c r="C966" s="246" t="s">
        <v>1556</v>
      </c>
      <c r="D966" s="18">
        <v>0</v>
      </c>
      <c r="E966" s="18">
        <v>0</v>
      </c>
      <c r="F966" s="18">
        <v>0</v>
      </c>
      <c r="G966" s="18">
        <v>3</v>
      </c>
      <c r="H966" s="18">
        <v>14</v>
      </c>
    </row>
    <row r="967" spans="2:8">
      <c r="B967" s="14" t="s">
        <v>6910</v>
      </c>
      <c r="C967" s="245" t="s">
        <v>1557</v>
      </c>
      <c r="D967" s="15">
        <v>0</v>
      </c>
      <c r="E967" s="15">
        <v>0</v>
      </c>
      <c r="F967" s="15">
        <v>0</v>
      </c>
      <c r="G967" s="15">
        <v>10</v>
      </c>
      <c r="H967" s="15">
        <v>14</v>
      </c>
    </row>
    <row r="968" spans="2:8">
      <c r="B968" s="17" t="s">
        <v>6911</v>
      </c>
      <c r="C968" s="246" t="s">
        <v>1558</v>
      </c>
      <c r="D968" s="18">
        <v>38</v>
      </c>
      <c r="E968" s="18">
        <v>14</v>
      </c>
      <c r="F968" s="18">
        <v>33</v>
      </c>
      <c r="G968" s="18">
        <v>17</v>
      </c>
      <c r="H968" s="18">
        <v>14</v>
      </c>
    </row>
    <row r="969" spans="2:8">
      <c r="B969" s="14" t="s">
        <v>6912</v>
      </c>
      <c r="C969" s="245" t="s">
        <v>1559</v>
      </c>
      <c r="D969" s="15">
        <v>0</v>
      </c>
      <c r="E969" s="15">
        <v>11</v>
      </c>
      <c r="F969" s="15">
        <v>0</v>
      </c>
      <c r="G969" s="15">
        <v>0</v>
      </c>
      <c r="H969" s="15">
        <v>14</v>
      </c>
    </row>
    <row r="970" spans="2:8">
      <c r="B970" s="17" t="s">
        <v>6913</v>
      </c>
      <c r="C970" s="246" t="s">
        <v>1560</v>
      </c>
      <c r="D970" s="18">
        <v>10</v>
      </c>
      <c r="E970" s="18">
        <v>6</v>
      </c>
      <c r="F970" s="18">
        <v>12</v>
      </c>
      <c r="G970" s="18">
        <v>17</v>
      </c>
      <c r="H970" s="18">
        <v>13</v>
      </c>
    </row>
    <row r="971" spans="2:8">
      <c r="B971" s="14" t="s">
        <v>6914</v>
      </c>
      <c r="C971" s="245" t="s">
        <v>1561</v>
      </c>
      <c r="D971" s="15">
        <v>0</v>
      </c>
      <c r="E971" s="15">
        <v>5</v>
      </c>
      <c r="F971" s="15">
        <v>0</v>
      </c>
      <c r="G971" s="15">
        <v>16</v>
      </c>
      <c r="H971" s="15">
        <v>13</v>
      </c>
    </row>
    <row r="972" spans="2:8">
      <c r="B972" s="17" t="s">
        <v>6915</v>
      </c>
      <c r="C972" s="246" t="s">
        <v>1562</v>
      </c>
      <c r="D972" s="18">
        <v>48</v>
      </c>
      <c r="E972" s="18">
        <v>4</v>
      </c>
      <c r="F972" s="18">
        <v>8</v>
      </c>
      <c r="G972" s="18">
        <v>9</v>
      </c>
      <c r="H972" s="18">
        <v>13</v>
      </c>
    </row>
    <row r="973" spans="2:8">
      <c r="B973" s="14" t="s">
        <v>6916</v>
      </c>
      <c r="C973" s="245" t="s">
        <v>1563</v>
      </c>
      <c r="D973" s="15">
        <v>0</v>
      </c>
      <c r="E973" s="15">
        <v>0</v>
      </c>
      <c r="F973" s="15">
        <v>0</v>
      </c>
      <c r="G973" s="15">
        <v>0</v>
      </c>
      <c r="H973" s="15">
        <v>13</v>
      </c>
    </row>
    <row r="974" spans="2:8">
      <c r="B974" s="17" t="s">
        <v>6917</v>
      </c>
      <c r="C974" s="246" t="s">
        <v>1564</v>
      </c>
      <c r="D974" s="18">
        <v>4</v>
      </c>
      <c r="E974" s="18">
        <v>11</v>
      </c>
      <c r="F974" s="18">
        <v>0</v>
      </c>
      <c r="G974" s="18">
        <v>8</v>
      </c>
      <c r="H974" s="18">
        <v>13</v>
      </c>
    </row>
    <row r="975" spans="2:8">
      <c r="B975" s="14" t="s">
        <v>6918</v>
      </c>
      <c r="C975" s="245" t="s">
        <v>1565</v>
      </c>
      <c r="D975" s="15">
        <v>45</v>
      </c>
      <c r="E975" s="15">
        <v>179</v>
      </c>
      <c r="F975" s="15">
        <v>17</v>
      </c>
      <c r="G975" s="15">
        <v>12</v>
      </c>
      <c r="H975" s="15">
        <v>13</v>
      </c>
    </row>
    <row r="976" spans="2:8">
      <c r="B976" s="17" t="s">
        <v>6919</v>
      </c>
      <c r="C976" s="246" t="s">
        <v>1566</v>
      </c>
      <c r="D976" s="18">
        <v>55</v>
      </c>
      <c r="E976" s="18">
        <v>0</v>
      </c>
      <c r="F976" s="18">
        <v>16</v>
      </c>
      <c r="G976" s="18">
        <v>0</v>
      </c>
      <c r="H976" s="18">
        <v>13</v>
      </c>
    </row>
    <row r="977" spans="2:8">
      <c r="B977" s="14" t="s">
        <v>6920</v>
      </c>
      <c r="C977" s="245" t="s">
        <v>1567</v>
      </c>
      <c r="D977" s="15">
        <v>0</v>
      </c>
      <c r="E977" s="15">
        <v>0</v>
      </c>
      <c r="F977" s="15">
        <v>0</v>
      </c>
      <c r="G977" s="15">
        <v>0</v>
      </c>
      <c r="H977" s="15">
        <v>13</v>
      </c>
    </row>
    <row r="978" spans="2:8">
      <c r="B978" s="17" t="s">
        <v>6921</v>
      </c>
      <c r="C978" s="246" t="s">
        <v>1568</v>
      </c>
      <c r="D978" s="18">
        <v>15</v>
      </c>
      <c r="E978" s="18">
        <v>31</v>
      </c>
      <c r="F978" s="18">
        <v>12</v>
      </c>
      <c r="G978" s="18">
        <v>30</v>
      </c>
      <c r="H978" s="18">
        <v>13</v>
      </c>
    </row>
    <row r="979" spans="2:8">
      <c r="B979" s="14" t="s">
        <v>6922</v>
      </c>
      <c r="C979" s="245" t="s">
        <v>1569</v>
      </c>
      <c r="D979" s="15">
        <v>0</v>
      </c>
      <c r="E979" s="15">
        <v>1</v>
      </c>
      <c r="F979" s="15">
        <v>4</v>
      </c>
      <c r="G979" s="15">
        <v>8</v>
      </c>
      <c r="H979" s="15">
        <v>13</v>
      </c>
    </row>
    <row r="980" spans="2:8">
      <c r="B980" s="17" t="s">
        <v>6923</v>
      </c>
      <c r="C980" s="246" t="s">
        <v>1570</v>
      </c>
      <c r="D980" s="18">
        <v>0</v>
      </c>
      <c r="E980" s="18">
        <v>4</v>
      </c>
      <c r="F980" s="18">
        <v>0</v>
      </c>
      <c r="G980" s="18">
        <v>0</v>
      </c>
      <c r="H980" s="18">
        <v>13</v>
      </c>
    </row>
    <row r="981" spans="2:8">
      <c r="B981" s="14" t="s">
        <v>6924</v>
      </c>
      <c r="C981" s="245" t="s">
        <v>1571</v>
      </c>
      <c r="D981" s="15">
        <v>0</v>
      </c>
      <c r="E981" s="15">
        <v>0</v>
      </c>
      <c r="F981" s="15">
        <v>0</v>
      </c>
      <c r="G981" s="15">
        <v>3</v>
      </c>
      <c r="H981" s="15">
        <v>13</v>
      </c>
    </row>
    <row r="982" spans="2:8">
      <c r="B982" s="17" t="s">
        <v>6925</v>
      </c>
      <c r="C982" s="246" t="s">
        <v>1572</v>
      </c>
      <c r="D982" s="18">
        <v>45</v>
      </c>
      <c r="E982" s="18">
        <v>43</v>
      </c>
      <c r="F982" s="18">
        <v>21</v>
      </c>
      <c r="G982" s="18">
        <v>27</v>
      </c>
      <c r="H982" s="18">
        <v>13</v>
      </c>
    </row>
    <row r="983" spans="2:8">
      <c r="B983" s="14" t="s">
        <v>6926</v>
      </c>
      <c r="C983" s="245" t="s">
        <v>1573</v>
      </c>
      <c r="D983" s="15">
        <v>0</v>
      </c>
      <c r="E983" s="15">
        <v>0</v>
      </c>
      <c r="F983" s="15">
        <v>0</v>
      </c>
      <c r="G983" s="15">
        <v>0</v>
      </c>
      <c r="H983" s="15">
        <v>13</v>
      </c>
    </row>
    <row r="984" spans="2:8">
      <c r="B984" s="17" t="s">
        <v>6927</v>
      </c>
      <c r="C984" s="246" t="s">
        <v>1574</v>
      </c>
      <c r="D984" s="18">
        <v>1</v>
      </c>
      <c r="E984" s="18">
        <v>22</v>
      </c>
      <c r="F984" s="18">
        <v>0</v>
      </c>
      <c r="G984" s="18">
        <v>0</v>
      </c>
      <c r="H984" s="18">
        <v>13</v>
      </c>
    </row>
    <row r="985" spans="2:8">
      <c r="B985" s="14" t="s">
        <v>6928</v>
      </c>
      <c r="C985" s="245" t="s">
        <v>1284</v>
      </c>
      <c r="D985" s="15">
        <v>25</v>
      </c>
      <c r="E985" s="15">
        <v>2</v>
      </c>
      <c r="F985" s="15">
        <v>13</v>
      </c>
      <c r="G985" s="15">
        <v>24</v>
      </c>
      <c r="H985" s="15">
        <v>12</v>
      </c>
    </row>
    <row r="986" spans="2:8">
      <c r="B986" s="17" t="s">
        <v>6929</v>
      </c>
      <c r="C986" s="246" t="s">
        <v>1575</v>
      </c>
      <c r="D986" s="18">
        <v>81</v>
      </c>
      <c r="E986" s="18">
        <v>115</v>
      </c>
      <c r="F986" s="18">
        <v>0</v>
      </c>
      <c r="G986" s="18">
        <v>135</v>
      </c>
      <c r="H986" s="18">
        <v>12</v>
      </c>
    </row>
    <row r="987" spans="2:8">
      <c r="B987" s="14" t="s">
        <v>6930</v>
      </c>
      <c r="C987" s="245" t="s">
        <v>1576</v>
      </c>
      <c r="D987" s="15">
        <v>0</v>
      </c>
      <c r="E987" s="15">
        <v>71</v>
      </c>
      <c r="F987" s="15">
        <v>77</v>
      </c>
      <c r="G987" s="15">
        <v>0</v>
      </c>
      <c r="H987" s="15">
        <v>12</v>
      </c>
    </row>
    <row r="988" spans="2:8">
      <c r="B988" s="17" t="s">
        <v>6931</v>
      </c>
      <c r="C988" s="246" t="s">
        <v>1577</v>
      </c>
      <c r="D988" s="18">
        <v>6</v>
      </c>
      <c r="E988" s="18">
        <v>11</v>
      </c>
      <c r="F988" s="18">
        <v>36</v>
      </c>
      <c r="G988" s="18">
        <v>20</v>
      </c>
      <c r="H988" s="18">
        <v>12</v>
      </c>
    </row>
    <row r="989" spans="2:8">
      <c r="B989" s="14" t="s">
        <v>6932</v>
      </c>
      <c r="C989" s="245" t="s">
        <v>1578</v>
      </c>
      <c r="D989" s="15">
        <v>4</v>
      </c>
      <c r="E989" s="15">
        <v>0</v>
      </c>
      <c r="F989" s="15">
        <v>0</v>
      </c>
      <c r="G989" s="15">
        <v>0</v>
      </c>
      <c r="H989" s="15">
        <v>12</v>
      </c>
    </row>
    <row r="990" spans="2:8">
      <c r="B990" s="17" t="s">
        <v>6933</v>
      </c>
      <c r="C990" s="246" t="s">
        <v>1579</v>
      </c>
      <c r="D990" s="18">
        <v>0</v>
      </c>
      <c r="E990" s="18">
        <v>0</v>
      </c>
      <c r="F990" s="18">
        <v>0</v>
      </c>
      <c r="G990" s="18">
        <v>7</v>
      </c>
      <c r="H990" s="18">
        <v>12</v>
      </c>
    </row>
    <row r="991" spans="2:8">
      <c r="B991" s="14" t="s">
        <v>6934</v>
      </c>
      <c r="C991" s="245" t="s">
        <v>1580</v>
      </c>
      <c r="D991" s="15">
        <v>73</v>
      </c>
      <c r="E991" s="15">
        <v>2</v>
      </c>
      <c r="F991" s="15">
        <v>5</v>
      </c>
      <c r="G991" s="15">
        <v>4</v>
      </c>
      <c r="H991" s="15">
        <v>12</v>
      </c>
    </row>
    <row r="992" spans="2:8">
      <c r="B992" s="17" t="s">
        <v>6935</v>
      </c>
      <c r="C992" s="246" t="s">
        <v>1581</v>
      </c>
      <c r="D992" s="18">
        <v>0</v>
      </c>
      <c r="E992" s="18">
        <v>0</v>
      </c>
      <c r="F992" s="18">
        <v>0</v>
      </c>
      <c r="G992" s="18">
        <v>0</v>
      </c>
      <c r="H992" s="18">
        <v>12</v>
      </c>
    </row>
    <row r="993" spans="2:8">
      <c r="B993" s="14" t="s">
        <v>6936</v>
      </c>
      <c r="C993" s="245" t="s">
        <v>1582</v>
      </c>
      <c r="D993" s="15">
        <v>0</v>
      </c>
      <c r="E993" s="15">
        <v>0</v>
      </c>
      <c r="F993" s="15">
        <v>0</v>
      </c>
      <c r="G993" s="15">
        <v>0</v>
      </c>
      <c r="H993" s="15">
        <v>12</v>
      </c>
    </row>
    <row r="994" spans="2:8">
      <c r="B994" s="17" t="s">
        <v>6937</v>
      </c>
      <c r="C994" s="246" t="s">
        <v>1583</v>
      </c>
      <c r="D994" s="18">
        <v>66</v>
      </c>
      <c r="E994" s="18">
        <v>28</v>
      </c>
      <c r="F994" s="18">
        <v>9</v>
      </c>
      <c r="G994" s="18">
        <v>17</v>
      </c>
      <c r="H994" s="18">
        <v>12</v>
      </c>
    </row>
    <row r="995" spans="2:8">
      <c r="B995" s="14" t="s">
        <v>6938</v>
      </c>
      <c r="C995" s="245" t="s">
        <v>1584</v>
      </c>
      <c r="D995" s="15">
        <v>26</v>
      </c>
      <c r="E995" s="15">
        <v>12</v>
      </c>
      <c r="F995" s="15">
        <v>20</v>
      </c>
      <c r="G995" s="15">
        <v>5</v>
      </c>
      <c r="H995" s="15">
        <v>12</v>
      </c>
    </row>
    <row r="996" spans="2:8">
      <c r="B996" s="17" t="s">
        <v>6939</v>
      </c>
      <c r="C996" s="246" t="s">
        <v>1585</v>
      </c>
      <c r="D996" s="18">
        <v>0</v>
      </c>
      <c r="E996" s="18">
        <v>0</v>
      </c>
      <c r="F996" s="18">
        <v>0</v>
      </c>
      <c r="G996" s="18">
        <v>0</v>
      </c>
      <c r="H996" s="18">
        <v>11</v>
      </c>
    </row>
    <row r="997" spans="2:8">
      <c r="B997" s="14" t="s">
        <v>6940</v>
      </c>
      <c r="C997" s="245" t="s">
        <v>1586</v>
      </c>
      <c r="D997" s="15">
        <v>0</v>
      </c>
      <c r="E997" s="15">
        <v>0</v>
      </c>
      <c r="F997" s="15">
        <v>0</v>
      </c>
      <c r="G997" s="15">
        <v>0</v>
      </c>
      <c r="H997" s="15">
        <v>11</v>
      </c>
    </row>
    <row r="998" spans="2:8">
      <c r="B998" s="17" t="s">
        <v>6941</v>
      </c>
      <c r="C998" s="246" t="s">
        <v>1587</v>
      </c>
      <c r="D998" s="18">
        <v>0</v>
      </c>
      <c r="E998" s="18">
        <v>0</v>
      </c>
      <c r="F998" s="18">
        <v>0</v>
      </c>
      <c r="G998" s="18">
        <v>0</v>
      </c>
      <c r="H998" s="18">
        <v>11</v>
      </c>
    </row>
    <row r="999" spans="2:8">
      <c r="B999" s="14" t="s">
        <v>6942</v>
      </c>
      <c r="C999" s="245" t="s">
        <v>757</v>
      </c>
      <c r="D999" s="15">
        <v>30</v>
      </c>
      <c r="E999" s="15">
        <v>92</v>
      </c>
      <c r="F999" s="15">
        <v>4</v>
      </c>
      <c r="G999" s="15">
        <v>0</v>
      </c>
      <c r="H999" s="15">
        <v>11</v>
      </c>
    </row>
    <row r="1000" spans="2:8">
      <c r="B1000" s="17" t="s">
        <v>6943</v>
      </c>
      <c r="C1000" s="246" t="s">
        <v>1588</v>
      </c>
      <c r="D1000" s="18">
        <v>4</v>
      </c>
      <c r="E1000" s="18">
        <v>0</v>
      </c>
      <c r="F1000" s="18">
        <v>0</v>
      </c>
      <c r="G1000" s="18">
        <v>0</v>
      </c>
      <c r="H1000" s="18">
        <v>11</v>
      </c>
    </row>
    <row r="1001" spans="2:8">
      <c r="B1001" s="14" t="s">
        <v>6944</v>
      </c>
      <c r="C1001" s="245" t="s">
        <v>1589</v>
      </c>
      <c r="D1001" s="15">
        <v>0</v>
      </c>
      <c r="E1001" s="15">
        <v>0</v>
      </c>
      <c r="F1001" s="15">
        <v>0</v>
      </c>
      <c r="G1001" s="15">
        <v>0</v>
      </c>
      <c r="H1001" s="15">
        <v>11</v>
      </c>
    </row>
    <row r="1002" spans="2:8">
      <c r="B1002" s="17" t="s">
        <v>6945</v>
      </c>
      <c r="C1002" s="246" t="s">
        <v>1590</v>
      </c>
      <c r="D1002" s="18">
        <v>0</v>
      </c>
      <c r="E1002" s="18">
        <v>8</v>
      </c>
      <c r="F1002" s="18">
        <v>1</v>
      </c>
      <c r="G1002" s="18">
        <v>1</v>
      </c>
      <c r="H1002" s="18">
        <v>11</v>
      </c>
    </row>
    <row r="1003" spans="2:8">
      <c r="B1003" s="14" t="s">
        <v>6946</v>
      </c>
      <c r="C1003" s="245" t="s">
        <v>1591</v>
      </c>
      <c r="D1003" s="15">
        <v>3</v>
      </c>
      <c r="E1003" s="15">
        <v>11</v>
      </c>
      <c r="F1003" s="15">
        <v>2</v>
      </c>
      <c r="G1003" s="15">
        <v>4</v>
      </c>
      <c r="H1003" s="15">
        <v>11</v>
      </c>
    </row>
    <row r="1004" spans="2:8">
      <c r="B1004" s="17" t="s">
        <v>6947</v>
      </c>
      <c r="C1004" s="246" t="s">
        <v>1592</v>
      </c>
      <c r="D1004" s="18">
        <v>0</v>
      </c>
      <c r="E1004" s="18">
        <v>0</v>
      </c>
      <c r="F1004" s="18">
        <v>0</v>
      </c>
      <c r="G1004" s="18">
        <v>6</v>
      </c>
      <c r="H1004" s="18">
        <v>11</v>
      </c>
    </row>
    <row r="1005" spans="2:8">
      <c r="B1005" s="14" t="s">
        <v>6948</v>
      </c>
      <c r="C1005" s="245" t="s">
        <v>1593</v>
      </c>
      <c r="D1005" s="15">
        <v>0</v>
      </c>
      <c r="E1005" s="15">
        <v>0</v>
      </c>
      <c r="F1005" s="15">
        <v>0</v>
      </c>
      <c r="G1005" s="15">
        <v>0</v>
      </c>
      <c r="H1005" s="15">
        <v>11</v>
      </c>
    </row>
    <row r="1006" spans="2:8">
      <c r="B1006" s="17" t="s">
        <v>6949</v>
      </c>
      <c r="C1006" s="246" t="s">
        <v>1594</v>
      </c>
      <c r="D1006" s="18">
        <v>41</v>
      </c>
      <c r="E1006" s="18">
        <v>28</v>
      </c>
      <c r="F1006" s="18">
        <v>12</v>
      </c>
      <c r="G1006" s="18">
        <v>18</v>
      </c>
      <c r="H1006" s="18">
        <v>11</v>
      </c>
    </row>
    <row r="1007" spans="2:8">
      <c r="B1007" s="14" t="s">
        <v>6950</v>
      </c>
      <c r="C1007" s="245" t="s">
        <v>1595</v>
      </c>
      <c r="D1007" s="15">
        <v>8</v>
      </c>
      <c r="E1007" s="15">
        <v>0</v>
      </c>
      <c r="F1007" s="15">
        <v>0</v>
      </c>
      <c r="G1007" s="15">
        <v>0</v>
      </c>
      <c r="H1007" s="15">
        <v>11</v>
      </c>
    </row>
    <row r="1008" spans="2:8">
      <c r="B1008" s="17" t="s">
        <v>6951</v>
      </c>
      <c r="C1008" s="246" t="s">
        <v>1596</v>
      </c>
      <c r="D1008" s="18">
        <v>0</v>
      </c>
      <c r="E1008" s="18">
        <v>10</v>
      </c>
      <c r="F1008" s="18">
        <v>0</v>
      </c>
      <c r="G1008" s="18">
        <v>0</v>
      </c>
      <c r="H1008" s="18">
        <v>11</v>
      </c>
    </row>
    <row r="1009" spans="2:8">
      <c r="B1009" s="14" t="s">
        <v>6952</v>
      </c>
      <c r="C1009" s="245" t="s">
        <v>1597</v>
      </c>
      <c r="D1009" s="15">
        <v>0</v>
      </c>
      <c r="E1009" s="15">
        <v>3</v>
      </c>
      <c r="F1009" s="15">
        <v>0</v>
      </c>
      <c r="G1009" s="15">
        <v>0</v>
      </c>
      <c r="H1009" s="15">
        <v>11</v>
      </c>
    </row>
    <row r="1010" spans="2:8">
      <c r="B1010" s="17" t="s">
        <v>6953</v>
      </c>
      <c r="C1010" s="246" t="s">
        <v>1598</v>
      </c>
      <c r="D1010" s="18">
        <v>3</v>
      </c>
      <c r="E1010" s="18">
        <v>3</v>
      </c>
      <c r="F1010" s="18">
        <v>5</v>
      </c>
      <c r="G1010" s="18">
        <v>14</v>
      </c>
      <c r="H1010" s="18">
        <v>11</v>
      </c>
    </row>
    <row r="1011" spans="2:8">
      <c r="B1011" s="14" t="s">
        <v>6954</v>
      </c>
      <c r="C1011" s="245" t="s">
        <v>1599</v>
      </c>
      <c r="D1011" s="15">
        <v>0</v>
      </c>
      <c r="E1011" s="15">
        <v>14</v>
      </c>
      <c r="F1011" s="15">
        <v>0</v>
      </c>
      <c r="G1011" s="15">
        <v>11</v>
      </c>
      <c r="H1011" s="15">
        <v>11</v>
      </c>
    </row>
    <row r="1012" spans="2:8">
      <c r="B1012" s="17" t="s">
        <v>6955</v>
      </c>
      <c r="C1012" s="246" t="s">
        <v>1600</v>
      </c>
      <c r="D1012" s="18">
        <v>39</v>
      </c>
      <c r="E1012" s="18">
        <v>0</v>
      </c>
      <c r="F1012" s="18">
        <v>7</v>
      </c>
      <c r="G1012" s="18">
        <v>0</v>
      </c>
      <c r="H1012" s="18">
        <v>11</v>
      </c>
    </row>
    <row r="1013" spans="2:8">
      <c r="B1013" s="14" t="s">
        <v>6956</v>
      </c>
      <c r="C1013" s="245" t="s">
        <v>1601</v>
      </c>
      <c r="D1013" s="15">
        <v>2</v>
      </c>
      <c r="E1013" s="15">
        <v>0</v>
      </c>
      <c r="F1013" s="15">
        <v>0</v>
      </c>
      <c r="G1013" s="15">
        <v>0</v>
      </c>
      <c r="H1013" s="15">
        <v>11</v>
      </c>
    </row>
    <row r="1014" spans="2:8">
      <c r="B1014" s="17" t="s">
        <v>6957</v>
      </c>
      <c r="C1014" s="246" t="s">
        <v>1602</v>
      </c>
      <c r="D1014" s="18">
        <v>1</v>
      </c>
      <c r="E1014" s="18">
        <v>4</v>
      </c>
      <c r="F1014" s="18">
        <v>0</v>
      </c>
      <c r="G1014" s="18">
        <v>2</v>
      </c>
      <c r="H1014" s="18">
        <v>10</v>
      </c>
    </row>
    <row r="1015" spans="2:8">
      <c r="B1015" s="14" t="s">
        <v>6958</v>
      </c>
      <c r="C1015" s="245" t="s">
        <v>1603</v>
      </c>
      <c r="D1015" s="15">
        <v>63</v>
      </c>
      <c r="E1015" s="15">
        <v>41</v>
      </c>
      <c r="F1015" s="15">
        <v>17</v>
      </c>
      <c r="G1015" s="15">
        <v>17</v>
      </c>
      <c r="H1015" s="15">
        <v>10</v>
      </c>
    </row>
    <row r="1016" spans="2:8">
      <c r="B1016" s="17" t="s">
        <v>6959</v>
      </c>
      <c r="C1016" s="246" t="s">
        <v>1604</v>
      </c>
      <c r="D1016" s="18">
        <v>4</v>
      </c>
      <c r="E1016" s="18">
        <v>0</v>
      </c>
      <c r="F1016" s="18">
        <v>0</v>
      </c>
      <c r="G1016" s="18">
        <v>0</v>
      </c>
      <c r="H1016" s="18">
        <v>10</v>
      </c>
    </row>
    <row r="1017" spans="2:8">
      <c r="B1017" s="14" t="s">
        <v>6960</v>
      </c>
      <c r="C1017" s="245" t="s">
        <v>1605</v>
      </c>
      <c r="D1017" s="15">
        <v>18</v>
      </c>
      <c r="E1017" s="15">
        <v>1</v>
      </c>
      <c r="F1017" s="15">
        <v>1</v>
      </c>
      <c r="G1017" s="15">
        <v>1</v>
      </c>
      <c r="H1017" s="15">
        <v>10</v>
      </c>
    </row>
    <row r="1018" spans="2:8">
      <c r="B1018" s="17" t="s">
        <v>6961</v>
      </c>
      <c r="C1018" s="246" t="s">
        <v>1606</v>
      </c>
      <c r="D1018" s="18">
        <v>16</v>
      </c>
      <c r="E1018" s="18">
        <v>8</v>
      </c>
      <c r="F1018" s="18">
        <v>150</v>
      </c>
      <c r="G1018" s="18">
        <v>13</v>
      </c>
      <c r="H1018" s="18">
        <v>10</v>
      </c>
    </row>
    <row r="1019" spans="2:8">
      <c r="B1019" s="14" t="s">
        <v>6962</v>
      </c>
      <c r="C1019" s="245" t="s">
        <v>1607</v>
      </c>
      <c r="D1019" s="15">
        <v>0</v>
      </c>
      <c r="E1019" s="15">
        <v>0</v>
      </c>
      <c r="F1019" s="15">
        <v>0</v>
      </c>
      <c r="G1019" s="15">
        <v>0</v>
      </c>
      <c r="H1019" s="15">
        <v>10</v>
      </c>
    </row>
    <row r="1020" spans="2:8">
      <c r="B1020" s="17" t="s">
        <v>6963</v>
      </c>
      <c r="C1020" s="246" t="s">
        <v>1608</v>
      </c>
      <c r="D1020" s="18">
        <v>0</v>
      </c>
      <c r="E1020" s="18">
        <v>14</v>
      </c>
      <c r="F1020" s="18">
        <v>5</v>
      </c>
      <c r="G1020" s="18">
        <v>0</v>
      </c>
      <c r="H1020" s="18">
        <v>10</v>
      </c>
    </row>
    <row r="1021" spans="2:8">
      <c r="B1021" s="14" t="s">
        <v>6964</v>
      </c>
      <c r="C1021" s="245" t="s">
        <v>1609</v>
      </c>
      <c r="D1021" s="15">
        <v>0</v>
      </c>
      <c r="E1021" s="15">
        <v>0</v>
      </c>
      <c r="F1021" s="15">
        <v>15</v>
      </c>
      <c r="G1021" s="15">
        <v>5</v>
      </c>
      <c r="H1021" s="15">
        <v>10</v>
      </c>
    </row>
    <row r="1022" spans="2:8">
      <c r="B1022" s="17" t="s">
        <v>6965</v>
      </c>
      <c r="C1022" s="246" t="s">
        <v>1610</v>
      </c>
      <c r="D1022" s="18">
        <v>21</v>
      </c>
      <c r="E1022" s="18">
        <v>19</v>
      </c>
      <c r="F1022" s="18">
        <v>1</v>
      </c>
      <c r="G1022" s="18">
        <v>0</v>
      </c>
      <c r="H1022" s="18">
        <v>10</v>
      </c>
    </row>
    <row r="1023" spans="2:8">
      <c r="B1023" s="14" t="s">
        <v>6966</v>
      </c>
      <c r="C1023" s="245" t="s">
        <v>1611</v>
      </c>
      <c r="D1023" s="15">
        <v>0</v>
      </c>
      <c r="E1023" s="15">
        <v>0</v>
      </c>
      <c r="F1023" s="15">
        <v>0</v>
      </c>
      <c r="G1023" s="15">
        <v>5</v>
      </c>
      <c r="H1023" s="15">
        <v>10</v>
      </c>
    </row>
    <row r="1024" spans="2:8">
      <c r="B1024" s="17" t="s">
        <v>6967</v>
      </c>
      <c r="C1024" s="246" t="s">
        <v>1612</v>
      </c>
      <c r="D1024" s="18">
        <v>0</v>
      </c>
      <c r="E1024" s="18">
        <v>32</v>
      </c>
      <c r="F1024" s="18">
        <v>0</v>
      </c>
      <c r="G1024" s="18">
        <v>0</v>
      </c>
      <c r="H1024" s="18">
        <v>10</v>
      </c>
    </row>
    <row r="1025" spans="2:8">
      <c r="B1025" s="14" t="s">
        <v>6968</v>
      </c>
      <c r="C1025" s="245" t="s">
        <v>1613</v>
      </c>
      <c r="D1025" s="15">
        <v>0</v>
      </c>
      <c r="E1025" s="15">
        <v>0</v>
      </c>
      <c r="F1025" s="15">
        <v>0</v>
      </c>
      <c r="G1025" s="15">
        <v>42</v>
      </c>
      <c r="H1025" s="15">
        <v>10</v>
      </c>
    </row>
    <row r="1026" spans="2:8">
      <c r="B1026" s="17" t="s">
        <v>6969</v>
      </c>
      <c r="C1026" s="246" t="s">
        <v>1614</v>
      </c>
      <c r="D1026" s="18">
        <v>0</v>
      </c>
      <c r="E1026" s="18">
        <v>0</v>
      </c>
      <c r="F1026" s="18">
        <v>0</v>
      </c>
      <c r="G1026" s="18">
        <v>0</v>
      </c>
      <c r="H1026" s="18">
        <v>10</v>
      </c>
    </row>
    <row r="1027" spans="2:8">
      <c r="B1027" s="14" t="s">
        <v>6970</v>
      </c>
      <c r="C1027" s="245" t="s">
        <v>1615</v>
      </c>
      <c r="D1027" s="15">
        <v>61</v>
      </c>
      <c r="E1027" s="15">
        <v>0</v>
      </c>
      <c r="F1027" s="15">
        <v>14</v>
      </c>
      <c r="G1027" s="15">
        <v>0</v>
      </c>
      <c r="H1027" s="15">
        <v>10</v>
      </c>
    </row>
    <row r="1028" spans="2:8">
      <c r="B1028" s="17" t="s">
        <v>6971</v>
      </c>
      <c r="C1028" s="246" t="s">
        <v>1616</v>
      </c>
      <c r="D1028" s="18">
        <v>1</v>
      </c>
      <c r="E1028" s="18">
        <v>0</v>
      </c>
      <c r="F1028" s="18">
        <v>0</v>
      </c>
      <c r="G1028" s="18">
        <v>0</v>
      </c>
      <c r="H1028" s="18">
        <v>9</v>
      </c>
    </row>
    <row r="1029" spans="2:8">
      <c r="B1029" s="14" t="s">
        <v>6972</v>
      </c>
      <c r="C1029" s="245" t="s">
        <v>1617</v>
      </c>
      <c r="D1029" s="15">
        <v>0</v>
      </c>
      <c r="E1029" s="15">
        <v>16</v>
      </c>
      <c r="F1029" s="15">
        <v>0</v>
      </c>
      <c r="G1029" s="15">
        <v>0</v>
      </c>
      <c r="H1029" s="15">
        <v>9</v>
      </c>
    </row>
    <row r="1030" spans="2:8">
      <c r="B1030" s="17" t="s">
        <v>6973</v>
      </c>
      <c r="C1030" s="246" t="s">
        <v>1618</v>
      </c>
      <c r="D1030" s="18">
        <v>4</v>
      </c>
      <c r="E1030" s="18">
        <v>0</v>
      </c>
      <c r="F1030" s="18">
        <v>22</v>
      </c>
      <c r="G1030" s="18">
        <v>134</v>
      </c>
      <c r="H1030" s="18">
        <v>9</v>
      </c>
    </row>
    <row r="1031" spans="2:8">
      <c r="B1031" s="14" t="s">
        <v>6974</v>
      </c>
      <c r="C1031" s="245" t="s">
        <v>1619</v>
      </c>
      <c r="D1031" s="15">
        <v>16</v>
      </c>
      <c r="E1031" s="15">
        <v>18</v>
      </c>
      <c r="F1031" s="15">
        <v>2</v>
      </c>
      <c r="G1031" s="15">
        <v>8</v>
      </c>
      <c r="H1031" s="15">
        <v>9</v>
      </c>
    </row>
    <row r="1032" spans="2:8">
      <c r="B1032" s="17" t="s">
        <v>6975</v>
      </c>
      <c r="C1032" s="246" t="s">
        <v>1620</v>
      </c>
      <c r="D1032" s="18">
        <v>27</v>
      </c>
      <c r="E1032" s="18">
        <v>19</v>
      </c>
      <c r="F1032" s="18">
        <v>39</v>
      </c>
      <c r="G1032" s="18">
        <v>36</v>
      </c>
      <c r="H1032" s="18">
        <v>9</v>
      </c>
    </row>
    <row r="1033" spans="2:8">
      <c r="B1033" s="14" t="s">
        <v>6976</v>
      </c>
      <c r="C1033" s="245" t="s">
        <v>1621</v>
      </c>
      <c r="D1033" s="15">
        <v>5</v>
      </c>
      <c r="E1033" s="15">
        <v>1</v>
      </c>
      <c r="F1033" s="15">
        <v>3</v>
      </c>
      <c r="G1033" s="15">
        <v>5</v>
      </c>
      <c r="H1033" s="15">
        <v>9</v>
      </c>
    </row>
    <row r="1034" spans="2:8">
      <c r="B1034" s="17" t="s">
        <v>6977</v>
      </c>
      <c r="C1034" s="246" t="s">
        <v>1622</v>
      </c>
      <c r="D1034" s="18">
        <v>5</v>
      </c>
      <c r="E1034" s="18">
        <v>4</v>
      </c>
      <c r="F1034" s="18">
        <v>4</v>
      </c>
      <c r="G1034" s="18">
        <v>9</v>
      </c>
      <c r="H1034" s="18">
        <v>9</v>
      </c>
    </row>
    <row r="1035" spans="2:8">
      <c r="B1035" s="14" t="s">
        <v>6978</v>
      </c>
      <c r="C1035" s="245" t="s">
        <v>1623</v>
      </c>
      <c r="D1035" s="15">
        <v>0</v>
      </c>
      <c r="E1035" s="15">
        <v>0</v>
      </c>
      <c r="F1035" s="15">
        <v>0</v>
      </c>
      <c r="G1035" s="15">
        <v>0</v>
      </c>
      <c r="H1035" s="15">
        <v>9</v>
      </c>
    </row>
    <row r="1036" spans="2:8">
      <c r="B1036" s="17" t="s">
        <v>6979</v>
      </c>
      <c r="C1036" s="246" t="s">
        <v>1624</v>
      </c>
      <c r="D1036" s="18">
        <v>54</v>
      </c>
      <c r="E1036" s="18">
        <v>18</v>
      </c>
      <c r="F1036" s="18">
        <v>31</v>
      </c>
      <c r="G1036" s="18">
        <v>0</v>
      </c>
      <c r="H1036" s="18">
        <v>9</v>
      </c>
    </row>
    <row r="1037" spans="2:8">
      <c r="B1037" s="14" t="s">
        <v>6980</v>
      </c>
      <c r="C1037" s="245" t="s">
        <v>1625</v>
      </c>
      <c r="D1037" s="15">
        <v>0</v>
      </c>
      <c r="E1037" s="15">
        <v>0</v>
      </c>
      <c r="F1037" s="15">
        <v>0</v>
      </c>
      <c r="G1037" s="15">
        <v>0</v>
      </c>
      <c r="H1037" s="15">
        <v>9</v>
      </c>
    </row>
    <row r="1038" spans="2:8">
      <c r="B1038" s="17" t="s">
        <v>6981</v>
      </c>
      <c r="C1038" s="246" t="s">
        <v>1626</v>
      </c>
      <c r="D1038" s="18">
        <v>0</v>
      </c>
      <c r="E1038" s="18">
        <v>0</v>
      </c>
      <c r="F1038" s="18">
        <v>0</v>
      </c>
      <c r="G1038" s="18">
        <v>0</v>
      </c>
      <c r="H1038" s="18">
        <v>8</v>
      </c>
    </row>
    <row r="1039" spans="2:8">
      <c r="B1039" s="14" t="s">
        <v>6982</v>
      </c>
      <c r="C1039" s="245" t="s">
        <v>1627</v>
      </c>
      <c r="D1039" s="15">
        <v>23</v>
      </c>
      <c r="E1039" s="15">
        <v>0</v>
      </c>
      <c r="F1039" s="15">
        <v>0</v>
      </c>
      <c r="G1039" s="15">
        <v>0</v>
      </c>
      <c r="H1039" s="15">
        <v>8</v>
      </c>
    </row>
    <row r="1040" spans="2:8">
      <c r="B1040" s="17" t="s">
        <v>6983</v>
      </c>
      <c r="C1040" s="246" t="s">
        <v>1628</v>
      </c>
      <c r="D1040" s="18">
        <v>0</v>
      </c>
      <c r="E1040" s="18">
        <v>0</v>
      </c>
      <c r="F1040" s="18">
        <v>0</v>
      </c>
      <c r="G1040" s="18">
        <v>0</v>
      </c>
      <c r="H1040" s="18">
        <v>8</v>
      </c>
    </row>
    <row r="1041" spans="2:8">
      <c r="B1041" s="14" t="s">
        <v>6984</v>
      </c>
      <c r="C1041" s="245" t="s">
        <v>1629</v>
      </c>
      <c r="D1041" s="15">
        <v>0</v>
      </c>
      <c r="E1041" s="15">
        <v>0</v>
      </c>
      <c r="F1041" s="15">
        <v>0</v>
      </c>
      <c r="G1041" s="15">
        <v>0</v>
      </c>
      <c r="H1041" s="15">
        <v>8</v>
      </c>
    </row>
    <row r="1042" spans="2:8">
      <c r="B1042" s="17" t="s">
        <v>6985</v>
      </c>
      <c r="C1042" s="246" t="s">
        <v>1630</v>
      </c>
      <c r="D1042" s="18">
        <v>0</v>
      </c>
      <c r="E1042" s="18">
        <v>0</v>
      </c>
      <c r="F1042" s="18">
        <v>0</v>
      </c>
      <c r="G1042" s="18">
        <v>0</v>
      </c>
      <c r="H1042" s="18">
        <v>8</v>
      </c>
    </row>
    <row r="1043" spans="2:8">
      <c r="B1043" s="14" t="s">
        <v>6986</v>
      </c>
      <c r="C1043" s="245" t="s">
        <v>1631</v>
      </c>
      <c r="D1043" s="15">
        <v>0</v>
      </c>
      <c r="E1043" s="15">
        <v>0</v>
      </c>
      <c r="F1043" s="15">
        <v>0</v>
      </c>
      <c r="G1043" s="15">
        <v>0</v>
      </c>
      <c r="H1043" s="15">
        <v>8</v>
      </c>
    </row>
    <row r="1044" spans="2:8">
      <c r="B1044" s="17" t="s">
        <v>6987</v>
      </c>
      <c r="C1044" s="246" t="s">
        <v>1632</v>
      </c>
      <c r="D1044" s="18">
        <v>1</v>
      </c>
      <c r="E1044" s="18">
        <v>1</v>
      </c>
      <c r="F1044" s="18">
        <v>11</v>
      </c>
      <c r="G1044" s="18">
        <v>0</v>
      </c>
      <c r="H1044" s="18">
        <v>8</v>
      </c>
    </row>
    <row r="1045" spans="2:8">
      <c r="B1045" s="14" t="s">
        <v>6988</v>
      </c>
      <c r="C1045" s="245" t="s">
        <v>1633</v>
      </c>
      <c r="D1045" s="15">
        <v>0</v>
      </c>
      <c r="E1045" s="15">
        <v>3</v>
      </c>
      <c r="F1045" s="15">
        <v>0</v>
      </c>
      <c r="G1045" s="15">
        <v>0</v>
      </c>
      <c r="H1045" s="15">
        <v>8</v>
      </c>
    </row>
    <row r="1046" spans="2:8">
      <c r="B1046" s="17" t="s">
        <v>6989</v>
      </c>
      <c r="C1046" s="246" t="s">
        <v>1634</v>
      </c>
      <c r="D1046" s="18">
        <v>0</v>
      </c>
      <c r="E1046" s="18">
        <v>0</v>
      </c>
      <c r="F1046" s="18">
        <v>0</v>
      </c>
      <c r="G1046" s="18">
        <v>0</v>
      </c>
      <c r="H1046" s="18">
        <v>8</v>
      </c>
    </row>
    <row r="1047" spans="2:8">
      <c r="B1047" s="14" t="s">
        <v>6990</v>
      </c>
      <c r="C1047" s="245" t="s">
        <v>1635</v>
      </c>
      <c r="D1047" s="15">
        <v>0</v>
      </c>
      <c r="E1047" s="15">
        <v>18</v>
      </c>
      <c r="F1047" s="15">
        <v>0</v>
      </c>
      <c r="G1047" s="15">
        <v>2</v>
      </c>
      <c r="H1047" s="15">
        <v>8</v>
      </c>
    </row>
    <row r="1048" spans="2:8">
      <c r="B1048" s="17" t="s">
        <v>6991</v>
      </c>
      <c r="C1048" s="246" t="s">
        <v>1636</v>
      </c>
      <c r="D1048" s="18">
        <v>3</v>
      </c>
      <c r="E1048" s="18">
        <v>4</v>
      </c>
      <c r="F1048" s="18">
        <v>10</v>
      </c>
      <c r="G1048" s="18">
        <v>10</v>
      </c>
      <c r="H1048" s="18">
        <v>8</v>
      </c>
    </row>
    <row r="1049" spans="2:8">
      <c r="B1049" s="14" t="s">
        <v>6992</v>
      </c>
      <c r="C1049" s="245" t="s">
        <v>1637</v>
      </c>
      <c r="D1049" s="15">
        <v>0</v>
      </c>
      <c r="E1049" s="15">
        <v>0</v>
      </c>
      <c r="F1049" s="15">
        <v>0</v>
      </c>
      <c r="G1049" s="15">
        <v>150</v>
      </c>
      <c r="H1049" s="15">
        <v>8</v>
      </c>
    </row>
    <row r="1050" spans="2:8">
      <c r="B1050" s="17" t="s">
        <v>6993</v>
      </c>
      <c r="C1050" s="246" t="s">
        <v>1638</v>
      </c>
      <c r="D1050" s="18">
        <v>0</v>
      </c>
      <c r="E1050" s="18">
        <v>1</v>
      </c>
      <c r="F1050" s="18">
        <v>1</v>
      </c>
      <c r="G1050" s="18">
        <v>3</v>
      </c>
      <c r="H1050" s="18">
        <v>8</v>
      </c>
    </row>
    <row r="1051" spans="2:8">
      <c r="B1051" s="14" t="s">
        <v>6994</v>
      </c>
      <c r="C1051" s="245" t="s">
        <v>1639</v>
      </c>
      <c r="D1051" s="15">
        <v>33</v>
      </c>
      <c r="E1051" s="15">
        <v>21</v>
      </c>
      <c r="F1051" s="15">
        <v>16</v>
      </c>
      <c r="G1051" s="15">
        <v>34</v>
      </c>
      <c r="H1051" s="15">
        <v>8</v>
      </c>
    </row>
    <row r="1052" spans="2:8">
      <c r="B1052" s="17" t="s">
        <v>6995</v>
      </c>
      <c r="C1052" s="246" t="s">
        <v>1640</v>
      </c>
      <c r="D1052" s="18">
        <v>0</v>
      </c>
      <c r="E1052" s="18">
        <v>0</v>
      </c>
      <c r="F1052" s="18">
        <v>0</v>
      </c>
      <c r="G1052" s="18">
        <v>0</v>
      </c>
      <c r="H1052" s="18">
        <v>8</v>
      </c>
    </row>
    <row r="1053" spans="2:8">
      <c r="B1053" s="14" t="s">
        <v>6996</v>
      </c>
      <c r="C1053" s="245" t="s">
        <v>1641</v>
      </c>
      <c r="D1053" s="15">
        <v>0</v>
      </c>
      <c r="E1053" s="15">
        <v>0</v>
      </c>
      <c r="F1053" s="15">
        <v>0</v>
      </c>
      <c r="G1053" s="15">
        <v>0</v>
      </c>
      <c r="H1053" s="15">
        <v>8</v>
      </c>
    </row>
    <row r="1054" spans="2:8">
      <c r="B1054" s="17" t="s">
        <v>6997</v>
      </c>
      <c r="C1054" s="246" t="s">
        <v>1642</v>
      </c>
      <c r="D1054" s="18">
        <v>40</v>
      </c>
      <c r="E1054" s="18">
        <v>0</v>
      </c>
      <c r="F1054" s="18">
        <v>1</v>
      </c>
      <c r="G1054" s="18">
        <v>2</v>
      </c>
      <c r="H1054" s="18">
        <v>8</v>
      </c>
    </row>
    <row r="1055" spans="2:8">
      <c r="B1055" s="14" t="s">
        <v>6998</v>
      </c>
      <c r="C1055" s="245" t="s">
        <v>1643</v>
      </c>
      <c r="D1055" s="15">
        <v>85</v>
      </c>
      <c r="E1055" s="15">
        <v>60</v>
      </c>
      <c r="F1055" s="15">
        <v>1</v>
      </c>
      <c r="G1055" s="15">
        <v>0</v>
      </c>
      <c r="H1055" s="15">
        <v>8</v>
      </c>
    </row>
    <row r="1056" spans="2:8">
      <c r="B1056" s="17" t="s">
        <v>6999</v>
      </c>
      <c r="C1056" s="246" t="s">
        <v>1431</v>
      </c>
      <c r="D1056" s="18">
        <v>0</v>
      </c>
      <c r="E1056" s="18">
        <v>34</v>
      </c>
      <c r="F1056" s="18">
        <v>4</v>
      </c>
      <c r="G1056" s="18">
        <v>0</v>
      </c>
      <c r="H1056" s="18">
        <v>8</v>
      </c>
    </row>
    <row r="1057" spans="2:8">
      <c r="B1057" s="14" t="s">
        <v>7000</v>
      </c>
      <c r="C1057" s="245" t="s">
        <v>1393</v>
      </c>
      <c r="D1057" s="15">
        <v>3</v>
      </c>
      <c r="E1057" s="15">
        <v>0</v>
      </c>
      <c r="F1057" s="15">
        <v>3</v>
      </c>
      <c r="G1057" s="15">
        <v>16</v>
      </c>
      <c r="H1057" s="15">
        <v>8</v>
      </c>
    </row>
    <row r="1058" spans="2:8">
      <c r="B1058" s="17" t="s">
        <v>7001</v>
      </c>
      <c r="C1058" s="246" t="s">
        <v>1644</v>
      </c>
      <c r="D1058" s="18">
        <v>162</v>
      </c>
      <c r="E1058" s="18">
        <v>70</v>
      </c>
      <c r="F1058" s="18">
        <v>0</v>
      </c>
      <c r="G1058" s="18">
        <v>0</v>
      </c>
      <c r="H1058" s="18">
        <v>8</v>
      </c>
    </row>
    <row r="1059" spans="2:8">
      <c r="B1059" s="14" t="s">
        <v>7002</v>
      </c>
      <c r="C1059" s="245" t="s">
        <v>1645</v>
      </c>
      <c r="D1059" s="15">
        <v>0</v>
      </c>
      <c r="E1059" s="15">
        <v>9</v>
      </c>
      <c r="F1059" s="15">
        <v>0</v>
      </c>
      <c r="G1059" s="15">
        <v>0</v>
      </c>
      <c r="H1059" s="15">
        <v>8</v>
      </c>
    </row>
    <row r="1060" spans="2:8">
      <c r="B1060" s="17" t="s">
        <v>7003</v>
      </c>
      <c r="C1060" s="246" t="s">
        <v>1646</v>
      </c>
      <c r="D1060" s="18">
        <v>0</v>
      </c>
      <c r="E1060" s="18">
        <v>0</v>
      </c>
      <c r="F1060" s="18">
        <v>31</v>
      </c>
      <c r="G1060" s="18">
        <v>71</v>
      </c>
      <c r="H1060" s="18">
        <v>8</v>
      </c>
    </row>
    <row r="1061" spans="2:8">
      <c r="B1061" s="14" t="s">
        <v>7004</v>
      </c>
      <c r="C1061" s="245" t="s">
        <v>1647</v>
      </c>
      <c r="D1061" s="15">
        <v>24</v>
      </c>
      <c r="E1061" s="15">
        <v>10</v>
      </c>
      <c r="F1061" s="15">
        <v>7</v>
      </c>
      <c r="G1061" s="15">
        <v>3</v>
      </c>
      <c r="H1061" s="15">
        <v>8</v>
      </c>
    </row>
    <row r="1062" spans="2:8">
      <c r="B1062" s="17" t="s">
        <v>7005</v>
      </c>
      <c r="C1062" s="246" t="s">
        <v>1648</v>
      </c>
      <c r="D1062" s="18">
        <v>0</v>
      </c>
      <c r="E1062" s="18">
        <v>0</v>
      </c>
      <c r="F1062" s="18">
        <v>1</v>
      </c>
      <c r="G1062" s="18">
        <v>0</v>
      </c>
      <c r="H1062" s="18">
        <v>7</v>
      </c>
    </row>
    <row r="1063" spans="2:8">
      <c r="B1063" s="14" t="s">
        <v>7006</v>
      </c>
      <c r="C1063" s="245" t="s">
        <v>1649</v>
      </c>
      <c r="D1063" s="15">
        <v>8</v>
      </c>
      <c r="E1063" s="15">
        <v>4</v>
      </c>
      <c r="F1063" s="15">
        <v>2</v>
      </c>
      <c r="G1063" s="15">
        <v>8</v>
      </c>
      <c r="H1063" s="15">
        <v>7</v>
      </c>
    </row>
    <row r="1064" spans="2:8">
      <c r="B1064" s="17" t="s">
        <v>7007</v>
      </c>
      <c r="C1064" s="246" t="s">
        <v>1650</v>
      </c>
      <c r="D1064" s="18">
        <v>124</v>
      </c>
      <c r="E1064" s="18">
        <v>132</v>
      </c>
      <c r="F1064" s="18">
        <v>0</v>
      </c>
      <c r="G1064" s="18">
        <v>0</v>
      </c>
      <c r="H1064" s="18">
        <v>7</v>
      </c>
    </row>
    <row r="1065" spans="2:8">
      <c r="B1065" s="14" t="s">
        <v>7008</v>
      </c>
      <c r="C1065" s="245" t="s">
        <v>1651</v>
      </c>
      <c r="D1065" s="15">
        <v>0</v>
      </c>
      <c r="E1065" s="15">
        <v>0</v>
      </c>
      <c r="F1065" s="15">
        <v>0</v>
      </c>
      <c r="G1065" s="15">
        <v>9</v>
      </c>
      <c r="H1065" s="15">
        <v>7</v>
      </c>
    </row>
    <row r="1066" spans="2:8">
      <c r="B1066" s="17" t="s">
        <v>7009</v>
      </c>
      <c r="C1066" s="246" t="s">
        <v>1591</v>
      </c>
      <c r="D1066" s="18">
        <v>0</v>
      </c>
      <c r="E1066" s="18">
        <v>0</v>
      </c>
      <c r="F1066" s="18">
        <v>0</v>
      </c>
      <c r="G1066" s="18">
        <v>0</v>
      </c>
      <c r="H1066" s="18">
        <v>7</v>
      </c>
    </row>
    <row r="1067" spans="2:8">
      <c r="B1067" s="14" t="s">
        <v>7010</v>
      </c>
      <c r="C1067" s="245" t="s">
        <v>1652</v>
      </c>
      <c r="D1067" s="15">
        <v>0</v>
      </c>
      <c r="E1067" s="15">
        <v>0</v>
      </c>
      <c r="F1067" s="15">
        <v>20</v>
      </c>
      <c r="G1067" s="15">
        <v>9</v>
      </c>
      <c r="H1067" s="15">
        <v>7</v>
      </c>
    </row>
    <row r="1068" spans="2:8">
      <c r="B1068" s="17" t="s">
        <v>7011</v>
      </c>
      <c r="C1068" s="246" t="s">
        <v>1653</v>
      </c>
      <c r="D1068" s="18">
        <v>0</v>
      </c>
      <c r="E1068" s="18">
        <v>0</v>
      </c>
      <c r="F1068" s="18">
        <v>0</v>
      </c>
      <c r="G1068" s="18">
        <v>0</v>
      </c>
      <c r="H1068" s="18">
        <v>7</v>
      </c>
    </row>
    <row r="1069" spans="2:8">
      <c r="B1069" s="14" t="s">
        <v>7012</v>
      </c>
      <c r="C1069" s="245" t="s">
        <v>1654</v>
      </c>
      <c r="D1069" s="15">
        <v>0</v>
      </c>
      <c r="E1069" s="15">
        <v>0</v>
      </c>
      <c r="F1069" s="15">
        <v>0</v>
      </c>
      <c r="G1069" s="15">
        <v>0</v>
      </c>
      <c r="H1069" s="15">
        <v>7</v>
      </c>
    </row>
    <row r="1070" spans="2:8">
      <c r="B1070" s="17" t="s">
        <v>7013</v>
      </c>
      <c r="C1070" s="246" t="s">
        <v>1655</v>
      </c>
      <c r="D1070" s="18">
        <v>0</v>
      </c>
      <c r="E1070" s="18">
        <v>0</v>
      </c>
      <c r="F1070" s="18">
        <v>0</v>
      </c>
      <c r="G1070" s="18">
        <v>4</v>
      </c>
      <c r="H1070" s="18">
        <v>7</v>
      </c>
    </row>
    <row r="1071" spans="2:8">
      <c r="B1071" s="14" t="s">
        <v>7014</v>
      </c>
      <c r="C1071" s="245" t="s">
        <v>1656</v>
      </c>
      <c r="D1071" s="15">
        <v>0</v>
      </c>
      <c r="E1071" s="15">
        <v>3</v>
      </c>
      <c r="F1071" s="15">
        <v>0</v>
      </c>
      <c r="G1071" s="15">
        <v>36</v>
      </c>
      <c r="H1071" s="15">
        <v>7</v>
      </c>
    </row>
    <row r="1072" spans="2:8">
      <c r="B1072" s="17" t="s">
        <v>7015</v>
      </c>
      <c r="C1072" s="246" t="s">
        <v>1657</v>
      </c>
      <c r="D1072" s="18">
        <v>32</v>
      </c>
      <c r="E1072" s="18">
        <v>34</v>
      </c>
      <c r="F1072" s="18">
        <v>28</v>
      </c>
      <c r="G1072" s="18">
        <v>16</v>
      </c>
      <c r="H1072" s="18">
        <v>7</v>
      </c>
    </row>
    <row r="1073" spans="2:8">
      <c r="B1073" s="14" t="s">
        <v>7016</v>
      </c>
      <c r="C1073" s="245" t="s">
        <v>1658</v>
      </c>
      <c r="D1073" s="15">
        <v>0</v>
      </c>
      <c r="E1073" s="15">
        <v>0</v>
      </c>
      <c r="F1073" s="15">
        <v>0</v>
      </c>
      <c r="G1073" s="15">
        <v>0</v>
      </c>
      <c r="H1073" s="15">
        <v>7</v>
      </c>
    </row>
    <row r="1074" spans="2:8">
      <c r="B1074" s="17" t="s">
        <v>7017</v>
      </c>
      <c r="C1074" s="246" t="s">
        <v>1659</v>
      </c>
      <c r="D1074" s="18">
        <v>0</v>
      </c>
      <c r="E1074" s="18">
        <v>0</v>
      </c>
      <c r="F1074" s="18">
        <v>0</v>
      </c>
      <c r="G1074" s="18">
        <v>0</v>
      </c>
      <c r="H1074" s="18">
        <v>7</v>
      </c>
    </row>
    <row r="1075" spans="2:8">
      <c r="B1075" s="14" t="s">
        <v>7018</v>
      </c>
      <c r="C1075" s="245" t="s">
        <v>1660</v>
      </c>
      <c r="D1075" s="15">
        <v>17</v>
      </c>
      <c r="E1075" s="15">
        <v>0</v>
      </c>
      <c r="F1075" s="15">
        <v>44</v>
      </c>
      <c r="G1075" s="15">
        <v>31</v>
      </c>
      <c r="H1075" s="15">
        <v>7</v>
      </c>
    </row>
    <row r="1076" spans="2:8">
      <c r="B1076" s="17" t="s">
        <v>7019</v>
      </c>
      <c r="C1076" s="246" t="s">
        <v>1661</v>
      </c>
      <c r="D1076" s="18">
        <v>188</v>
      </c>
      <c r="E1076" s="18">
        <v>89</v>
      </c>
      <c r="F1076" s="18">
        <v>102</v>
      </c>
      <c r="G1076" s="18">
        <v>71</v>
      </c>
      <c r="H1076" s="18">
        <v>7</v>
      </c>
    </row>
    <row r="1077" spans="2:8">
      <c r="B1077" s="14" t="s">
        <v>7020</v>
      </c>
      <c r="C1077" s="245" t="s">
        <v>1662</v>
      </c>
      <c r="D1077" s="15">
        <v>0</v>
      </c>
      <c r="E1077" s="15">
        <v>16</v>
      </c>
      <c r="F1077" s="15">
        <v>3</v>
      </c>
      <c r="G1077" s="15">
        <v>8</v>
      </c>
      <c r="H1077" s="15">
        <v>7</v>
      </c>
    </row>
    <row r="1078" spans="2:8">
      <c r="B1078" s="17" t="s">
        <v>7021</v>
      </c>
      <c r="C1078" s="246" t="s">
        <v>1663</v>
      </c>
      <c r="D1078" s="18">
        <v>0</v>
      </c>
      <c r="E1078" s="18">
        <v>0</v>
      </c>
      <c r="F1078" s="18">
        <v>0</v>
      </c>
      <c r="G1078" s="18">
        <v>0</v>
      </c>
      <c r="H1078" s="18">
        <v>7</v>
      </c>
    </row>
    <row r="1079" spans="2:8">
      <c r="B1079" s="14" t="s">
        <v>7022</v>
      </c>
      <c r="C1079" s="245" t="s">
        <v>1664</v>
      </c>
      <c r="D1079" s="15">
        <v>0</v>
      </c>
      <c r="E1079" s="15">
        <v>0</v>
      </c>
      <c r="F1079" s="15">
        <v>0</v>
      </c>
      <c r="G1079" s="15">
        <v>0</v>
      </c>
      <c r="H1079" s="15">
        <v>7</v>
      </c>
    </row>
    <row r="1080" spans="2:8">
      <c r="B1080" s="17" t="s">
        <v>7023</v>
      </c>
      <c r="C1080" s="246" t="s">
        <v>1665</v>
      </c>
      <c r="D1080" s="18">
        <v>1</v>
      </c>
      <c r="E1080" s="18">
        <v>6</v>
      </c>
      <c r="F1080" s="18">
        <v>14</v>
      </c>
      <c r="G1080" s="18">
        <v>6</v>
      </c>
      <c r="H1080" s="18">
        <v>7</v>
      </c>
    </row>
    <row r="1081" spans="2:8">
      <c r="B1081" s="14" t="s">
        <v>7024</v>
      </c>
      <c r="C1081" s="245" t="s">
        <v>1666</v>
      </c>
      <c r="D1081" s="15">
        <v>0</v>
      </c>
      <c r="E1081" s="15">
        <v>0</v>
      </c>
      <c r="F1081" s="15">
        <v>7</v>
      </c>
      <c r="G1081" s="15">
        <v>14</v>
      </c>
      <c r="H1081" s="15">
        <v>6</v>
      </c>
    </row>
    <row r="1082" spans="2:8">
      <c r="B1082" s="17" t="s">
        <v>7025</v>
      </c>
      <c r="C1082" s="246" t="s">
        <v>1667</v>
      </c>
      <c r="D1082" s="18">
        <v>0</v>
      </c>
      <c r="E1082" s="18">
        <v>0</v>
      </c>
      <c r="F1082" s="18">
        <v>0</v>
      </c>
      <c r="G1082" s="18">
        <v>0</v>
      </c>
      <c r="H1082" s="18">
        <v>6</v>
      </c>
    </row>
    <row r="1083" spans="2:8">
      <c r="B1083" s="14" t="s">
        <v>7026</v>
      </c>
      <c r="C1083" s="245" t="s">
        <v>1668</v>
      </c>
      <c r="D1083" s="15">
        <v>0</v>
      </c>
      <c r="E1083" s="15">
        <v>0</v>
      </c>
      <c r="F1083" s="15">
        <v>0</v>
      </c>
      <c r="G1083" s="15">
        <v>7</v>
      </c>
      <c r="H1083" s="15">
        <v>6</v>
      </c>
    </row>
    <row r="1084" spans="2:8">
      <c r="B1084" s="17" t="s">
        <v>7027</v>
      </c>
      <c r="C1084" s="246" t="s">
        <v>1669</v>
      </c>
      <c r="D1084" s="18">
        <v>0</v>
      </c>
      <c r="E1084" s="18">
        <v>0</v>
      </c>
      <c r="F1084" s="18">
        <v>0</v>
      </c>
      <c r="G1084" s="18">
        <v>0</v>
      </c>
      <c r="H1084" s="18">
        <v>6</v>
      </c>
    </row>
    <row r="1085" spans="2:8">
      <c r="B1085" s="14" t="s">
        <v>7028</v>
      </c>
      <c r="C1085" s="245" t="s">
        <v>1670</v>
      </c>
      <c r="D1085" s="15">
        <v>0</v>
      </c>
      <c r="E1085" s="15">
        <v>0</v>
      </c>
      <c r="F1085" s="15">
        <v>0</v>
      </c>
      <c r="G1085" s="15">
        <v>0</v>
      </c>
      <c r="H1085" s="15">
        <v>6</v>
      </c>
    </row>
    <row r="1086" spans="2:8">
      <c r="B1086" s="17" t="s">
        <v>7029</v>
      </c>
      <c r="C1086" s="246" t="s">
        <v>1671</v>
      </c>
      <c r="D1086" s="18">
        <v>0</v>
      </c>
      <c r="E1086" s="18">
        <v>0</v>
      </c>
      <c r="F1086" s="18">
        <v>0</v>
      </c>
      <c r="G1086" s="18">
        <v>15</v>
      </c>
      <c r="H1086" s="18">
        <v>6</v>
      </c>
    </row>
    <row r="1087" spans="2:8">
      <c r="B1087" s="14" t="s">
        <v>7030</v>
      </c>
      <c r="C1087" s="245" t="s">
        <v>1672</v>
      </c>
      <c r="D1087" s="15">
        <v>0</v>
      </c>
      <c r="E1087" s="15">
        <v>0</v>
      </c>
      <c r="F1087" s="15">
        <v>1</v>
      </c>
      <c r="G1087" s="15">
        <v>0</v>
      </c>
      <c r="H1087" s="15">
        <v>6</v>
      </c>
    </row>
    <row r="1088" spans="2:8">
      <c r="B1088" s="17" t="s">
        <v>7031</v>
      </c>
      <c r="C1088" s="246" t="s">
        <v>1673</v>
      </c>
      <c r="D1088" s="18">
        <v>0</v>
      </c>
      <c r="E1088" s="18">
        <v>0</v>
      </c>
      <c r="F1088" s="18">
        <v>0</v>
      </c>
      <c r="G1088" s="18">
        <v>0</v>
      </c>
      <c r="H1088" s="18">
        <v>6</v>
      </c>
    </row>
    <row r="1089" spans="2:8">
      <c r="B1089" s="14" t="s">
        <v>7032</v>
      </c>
      <c r="C1089" s="245" t="s">
        <v>1674</v>
      </c>
      <c r="D1089" s="15">
        <v>0</v>
      </c>
      <c r="E1089" s="15">
        <v>0</v>
      </c>
      <c r="F1089" s="15">
        <v>0</v>
      </c>
      <c r="G1089" s="15">
        <v>0</v>
      </c>
      <c r="H1089" s="15">
        <v>6</v>
      </c>
    </row>
    <row r="1090" spans="2:8">
      <c r="B1090" s="17" t="s">
        <v>7033</v>
      </c>
      <c r="C1090" s="246" t="s">
        <v>1675</v>
      </c>
      <c r="D1090" s="18">
        <v>0</v>
      </c>
      <c r="E1090" s="18">
        <v>2</v>
      </c>
      <c r="F1090" s="18">
        <v>0</v>
      </c>
      <c r="G1090" s="18">
        <v>8</v>
      </c>
      <c r="H1090" s="18">
        <v>6</v>
      </c>
    </row>
    <row r="1091" spans="2:8">
      <c r="B1091" s="14" t="s">
        <v>7034</v>
      </c>
      <c r="C1091" s="245" t="s">
        <v>1676</v>
      </c>
      <c r="D1091" s="15">
        <v>0</v>
      </c>
      <c r="E1091" s="15">
        <v>0</v>
      </c>
      <c r="F1091" s="15">
        <v>0</v>
      </c>
      <c r="G1091" s="15">
        <v>6</v>
      </c>
      <c r="H1091" s="15">
        <v>6</v>
      </c>
    </row>
    <row r="1092" spans="2:8">
      <c r="B1092" s="17" t="s">
        <v>7035</v>
      </c>
      <c r="C1092" s="246" t="s">
        <v>1677</v>
      </c>
      <c r="D1092" s="18">
        <v>9</v>
      </c>
      <c r="E1092" s="18">
        <v>120</v>
      </c>
      <c r="F1092" s="18">
        <v>13</v>
      </c>
      <c r="G1092" s="18">
        <v>14</v>
      </c>
      <c r="H1092" s="18">
        <v>6</v>
      </c>
    </row>
    <row r="1093" spans="2:8">
      <c r="B1093" s="14" t="s">
        <v>7036</v>
      </c>
      <c r="C1093" s="245" t="s">
        <v>1678</v>
      </c>
      <c r="D1093" s="15">
        <v>0</v>
      </c>
      <c r="E1093" s="15">
        <v>0</v>
      </c>
      <c r="F1093" s="15">
        <v>0</v>
      </c>
      <c r="G1093" s="15">
        <v>0</v>
      </c>
      <c r="H1093" s="15">
        <v>6</v>
      </c>
    </row>
    <row r="1094" spans="2:8">
      <c r="B1094" s="17" t="s">
        <v>7037</v>
      </c>
      <c r="C1094" s="246" t="s">
        <v>1679</v>
      </c>
      <c r="D1094" s="18">
        <v>0</v>
      </c>
      <c r="E1094" s="18">
        <v>2</v>
      </c>
      <c r="F1094" s="18">
        <v>4</v>
      </c>
      <c r="G1094" s="18">
        <v>0</v>
      </c>
      <c r="H1094" s="18">
        <v>6</v>
      </c>
    </row>
    <row r="1095" spans="2:8">
      <c r="B1095" s="14" t="s">
        <v>7038</v>
      </c>
      <c r="C1095" s="245" t="s">
        <v>1680</v>
      </c>
      <c r="D1095" s="15">
        <v>6</v>
      </c>
      <c r="E1095" s="15">
        <v>19</v>
      </c>
      <c r="F1095" s="15">
        <v>32</v>
      </c>
      <c r="G1095" s="15">
        <v>15</v>
      </c>
      <c r="H1095" s="15">
        <v>6</v>
      </c>
    </row>
    <row r="1096" spans="2:8">
      <c r="B1096" s="17" t="s">
        <v>7039</v>
      </c>
      <c r="C1096" s="246" t="s">
        <v>1681</v>
      </c>
      <c r="D1096" s="18">
        <v>0</v>
      </c>
      <c r="E1096" s="18">
        <v>6</v>
      </c>
      <c r="F1096" s="18">
        <v>4</v>
      </c>
      <c r="G1096" s="18">
        <v>0</v>
      </c>
      <c r="H1096" s="18">
        <v>6</v>
      </c>
    </row>
    <row r="1097" spans="2:8">
      <c r="B1097" s="14" t="s">
        <v>7040</v>
      </c>
      <c r="C1097" s="245" t="s">
        <v>1682</v>
      </c>
      <c r="D1097" s="15">
        <v>0</v>
      </c>
      <c r="E1097" s="15">
        <v>0</v>
      </c>
      <c r="F1097" s="15">
        <v>0</v>
      </c>
      <c r="G1097" s="15">
        <v>0</v>
      </c>
      <c r="H1097" s="15">
        <v>6</v>
      </c>
    </row>
    <row r="1098" spans="2:8">
      <c r="B1098" s="17" t="s">
        <v>7041</v>
      </c>
      <c r="C1098" s="246" t="s">
        <v>1683</v>
      </c>
      <c r="D1098" s="18">
        <v>11</v>
      </c>
      <c r="E1098" s="18">
        <v>0</v>
      </c>
      <c r="F1098" s="18">
        <v>5</v>
      </c>
      <c r="G1098" s="18">
        <v>0</v>
      </c>
      <c r="H1098" s="18">
        <v>6</v>
      </c>
    </row>
    <row r="1099" spans="2:8">
      <c r="B1099" s="14" t="s">
        <v>7042</v>
      </c>
      <c r="C1099" s="245" t="s">
        <v>1684</v>
      </c>
      <c r="D1099" s="15">
        <v>4</v>
      </c>
      <c r="E1099" s="15">
        <v>5</v>
      </c>
      <c r="F1099" s="15">
        <v>22</v>
      </c>
      <c r="G1099" s="15">
        <v>16</v>
      </c>
      <c r="H1099" s="15">
        <v>6</v>
      </c>
    </row>
    <row r="1100" spans="2:8">
      <c r="B1100" s="17" t="s">
        <v>7043</v>
      </c>
      <c r="C1100" s="246" t="s">
        <v>1685</v>
      </c>
      <c r="D1100" s="18">
        <v>105</v>
      </c>
      <c r="E1100" s="18">
        <v>57</v>
      </c>
      <c r="F1100" s="18">
        <v>27</v>
      </c>
      <c r="G1100" s="18">
        <v>2</v>
      </c>
      <c r="H1100" s="18">
        <v>6</v>
      </c>
    </row>
    <row r="1101" spans="2:8">
      <c r="B1101" s="14" t="s">
        <v>7044</v>
      </c>
      <c r="C1101" s="245" t="s">
        <v>1686</v>
      </c>
      <c r="D1101" s="15">
        <v>0</v>
      </c>
      <c r="E1101" s="15">
        <v>0</v>
      </c>
      <c r="F1101" s="15">
        <v>0</v>
      </c>
      <c r="G1101" s="15">
        <v>0</v>
      </c>
      <c r="H1101" s="15">
        <v>5</v>
      </c>
    </row>
    <row r="1102" spans="2:8">
      <c r="B1102" s="17" t="s">
        <v>7045</v>
      </c>
      <c r="C1102" s="246" t="s">
        <v>1687</v>
      </c>
      <c r="D1102" s="18">
        <v>0</v>
      </c>
      <c r="E1102" s="18">
        <v>0</v>
      </c>
      <c r="F1102" s="18">
        <v>0</v>
      </c>
      <c r="G1102" s="18">
        <v>1</v>
      </c>
      <c r="H1102" s="18">
        <v>5</v>
      </c>
    </row>
    <row r="1103" spans="2:8">
      <c r="B1103" s="14" t="s">
        <v>7046</v>
      </c>
      <c r="C1103" s="245" t="s">
        <v>1688</v>
      </c>
      <c r="D1103" s="15">
        <v>6</v>
      </c>
      <c r="E1103" s="15">
        <v>8</v>
      </c>
      <c r="F1103" s="15">
        <v>23</v>
      </c>
      <c r="G1103" s="15">
        <v>6</v>
      </c>
      <c r="H1103" s="15">
        <v>5</v>
      </c>
    </row>
    <row r="1104" spans="2:8">
      <c r="B1104" s="17" t="s">
        <v>7047</v>
      </c>
      <c r="C1104" s="246" t="s">
        <v>1689</v>
      </c>
      <c r="D1104" s="18">
        <v>0</v>
      </c>
      <c r="E1104" s="18">
        <v>4</v>
      </c>
      <c r="F1104" s="18">
        <v>0</v>
      </c>
      <c r="G1104" s="18">
        <v>0</v>
      </c>
      <c r="H1104" s="18">
        <v>5</v>
      </c>
    </row>
    <row r="1105" spans="2:8">
      <c r="B1105" s="14" t="s">
        <v>7048</v>
      </c>
      <c r="C1105" s="245" t="s">
        <v>1690</v>
      </c>
      <c r="D1105" s="15">
        <v>0</v>
      </c>
      <c r="E1105" s="15">
        <v>0</v>
      </c>
      <c r="F1105" s="15">
        <v>0</v>
      </c>
      <c r="G1105" s="15">
        <v>0</v>
      </c>
      <c r="H1105" s="15">
        <v>5</v>
      </c>
    </row>
    <row r="1106" spans="2:8">
      <c r="B1106" s="17" t="s">
        <v>7049</v>
      </c>
      <c r="C1106" s="246" t="s">
        <v>1691</v>
      </c>
      <c r="D1106" s="18">
        <v>0</v>
      </c>
      <c r="E1106" s="18">
        <v>3</v>
      </c>
      <c r="F1106" s="18">
        <v>0</v>
      </c>
      <c r="G1106" s="18">
        <v>0</v>
      </c>
      <c r="H1106" s="18">
        <v>5</v>
      </c>
    </row>
    <row r="1107" spans="2:8">
      <c r="B1107" s="14" t="s">
        <v>7050</v>
      </c>
      <c r="C1107" s="245" t="s">
        <v>866</v>
      </c>
      <c r="D1107" s="15">
        <v>2</v>
      </c>
      <c r="E1107" s="15">
        <v>4</v>
      </c>
      <c r="F1107" s="15">
        <v>2</v>
      </c>
      <c r="G1107" s="15">
        <v>1</v>
      </c>
      <c r="H1107" s="15">
        <v>5</v>
      </c>
    </row>
    <row r="1108" spans="2:8">
      <c r="B1108" s="17" t="s">
        <v>7051</v>
      </c>
      <c r="C1108" s="246" t="s">
        <v>1692</v>
      </c>
      <c r="D1108" s="18">
        <v>0</v>
      </c>
      <c r="E1108" s="18">
        <v>0</v>
      </c>
      <c r="F1108" s="18">
        <v>0</v>
      </c>
      <c r="G1108" s="18">
        <v>8</v>
      </c>
      <c r="H1108" s="18">
        <v>5</v>
      </c>
    </row>
    <row r="1109" spans="2:8">
      <c r="B1109" s="14" t="s">
        <v>7052</v>
      </c>
      <c r="C1109" s="245" t="s">
        <v>1693</v>
      </c>
      <c r="D1109" s="15">
        <v>0</v>
      </c>
      <c r="E1109" s="15">
        <v>0</v>
      </c>
      <c r="F1109" s="15">
        <v>0</v>
      </c>
      <c r="G1109" s="15">
        <v>0</v>
      </c>
      <c r="H1109" s="15">
        <v>5</v>
      </c>
    </row>
    <row r="1110" spans="2:8">
      <c r="B1110" s="17" t="s">
        <v>7053</v>
      </c>
      <c r="C1110" s="246" t="s">
        <v>1694</v>
      </c>
      <c r="D1110" s="18">
        <v>20</v>
      </c>
      <c r="E1110" s="18">
        <v>0</v>
      </c>
      <c r="F1110" s="18">
        <v>22</v>
      </c>
      <c r="G1110" s="18">
        <v>18</v>
      </c>
      <c r="H1110" s="18">
        <v>5</v>
      </c>
    </row>
    <row r="1111" spans="2:8">
      <c r="B1111" s="14" t="s">
        <v>7054</v>
      </c>
      <c r="C1111" s="245" t="s">
        <v>1695</v>
      </c>
      <c r="D1111" s="15">
        <v>0</v>
      </c>
      <c r="E1111" s="15">
        <v>0</v>
      </c>
      <c r="F1111" s="15">
        <v>0</v>
      </c>
      <c r="G1111" s="15">
        <v>4</v>
      </c>
      <c r="H1111" s="15">
        <v>5</v>
      </c>
    </row>
    <row r="1112" spans="2:8">
      <c r="B1112" s="17" t="s">
        <v>7055</v>
      </c>
      <c r="C1112" s="246" t="s">
        <v>1696</v>
      </c>
      <c r="D1112" s="18">
        <v>0</v>
      </c>
      <c r="E1112" s="18">
        <v>15</v>
      </c>
      <c r="F1112" s="18">
        <v>18</v>
      </c>
      <c r="G1112" s="18">
        <v>9</v>
      </c>
      <c r="H1112" s="18">
        <v>5</v>
      </c>
    </row>
    <row r="1113" spans="2:8">
      <c r="B1113" s="14" t="s">
        <v>7056</v>
      </c>
      <c r="C1113" s="245" t="s">
        <v>1697</v>
      </c>
      <c r="D1113" s="15">
        <v>0</v>
      </c>
      <c r="E1113" s="15">
        <v>0</v>
      </c>
      <c r="F1113" s="15">
        <v>0</v>
      </c>
      <c r="G1113" s="15">
        <v>1</v>
      </c>
      <c r="H1113" s="15">
        <v>5</v>
      </c>
    </row>
    <row r="1114" spans="2:8">
      <c r="B1114" s="17" t="s">
        <v>7057</v>
      </c>
      <c r="C1114" s="246" t="s">
        <v>1698</v>
      </c>
      <c r="D1114" s="18">
        <v>3</v>
      </c>
      <c r="E1114" s="18">
        <v>5</v>
      </c>
      <c r="F1114" s="18">
        <v>3</v>
      </c>
      <c r="G1114" s="18">
        <v>19</v>
      </c>
      <c r="H1114" s="18">
        <v>5</v>
      </c>
    </row>
    <row r="1115" spans="2:8">
      <c r="B1115" s="14" t="s">
        <v>7058</v>
      </c>
      <c r="C1115" s="245" t="s">
        <v>1699</v>
      </c>
      <c r="D1115" s="15">
        <v>0</v>
      </c>
      <c r="E1115" s="15">
        <v>0</v>
      </c>
      <c r="F1115" s="15">
        <v>19</v>
      </c>
      <c r="G1115" s="15">
        <v>96</v>
      </c>
      <c r="H1115" s="15">
        <v>5</v>
      </c>
    </row>
    <row r="1116" spans="2:8">
      <c r="B1116" s="17" t="s">
        <v>7059</v>
      </c>
      <c r="C1116" s="246" t="s">
        <v>1700</v>
      </c>
      <c r="D1116" s="18">
        <v>0</v>
      </c>
      <c r="E1116" s="18">
        <v>0</v>
      </c>
      <c r="F1116" s="18">
        <v>17</v>
      </c>
      <c r="G1116" s="18">
        <v>29</v>
      </c>
      <c r="H1116" s="18">
        <v>5</v>
      </c>
    </row>
    <row r="1117" spans="2:8">
      <c r="B1117" s="14" t="s">
        <v>7060</v>
      </c>
      <c r="C1117" s="245" t="s">
        <v>1701</v>
      </c>
      <c r="D1117" s="15">
        <v>13</v>
      </c>
      <c r="E1117" s="15">
        <v>2</v>
      </c>
      <c r="F1117" s="15">
        <v>4</v>
      </c>
      <c r="G1117" s="15">
        <v>2</v>
      </c>
      <c r="H1117" s="15">
        <v>5</v>
      </c>
    </row>
    <row r="1118" spans="2:8">
      <c r="B1118" s="17" t="s">
        <v>7061</v>
      </c>
      <c r="C1118" s="246" t="s">
        <v>1702</v>
      </c>
      <c r="D1118" s="18">
        <v>0</v>
      </c>
      <c r="E1118" s="18">
        <v>0</v>
      </c>
      <c r="F1118" s="18">
        <v>0</v>
      </c>
      <c r="G1118" s="18">
        <v>12</v>
      </c>
      <c r="H1118" s="18">
        <v>5</v>
      </c>
    </row>
    <row r="1119" spans="2:8">
      <c r="B1119" s="14" t="s">
        <v>7062</v>
      </c>
      <c r="C1119" s="245" t="s">
        <v>1703</v>
      </c>
      <c r="D1119" s="15">
        <v>7</v>
      </c>
      <c r="E1119" s="15">
        <v>27</v>
      </c>
      <c r="F1119" s="15">
        <v>482</v>
      </c>
      <c r="G1119" s="15">
        <v>166</v>
      </c>
      <c r="H1119" s="15">
        <v>5</v>
      </c>
    </row>
    <row r="1120" spans="2:8">
      <c r="B1120" s="17" t="s">
        <v>7063</v>
      </c>
      <c r="C1120" s="246" t="s">
        <v>1704</v>
      </c>
      <c r="D1120" s="18">
        <v>0</v>
      </c>
      <c r="E1120" s="18">
        <v>0</v>
      </c>
      <c r="F1120" s="18">
        <v>0</v>
      </c>
      <c r="G1120" s="18">
        <v>0</v>
      </c>
      <c r="H1120" s="18">
        <v>5</v>
      </c>
    </row>
    <row r="1121" spans="2:8">
      <c r="B1121" s="14" t="s">
        <v>7064</v>
      </c>
      <c r="C1121" s="245" t="s">
        <v>1705</v>
      </c>
      <c r="D1121" s="15">
        <v>0</v>
      </c>
      <c r="E1121" s="15">
        <v>0</v>
      </c>
      <c r="F1121" s="15">
        <v>309</v>
      </c>
      <c r="G1121" s="15">
        <v>0</v>
      </c>
      <c r="H1121" s="15">
        <v>5</v>
      </c>
    </row>
    <row r="1122" spans="2:8">
      <c r="B1122" s="17" t="s">
        <v>7065</v>
      </c>
      <c r="C1122" s="246" t="s">
        <v>1706</v>
      </c>
      <c r="D1122" s="18">
        <v>3</v>
      </c>
      <c r="E1122" s="18">
        <v>5</v>
      </c>
      <c r="F1122" s="18">
        <v>5</v>
      </c>
      <c r="G1122" s="18">
        <v>6</v>
      </c>
      <c r="H1122" s="18">
        <v>5</v>
      </c>
    </row>
    <row r="1123" spans="2:8">
      <c r="B1123" s="14" t="s">
        <v>7066</v>
      </c>
      <c r="C1123" s="245" t="s">
        <v>1707</v>
      </c>
      <c r="D1123" s="15">
        <v>2</v>
      </c>
      <c r="E1123" s="15">
        <v>4</v>
      </c>
      <c r="F1123" s="15">
        <v>3</v>
      </c>
      <c r="G1123" s="15">
        <v>0</v>
      </c>
      <c r="H1123" s="15">
        <v>5</v>
      </c>
    </row>
    <row r="1124" spans="2:8">
      <c r="B1124" s="17" t="s">
        <v>7067</v>
      </c>
      <c r="C1124" s="246" t="s">
        <v>1708</v>
      </c>
      <c r="D1124" s="18">
        <v>0</v>
      </c>
      <c r="E1124" s="18">
        <v>0</v>
      </c>
      <c r="F1124" s="18">
        <v>0</v>
      </c>
      <c r="G1124" s="18">
        <v>0</v>
      </c>
      <c r="H1124" s="18">
        <v>5</v>
      </c>
    </row>
    <row r="1125" spans="2:8">
      <c r="B1125" s="14" t="s">
        <v>7068</v>
      </c>
      <c r="C1125" s="245" t="s">
        <v>1709</v>
      </c>
      <c r="D1125" s="15">
        <v>0</v>
      </c>
      <c r="E1125" s="15">
        <v>0</v>
      </c>
      <c r="F1125" s="15">
        <v>0</v>
      </c>
      <c r="G1125" s="15">
        <v>0</v>
      </c>
      <c r="H1125" s="15">
        <v>5</v>
      </c>
    </row>
    <row r="1126" spans="2:8">
      <c r="B1126" s="17" t="s">
        <v>7069</v>
      </c>
      <c r="C1126" s="246" t="s">
        <v>1710</v>
      </c>
      <c r="D1126" s="18">
        <v>0</v>
      </c>
      <c r="E1126" s="18">
        <v>2</v>
      </c>
      <c r="F1126" s="18">
        <v>23</v>
      </c>
      <c r="G1126" s="18">
        <v>9</v>
      </c>
      <c r="H1126" s="18">
        <v>5</v>
      </c>
    </row>
    <row r="1127" spans="2:8">
      <c r="B1127" s="14" t="s">
        <v>7070</v>
      </c>
      <c r="C1127" s="245" t="s">
        <v>1711</v>
      </c>
      <c r="D1127" s="15">
        <v>11</v>
      </c>
      <c r="E1127" s="15">
        <v>8</v>
      </c>
      <c r="F1127" s="15">
        <v>8</v>
      </c>
      <c r="G1127" s="15">
        <v>7</v>
      </c>
      <c r="H1127" s="15">
        <v>5</v>
      </c>
    </row>
    <row r="1128" spans="2:8">
      <c r="B1128" s="17" t="s">
        <v>7071</v>
      </c>
      <c r="C1128" s="246" t="s">
        <v>1712</v>
      </c>
      <c r="D1128" s="18">
        <v>0</v>
      </c>
      <c r="E1128" s="18">
        <v>0</v>
      </c>
      <c r="F1128" s="18">
        <v>0</v>
      </c>
      <c r="G1128" s="18">
        <v>0</v>
      </c>
      <c r="H1128" s="18">
        <v>4</v>
      </c>
    </row>
    <row r="1129" spans="2:8">
      <c r="B1129" s="14" t="s">
        <v>7072</v>
      </c>
      <c r="C1129" s="245" t="s">
        <v>1713</v>
      </c>
      <c r="D1129" s="15">
        <v>35</v>
      </c>
      <c r="E1129" s="15">
        <v>37</v>
      </c>
      <c r="F1129" s="15">
        <v>3</v>
      </c>
      <c r="G1129" s="15">
        <v>0</v>
      </c>
      <c r="H1129" s="15">
        <v>4</v>
      </c>
    </row>
    <row r="1130" spans="2:8">
      <c r="B1130" s="17" t="s">
        <v>7073</v>
      </c>
      <c r="C1130" s="246" t="s">
        <v>1714</v>
      </c>
      <c r="D1130" s="18">
        <v>3</v>
      </c>
      <c r="E1130" s="18">
        <v>33</v>
      </c>
      <c r="F1130" s="18">
        <v>92</v>
      </c>
      <c r="G1130" s="18">
        <v>0</v>
      </c>
      <c r="H1130" s="18">
        <v>4</v>
      </c>
    </row>
    <row r="1131" spans="2:8">
      <c r="B1131" s="14" t="s">
        <v>7074</v>
      </c>
      <c r="C1131" s="245" t="s">
        <v>1715</v>
      </c>
      <c r="D1131" s="15">
        <v>0</v>
      </c>
      <c r="E1131" s="15">
        <v>0</v>
      </c>
      <c r="F1131" s="15">
        <v>0</v>
      </c>
      <c r="G1131" s="15">
        <v>0</v>
      </c>
      <c r="H1131" s="15">
        <v>4</v>
      </c>
    </row>
    <row r="1132" spans="2:8">
      <c r="B1132" s="17" t="s">
        <v>7075</v>
      </c>
      <c r="C1132" s="246" t="s">
        <v>1716</v>
      </c>
      <c r="D1132" s="18">
        <v>15</v>
      </c>
      <c r="E1132" s="18">
        <v>4</v>
      </c>
      <c r="F1132" s="18">
        <v>10</v>
      </c>
      <c r="G1132" s="18">
        <v>13</v>
      </c>
      <c r="H1132" s="18">
        <v>4</v>
      </c>
    </row>
    <row r="1133" spans="2:8">
      <c r="B1133" s="14" t="s">
        <v>7076</v>
      </c>
      <c r="C1133" s="245" t="s">
        <v>1717</v>
      </c>
      <c r="D1133" s="15">
        <v>0</v>
      </c>
      <c r="E1133" s="15">
        <v>0</v>
      </c>
      <c r="F1133" s="15">
        <v>0</v>
      </c>
      <c r="G1133" s="15">
        <v>0</v>
      </c>
      <c r="H1133" s="15">
        <v>4</v>
      </c>
    </row>
    <row r="1134" spans="2:8">
      <c r="B1134" s="17" t="s">
        <v>7077</v>
      </c>
      <c r="C1134" s="246" t="s">
        <v>1718</v>
      </c>
      <c r="D1134" s="18">
        <v>0</v>
      </c>
      <c r="E1134" s="18">
        <v>0</v>
      </c>
      <c r="F1134" s="18">
        <v>20</v>
      </c>
      <c r="G1134" s="18">
        <v>0</v>
      </c>
      <c r="H1134" s="18">
        <v>4</v>
      </c>
    </row>
    <row r="1135" spans="2:8">
      <c r="B1135" s="14" t="s">
        <v>7078</v>
      </c>
      <c r="C1135" s="245" t="s">
        <v>1719</v>
      </c>
      <c r="D1135" s="15">
        <v>3</v>
      </c>
      <c r="E1135" s="15">
        <v>185</v>
      </c>
      <c r="F1135" s="15">
        <v>125</v>
      </c>
      <c r="G1135" s="15">
        <v>0</v>
      </c>
      <c r="H1135" s="15">
        <v>4</v>
      </c>
    </row>
    <row r="1136" spans="2:8">
      <c r="B1136" s="17" t="s">
        <v>7079</v>
      </c>
      <c r="C1136" s="246" t="s">
        <v>1720</v>
      </c>
      <c r="D1136" s="18">
        <v>0</v>
      </c>
      <c r="E1136" s="18">
        <v>0</v>
      </c>
      <c r="F1136" s="18">
        <v>0</v>
      </c>
      <c r="G1136" s="18">
        <v>0</v>
      </c>
      <c r="H1136" s="18">
        <v>4</v>
      </c>
    </row>
    <row r="1137" spans="2:8">
      <c r="B1137" s="14" t="s">
        <v>7080</v>
      </c>
      <c r="C1137" s="245" t="s">
        <v>1721</v>
      </c>
      <c r="D1137" s="15">
        <v>0</v>
      </c>
      <c r="E1137" s="15">
        <v>0</v>
      </c>
      <c r="F1137" s="15">
        <v>39</v>
      </c>
      <c r="G1137" s="15">
        <v>4</v>
      </c>
      <c r="H1137" s="15">
        <v>4</v>
      </c>
    </row>
    <row r="1138" spans="2:8">
      <c r="B1138" s="17" t="s">
        <v>7081</v>
      </c>
      <c r="C1138" s="246" t="s">
        <v>1722</v>
      </c>
      <c r="D1138" s="18">
        <v>0</v>
      </c>
      <c r="E1138" s="18">
        <v>0</v>
      </c>
      <c r="F1138" s="18">
        <v>0</v>
      </c>
      <c r="G1138" s="18">
        <v>0</v>
      </c>
      <c r="H1138" s="18">
        <v>4</v>
      </c>
    </row>
    <row r="1139" spans="2:8">
      <c r="B1139" s="14" t="s">
        <v>7082</v>
      </c>
      <c r="C1139" s="245" t="s">
        <v>1723</v>
      </c>
      <c r="D1139" s="15">
        <v>5</v>
      </c>
      <c r="E1139" s="15">
        <v>0</v>
      </c>
      <c r="F1139" s="15">
        <v>0</v>
      </c>
      <c r="G1139" s="15">
        <v>4</v>
      </c>
      <c r="H1139" s="15">
        <v>4</v>
      </c>
    </row>
    <row r="1140" spans="2:8">
      <c r="B1140" s="17" t="s">
        <v>7083</v>
      </c>
      <c r="C1140" s="246" t="s">
        <v>1724</v>
      </c>
      <c r="D1140" s="18">
        <v>1</v>
      </c>
      <c r="E1140" s="18">
        <v>1</v>
      </c>
      <c r="F1140" s="18">
        <v>1</v>
      </c>
      <c r="G1140" s="18">
        <v>3</v>
      </c>
      <c r="H1140" s="18">
        <v>4</v>
      </c>
    </row>
    <row r="1141" spans="2:8">
      <c r="B1141" s="14" t="s">
        <v>7084</v>
      </c>
      <c r="C1141" s="245" t="s">
        <v>1725</v>
      </c>
      <c r="D1141" s="15">
        <v>0</v>
      </c>
      <c r="E1141" s="15">
        <v>0</v>
      </c>
      <c r="F1141" s="15">
        <v>0</v>
      </c>
      <c r="G1141" s="15">
        <v>0</v>
      </c>
      <c r="H1141" s="15">
        <v>4</v>
      </c>
    </row>
    <row r="1142" spans="2:8">
      <c r="B1142" s="17" t="s">
        <v>7085</v>
      </c>
      <c r="C1142" s="246" t="s">
        <v>1726</v>
      </c>
      <c r="D1142" s="18">
        <v>1</v>
      </c>
      <c r="E1142" s="18">
        <v>3</v>
      </c>
      <c r="F1142" s="18">
        <v>4</v>
      </c>
      <c r="G1142" s="18">
        <v>2</v>
      </c>
      <c r="H1142" s="18">
        <v>4</v>
      </c>
    </row>
    <row r="1143" spans="2:8">
      <c r="B1143" s="14" t="s">
        <v>7086</v>
      </c>
      <c r="C1143" s="245" t="s">
        <v>1727</v>
      </c>
      <c r="D1143" s="15">
        <v>0</v>
      </c>
      <c r="E1143" s="15">
        <v>0</v>
      </c>
      <c r="F1143" s="15">
        <v>0</v>
      </c>
      <c r="G1143" s="15">
        <v>0</v>
      </c>
      <c r="H1143" s="15">
        <v>4</v>
      </c>
    </row>
    <row r="1144" spans="2:8">
      <c r="B1144" s="17" t="s">
        <v>7087</v>
      </c>
      <c r="C1144" s="246" t="s">
        <v>1728</v>
      </c>
      <c r="D1144" s="18">
        <v>0</v>
      </c>
      <c r="E1144" s="18">
        <v>0</v>
      </c>
      <c r="F1144" s="18">
        <v>0</v>
      </c>
      <c r="G1144" s="18">
        <v>0</v>
      </c>
      <c r="H1144" s="18">
        <v>4</v>
      </c>
    </row>
    <row r="1145" spans="2:8">
      <c r="B1145" s="14" t="s">
        <v>7088</v>
      </c>
      <c r="C1145" s="245" t="s">
        <v>1729</v>
      </c>
      <c r="D1145" s="15">
        <v>0</v>
      </c>
      <c r="E1145" s="15">
        <v>0</v>
      </c>
      <c r="F1145" s="15">
        <v>0</v>
      </c>
      <c r="G1145" s="15">
        <v>95</v>
      </c>
      <c r="H1145" s="15">
        <v>4</v>
      </c>
    </row>
    <row r="1146" spans="2:8">
      <c r="B1146" s="17" t="s">
        <v>7089</v>
      </c>
      <c r="C1146" s="246" t="s">
        <v>1730</v>
      </c>
      <c r="D1146" s="18">
        <v>0</v>
      </c>
      <c r="E1146" s="18">
        <v>0</v>
      </c>
      <c r="F1146" s="18">
        <v>0</v>
      </c>
      <c r="G1146" s="18">
        <v>0</v>
      </c>
      <c r="H1146" s="18">
        <v>4</v>
      </c>
    </row>
    <row r="1147" spans="2:8">
      <c r="B1147" s="14" t="s">
        <v>7090</v>
      </c>
      <c r="C1147" s="245" t="s">
        <v>1731</v>
      </c>
      <c r="D1147" s="15">
        <v>0</v>
      </c>
      <c r="E1147" s="15">
        <v>0</v>
      </c>
      <c r="F1147" s="15">
        <v>0</v>
      </c>
      <c r="G1147" s="15">
        <v>31</v>
      </c>
      <c r="H1147" s="15">
        <v>4</v>
      </c>
    </row>
    <row r="1148" spans="2:8">
      <c r="B1148" s="17" t="s">
        <v>7091</v>
      </c>
      <c r="C1148" s="246" t="s">
        <v>1732</v>
      </c>
      <c r="D1148" s="18">
        <v>0</v>
      </c>
      <c r="E1148" s="18">
        <v>0</v>
      </c>
      <c r="F1148" s="18">
        <v>0</v>
      </c>
      <c r="G1148" s="18">
        <v>0</v>
      </c>
      <c r="H1148" s="18">
        <v>4</v>
      </c>
    </row>
    <row r="1149" spans="2:8">
      <c r="B1149" s="14" t="s">
        <v>7092</v>
      </c>
      <c r="C1149" s="245" t="s">
        <v>1733</v>
      </c>
      <c r="D1149" s="15">
        <v>0</v>
      </c>
      <c r="E1149" s="15">
        <v>0</v>
      </c>
      <c r="F1149" s="15">
        <v>0</v>
      </c>
      <c r="G1149" s="15">
        <v>0</v>
      </c>
      <c r="H1149" s="15">
        <v>4</v>
      </c>
    </row>
    <row r="1150" spans="2:8">
      <c r="B1150" s="17" t="s">
        <v>7093</v>
      </c>
      <c r="C1150" s="246" t="s">
        <v>1734</v>
      </c>
      <c r="D1150" s="18">
        <v>29</v>
      </c>
      <c r="E1150" s="18">
        <v>0</v>
      </c>
      <c r="F1150" s="18">
        <v>0</v>
      </c>
      <c r="G1150" s="18">
        <v>168</v>
      </c>
      <c r="H1150" s="18">
        <v>4</v>
      </c>
    </row>
    <row r="1151" spans="2:8">
      <c r="B1151" s="14" t="s">
        <v>7094</v>
      </c>
      <c r="C1151" s="245" t="s">
        <v>1735</v>
      </c>
      <c r="D1151" s="15">
        <v>0</v>
      </c>
      <c r="E1151" s="15">
        <v>0</v>
      </c>
      <c r="F1151" s="15">
        <v>0</v>
      </c>
      <c r="G1151" s="15">
        <v>0</v>
      </c>
      <c r="H1151" s="15">
        <v>4</v>
      </c>
    </row>
    <row r="1152" spans="2:8">
      <c r="B1152" s="17" t="s">
        <v>7095</v>
      </c>
      <c r="C1152" s="246" t="s">
        <v>1736</v>
      </c>
      <c r="D1152" s="18">
        <v>20</v>
      </c>
      <c r="E1152" s="18">
        <v>44</v>
      </c>
      <c r="F1152" s="18">
        <v>1</v>
      </c>
      <c r="G1152" s="18">
        <v>0</v>
      </c>
      <c r="H1152" s="18">
        <v>4</v>
      </c>
    </row>
    <row r="1153" spans="2:8">
      <c r="B1153" s="14" t="s">
        <v>7096</v>
      </c>
      <c r="C1153" s="245" t="s">
        <v>1737</v>
      </c>
      <c r="D1153" s="15">
        <v>3</v>
      </c>
      <c r="E1153" s="15">
        <v>9</v>
      </c>
      <c r="F1153" s="15">
        <v>4</v>
      </c>
      <c r="G1153" s="15">
        <v>0</v>
      </c>
      <c r="H1153" s="15">
        <v>4</v>
      </c>
    </row>
    <row r="1154" spans="2:8">
      <c r="B1154" s="17" t="s">
        <v>7097</v>
      </c>
      <c r="C1154" s="246" t="s">
        <v>1738</v>
      </c>
      <c r="D1154" s="18">
        <v>55</v>
      </c>
      <c r="E1154" s="18">
        <v>0</v>
      </c>
      <c r="F1154" s="18">
        <v>0</v>
      </c>
      <c r="G1154" s="18">
        <v>0</v>
      </c>
      <c r="H1154" s="18">
        <v>3</v>
      </c>
    </row>
    <row r="1155" spans="2:8">
      <c r="B1155" s="14" t="s">
        <v>7098</v>
      </c>
      <c r="C1155" s="245" t="s">
        <v>1739</v>
      </c>
      <c r="D1155" s="15">
        <v>0</v>
      </c>
      <c r="E1155" s="15">
        <v>0</v>
      </c>
      <c r="F1155" s="15">
        <v>0</v>
      </c>
      <c r="G1155" s="15">
        <v>0</v>
      </c>
      <c r="H1155" s="15">
        <v>3</v>
      </c>
    </row>
    <row r="1156" spans="2:8">
      <c r="B1156" s="17" t="s">
        <v>7099</v>
      </c>
      <c r="C1156" s="246" t="s">
        <v>1740</v>
      </c>
      <c r="D1156" s="18">
        <v>3</v>
      </c>
      <c r="E1156" s="18">
        <v>1</v>
      </c>
      <c r="F1156" s="18">
        <v>1</v>
      </c>
      <c r="G1156" s="18">
        <v>7</v>
      </c>
      <c r="H1156" s="18">
        <v>3</v>
      </c>
    </row>
    <row r="1157" spans="2:8">
      <c r="B1157" s="14" t="s">
        <v>7100</v>
      </c>
      <c r="C1157" s="245" t="s">
        <v>1741</v>
      </c>
      <c r="D1157" s="15">
        <v>3</v>
      </c>
      <c r="E1157" s="15">
        <v>13</v>
      </c>
      <c r="F1157" s="15">
        <v>7</v>
      </c>
      <c r="G1157" s="15">
        <v>9</v>
      </c>
      <c r="H1157" s="15">
        <v>3</v>
      </c>
    </row>
    <row r="1158" spans="2:8">
      <c r="B1158" s="17" t="s">
        <v>7101</v>
      </c>
      <c r="C1158" s="246" t="s">
        <v>1742</v>
      </c>
      <c r="D1158" s="18">
        <v>11</v>
      </c>
      <c r="E1158" s="18">
        <v>17</v>
      </c>
      <c r="F1158" s="18">
        <v>85</v>
      </c>
      <c r="G1158" s="18">
        <v>90</v>
      </c>
      <c r="H1158" s="18">
        <v>3</v>
      </c>
    </row>
    <row r="1159" spans="2:8">
      <c r="B1159" s="14" t="s">
        <v>7102</v>
      </c>
      <c r="C1159" s="245" t="s">
        <v>1743</v>
      </c>
      <c r="D1159" s="15">
        <v>0</v>
      </c>
      <c r="E1159" s="15">
        <v>0</v>
      </c>
      <c r="F1159" s="15">
        <v>8</v>
      </c>
      <c r="G1159" s="15">
        <v>0</v>
      </c>
      <c r="H1159" s="15">
        <v>3</v>
      </c>
    </row>
    <row r="1160" spans="2:8">
      <c r="B1160" s="17" t="s">
        <v>7103</v>
      </c>
      <c r="C1160" s="246" t="s">
        <v>1744</v>
      </c>
      <c r="D1160" s="18">
        <v>44</v>
      </c>
      <c r="E1160" s="18">
        <v>3</v>
      </c>
      <c r="F1160" s="18">
        <v>4</v>
      </c>
      <c r="G1160" s="18">
        <v>9</v>
      </c>
      <c r="H1160" s="18">
        <v>3</v>
      </c>
    </row>
    <row r="1161" spans="2:8">
      <c r="B1161" s="14" t="s">
        <v>7104</v>
      </c>
      <c r="C1161" s="245" t="s">
        <v>1745</v>
      </c>
      <c r="D1161" s="15">
        <v>0</v>
      </c>
      <c r="E1161" s="15">
        <v>0</v>
      </c>
      <c r="F1161" s="15">
        <v>0</v>
      </c>
      <c r="G1161" s="15">
        <v>0</v>
      </c>
      <c r="H1161" s="15">
        <v>3</v>
      </c>
    </row>
    <row r="1162" spans="2:8">
      <c r="B1162" s="17" t="s">
        <v>7105</v>
      </c>
      <c r="C1162" s="246" t="s">
        <v>1746</v>
      </c>
      <c r="D1162" s="18">
        <v>0</v>
      </c>
      <c r="E1162" s="18">
        <v>9</v>
      </c>
      <c r="F1162" s="18">
        <v>2</v>
      </c>
      <c r="G1162" s="18">
        <v>8</v>
      </c>
      <c r="H1162" s="18">
        <v>3</v>
      </c>
    </row>
    <row r="1163" spans="2:8">
      <c r="B1163" s="14" t="s">
        <v>7106</v>
      </c>
      <c r="C1163" s="245" t="s">
        <v>1747</v>
      </c>
      <c r="D1163" s="15">
        <v>0</v>
      </c>
      <c r="E1163" s="15">
        <v>22</v>
      </c>
      <c r="F1163" s="15">
        <v>4</v>
      </c>
      <c r="G1163" s="15">
        <v>3</v>
      </c>
      <c r="H1163" s="15">
        <v>3</v>
      </c>
    </row>
    <row r="1164" spans="2:8">
      <c r="B1164" s="17" t="s">
        <v>7107</v>
      </c>
      <c r="C1164" s="246" t="s">
        <v>1748</v>
      </c>
      <c r="D1164" s="18">
        <v>0</v>
      </c>
      <c r="E1164" s="18">
        <v>0</v>
      </c>
      <c r="F1164" s="18">
        <v>0</v>
      </c>
      <c r="G1164" s="18">
        <v>0</v>
      </c>
      <c r="H1164" s="18">
        <v>3</v>
      </c>
    </row>
    <row r="1165" spans="2:8">
      <c r="B1165" s="14" t="s">
        <v>7108</v>
      </c>
      <c r="C1165" s="245" t="s">
        <v>1749</v>
      </c>
      <c r="D1165" s="15">
        <v>0</v>
      </c>
      <c r="E1165" s="15">
        <v>0</v>
      </c>
      <c r="F1165" s="15">
        <v>0</v>
      </c>
      <c r="G1165" s="15">
        <v>2</v>
      </c>
      <c r="H1165" s="15">
        <v>3</v>
      </c>
    </row>
    <row r="1166" spans="2:8">
      <c r="B1166" s="17" t="s">
        <v>7109</v>
      </c>
      <c r="C1166" s="246" t="s">
        <v>1750</v>
      </c>
      <c r="D1166" s="18">
        <v>4</v>
      </c>
      <c r="E1166" s="18">
        <v>0</v>
      </c>
      <c r="F1166" s="18">
        <v>12</v>
      </c>
      <c r="G1166" s="18">
        <v>0</v>
      </c>
      <c r="H1166" s="18">
        <v>3</v>
      </c>
    </row>
    <row r="1167" spans="2:8">
      <c r="B1167" s="14" t="s">
        <v>7110</v>
      </c>
      <c r="C1167" s="245" t="s">
        <v>1751</v>
      </c>
      <c r="D1167" s="15">
        <v>13</v>
      </c>
      <c r="E1167" s="15">
        <v>0</v>
      </c>
      <c r="F1167" s="15">
        <v>5</v>
      </c>
      <c r="G1167" s="15">
        <v>0</v>
      </c>
      <c r="H1167" s="15">
        <v>3</v>
      </c>
    </row>
    <row r="1168" spans="2:8">
      <c r="B1168" s="17" t="s">
        <v>7111</v>
      </c>
      <c r="C1168" s="246" t="s">
        <v>1752</v>
      </c>
      <c r="D1168" s="18">
        <v>15</v>
      </c>
      <c r="E1168" s="18">
        <v>0</v>
      </c>
      <c r="F1168" s="18">
        <v>1</v>
      </c>
      <c r="G1168" s="18">
        <v>4</v>
      </c>
      <c r="H1168" s="18">
        <v>3</v>
      </c>
    </row>
    <row r="1169" spans="2:8">
      <c r="B1169" s="14" t="s">
        <v>7112</v>
      </c>
      <c r="C1169" s="245" t="s">
        <v>1753</v>
      </c>
      <c r="D1169" s="15">
        <v>0</v>
      </c>
      <c r="E1169" s="15">
        <v>0</v>
      </c>
      <c r="F1169" s="15">
        <v>0</v>
      </c>
      <c r="G1169" s="15">
        <v>0</v>
      </c>
      <c r="H1169" s="15">
        <v>3</v>
      </c>
    </row>
    <row r="1170" spans="2:8">
      <c r="B1170" s="17" t="s">
        <v>7113</v>
      </c>
      <c r="C1170" s="246" t="s">
        <v>1754</v>
      </c>
      <c r="D1170" s="18">
        <v>0</v>
      </c>
      <c r="E1170" s="18">
        <v>0</v>
      </c>
      <c r="F1170" s="18">
        <v>0</v>
      </c>
      <c r="G1170" s="18">
        <v>0</v>
      </c>
      <c r="H1170" s="18">
        <v>3</v>
      </c>
    </row>
    <row r="1171" spans="2:8">
      <c r="B1171" s="14" t="s">
        <v>7114</v>
      </c>
      <c r="C1171" s="245" t="s">
        <v>1755</v>
      </c>
      <c r="D1171" s="15">
        <v>0</v>
      </c>
      <c r="E1171" s="15">
        <v>3</v>
      </c>
      <c r="F1171" s="15">
        <v>1</v>
      </c>
      <c r="G1171" s="15">
        <v>1</v>
      </c>
      <c r="H1171" s="15">
        <v>3</v>
      </c>
    </row>
    <row r="1172" spans="2:8">
      <c r="B1172" s="17" t="s">
        <v>7115</v>
      </c>
      <c r="C1172" s="246" t="s">
        <v>1756</v>
      </c>
      <c r="D1172" s="18">
        <v>0</v>
      </c>
      <c r="E1172" s="18">
        <v>0</v>
      </c>
      <c r="F1172" s="18">
        <v>0</v>
      </c>
      <c r="G1172" s="18">
        <v>0</v>
      </c>
      <c r="H1172" s="18">
        <v>3</v>
      </c>
    </row>
    <row r="1173" spans="2:8">
      <c r="B1173" s="14" t="s">
        <v>7116</v>
      </c>
      <c r="C1173" s="245" t="s">
        <v>1757</v>
      </c>
      <c r="D1173" s="15">
        <v>0</v>
      </c>
      <c r="E1173" s="15">
        <v>1</v>
      </c>
      <c r="F1173" s="15">
        <v>2</v>
      </c>
      <c r="G1173" s="15">
        <v>1</v>
      </c>
      <c r="H1173" s="15">
        <v>3</v>
      </c>
    </row>
    <row r="1174" spans="2:8">
      <c r="B1174" s="17" t="s">
        <v>7117</v>
      </c>
      <c r="C1174" s="246" t="s">
        <v>1758</v>
      </c>
      <c r="D1174" s="18">
        <v>0</v>
      </c>
      <c r="E1174" s="18">
        <v>8</v>
      </c>
      <c r="F1174" s="18">
        <v>149</v>
      </c>
      <c r="G1174" s="18">
        <v>31</v>
      </c>
      <c r="H1174" s="18">
        <v>3</v>
      </c>
    </row>
    <row r="1175" spans="2:8">
      <c r="B1175" s="14" t="s">
        <v>7118</v>
      </c>
      <c r="C1175" s="245" t="s">
        <v>1759</v>
      </c>
      <c r="D1175" s="15">
        <v>4</v>
      </c>
      <c r="E1175" s="15">
        <v>47</v>
      </c>
      <c r="F1175" s="15">
        <v>48</v>
      </c>
      <c r="G1175" s="15">
        <v>6</v>
      </c>
      <c r="H1175" s="15">
        <v>3</v>
      </c>
    </row>
    <row r="1176" spans="2:8">
      <c r="B1176" s="17" t="s">
        <v>7119</v>
      </c>
      <c r="C1176" s="246" t="s">
        <v>1760</v>
      </c>
      <c r="D1176" s="18">
        <v>0</v>
      </c>
      <c r="E1176" s="18">
        <v>0</v>
      </c>
      <c r="F1176" s="18">
        <v>0</v>
      </c>
      <c r="G1176" s="18">
        <v>0</v>
      </c>
      <c r="H1176" s="18">
        <v>3</v>
      </c>
    </row>
    <row r="1177" spans="2:8">
      <c r="B1177" s="14" t="s">
        <v>7120</v>
      </c>
      <c r="C1177" s="245" t="s">
        <v>1761</v>
      </c>
      <c r="D1177" s="15">
        <v>189</v>
      </c>
      <c r="E1177" s="15">
        <v>15</v>
      </c>
      <c r="F1177" s="15">
        <v>27</v>
      </c>
      <c r="G1177" s="15">
        <v>1109</v>
      </c>
      <c r="H1177" s="15">
        <v>3</v>
      </c>
    </row>
    <row r="1178" spans="2:8">
      <c r="B1178" s="17" t="s">
        <v>7121</v>
      </c>
      <c r="C1178" s="246" t="s">
        <v>1762</v>
      </c>
      <c r="D1178" s="18">
        <v>0</v>
      </c>
      <c r="E1178" s="18">
        <v>0</v>
      </c>
      <c r="F1178" s="18">
        <v>0</v>
      </c>
      <c r="G1178" s="18">
        <v>0</v>
      </c>
      <c r="H1178" s="18">
        <v>3</v>
      </c>
    </row>
    <row r="1179" spans="2:8">
      <c r="B1179" s="14" t="s">
        <v>7122</v>
      </c>
      <c r="C1179" s="245" t="s">
        <v>1763</v>
      </c>
      <c r="D1179" s="15">
        <v>0</v>
      </c>
      <c r="E1179" s="15">
        <v>0</v>
      </c>
      <c r="F1179" s="15">
        <v>12</v>
      </c>
      <c r="G1179" s="15">
        <v>7</v>
      </c>
      <c r="H1179" s="15">
        <v>3</v>
      </c>
    </row>
    <row r="1180" spans="2:8">
      <c r="B1180" s="17" t="s">
        <v>7123</v>
      </c>
      <c r="C1180" s="246" t="s">
        <v>1764</v>
      </c>
      <c r="D1180" s="18">
        <v>0</v>
      </c>
      <c r="E1180" s="18">
        <v>0</v>
      </c>
      <c r="F1180" s="18">
        <v>5</v>
      </c>
      <c r="G1180" s="18">
        <v>0</v>
      </c>
      <c r="H1180" s="18">
        <v>3</v>
      </c>
    </row>
    <row r="1181" spans="2:8">
      <c r="B1181" s="14" t="s">
        <v>7124</v>
      </c>
      <c r="C1181" s="245" t="s">
        <v>1765</v>
      </c>
      <c r="D1181" s="15">
        <v>0</v>
      </c>
      <c r="E1181" s="15">
        <v>0</v>
      </c>
      <c r="F1181" s="15">
        <v>0</v>
      </c>
      <c r="G1181" s="15">
        <v>168</v>
      </c>
      <c r="H1181" s="15">
        <v>3</v>
      </c>
    </row>
    <row r="1182" spans="2:8">
      <c r="B1182" s="17" t="s">
        <v>7125</v>
      </c>
      <c r="C1182" s="246" t="s">
        <v>1766</v>
      </c>
      <c r="D1182" s="18">
        <v>0</v>
      </c>
      <c r="E1182" s="18">
        <v>0</v>
      </c>
      <c r="F1182" s="18">
        <v>0</v>
      </c>
      <c r="G1182" s="18">
        <v>0</v>
      </c>
      <c r="H1182" s="18">
        <v>3</v>
      </c>
    </row>
    <row r="1183" spans="2:8">
      <c r="B1183" s="14" t="s">
        <v>7126</v>
      </c>
      <c r="C1183" s="245" t="s">
        <v>1767</v>
      </c>
      <c r="D1183" s="15">
        <v>0</v>
      </c>
      <c r="E1183" s="15">
        <v>0</v>
      </c>
      <c r="F1183" s="15">
        <v>0</v>
      </c>
      <c r="G1183" s="15">
        <v>0</v>
      </c>
      <c r="H1183" s="15">
        <v>3</v>
      </c>
    </row>
    <row r="1184" spans="2:8">
      <c r="B1184" s="17" t="s">
        <v>7127</v>
      </c>
      <c r="C1184" s="246" t="s">
        <v>1768</v>
      </c>
      <c r="D1184" s="18">
        <v>0</v>
      </c>
      <c r="E1184" s="18">
        <v>0</v>
      </c>
      <c r="F1184" s="18">
        <v>0</v>
      </c>
      <c r="G1184" s="18">
        <v>0</v>
      </c>
      <c r="H1184" s="18">
        <v>3</v>
      </c>
    </row>
    <row r="1185" spans="2:8">
      <c r="B1185" s="14" t="s">
        <v>7128</v>
      </c>
      <c r="C1185" s="245" t="s">
        <v>1769</v>
      </c>
      <c r="D1185" s="15">
        <v>0</v>
      </c>
      <c r="E1185" s="15">
        <v>0</v>
      </c>
      <c r="F1185" s="15">
        <v>0</v>
      </c>
      <c r="G1185" s="15">
        <v>0</v>
      </c>
      <c r="H1185" s="15">
        <v>3</v>
      </c>
    </row>
    <row r="1186" spans="2:8">
      <c r="B1186" s="17" t="s">
        <v>7129</v>
      </c>
      <c r="C1186" s="246" t="s">
        <v>1770</v>
      </c>
      <c r="D1186" s="18">
        <v>0</v>
      </c>
      <c r="E1186" s="18">
        <v>2</v>
      </c>
      <c r="F1186" s="18">
        <v>4</v>
      </c>
      <c r="G1186" s="18">
        <v>2</v>
      </c>
      <c r="H1186" s="18">
        <v>3</v>
      </c>
    </row>
    <row r="1187" spans="2:8">
      <c r="B1187" s="14" t="s">
        <v>7130</v>
      </c>
      <c r="C1187" s="245" t="s">
        <v>1771</v>
      </c>
      <c r="D1187" s="15">
        <v>5</v>
      </c>
      <c r="E1187" s="15">
        <v>0</v>
      </c>
      <c r="F1187" s="15">
        <v>0</v>
      </c>
      <c r="G1187" s="15">
        <v>0</v>
      </c>
      <c r="H1187" s="15">
        <v>3</v>
      </c>
    </row>
    <row r="1188" spans="2:8">
      <c r="B1188" s="17" t="s">
        <v>7131</v>
      </c>
      <c r="C1188" s="246" t="s">
        <v>1772</v>
      </c>
      <c r="D1188" s="18">
        <v>0</v>
      </c>
      <c r="E1188" s="18">
        <v>0</v>
      </c>
      <c r="F1188" s="18">
        <v>11</v>
      </c>
      <c r="G1188" s="18">
        <v>0</v>
      </c>
      <c r="H1188" s="18">
        <v>3</v>
      </c>
    </row>
    <row r="1189" spans="2:8">
      <c r="B1189" s="14" t="s">
        <v>7132</v>
      </c>
      <c r="C1189" s="245" t="s">
        <v>1773</v>
      </c>
      <c r="D1189" s="15">
        <v>0</v>
      </c>
      <c r="E1189" s="15">
        <v>0</v>
      </c>
      <c r="F1189" s="15">
        <v>0</v>
      </c>
      <c r="G1189" s="15">
        <v>0</v>
      </c>
      <c r="H1189" s="15">
        <v>3</v>
      </c>
    </row>
    <row r="1190" spans="2:8">
      <c r="B1190" s="17" t="s">
        <v>7133</v>
      </c>
      <c r="C1190" s="246" t="s">
        <v>1774</v>
      </c>
      <c r="D1190" s="18">
        <v>0</v>
      </c>
      <c r="E1190" s="18">
        <v>0</v>
      </c>
      <c r="F1190" s="18">
        <v>11</v>
      </c>
      <c r="G1190" s="18">
        <v>0</v>
      </c>
      <c r="H1190" s="18">
        <v>3</v>
      </c>
    </row>
    <row r="1191" spans="2:8">
      <c r="B1191" s="14" t="s">
        <v>7134</v>
      </c>
      <c r="C1191" s="245" t="s">
        <v>1775</v>
      </c>
      <c r="D1191" s="15">
        <v>0</v>
      </c>
      <c r="E1191" s="15">
        <v>0</v>
      </c>
      <c r="F1191" s="15">
        <v>0</v>
      </c>
      <c r="G1191" s="15">
        <v>0</v>
      </c>
      <c r="H1191" s="15">
        <v>3</v>
      </c>
    </row>
    <row r="1192" spans="2:8">
      <c r="B1192" s="17" t="s">
        <v>7135</v>
      </c>
      <c r="C1192" s="246" t="s">
        <v>1776</v>
      </c>
      <c r="D1192" s="18">
        <v>10</v>
      </c>
      <c r="E1192" s="18">
        <v>0</v>
      </c>
      <c r="F1192" s="18">
        <v>0</v>
      </c>
      <c r="G1192" s="18">
        <v>0</v>
      </c>
      <c r="H1192" s="18">
        <v>3</v>
      </c>
    </row>
    <row r="1193" spans="2:8">
      <c r="B1193" s="14" t="s">
        <v>7136</v>
      </c>
      <c r="C1193" s="245" t="s">
        <v>1777</v>
      </c>
      <c r="D1193" s="15">
        <v>0</v>
      </c>
      <c r="E1193" s="15">
        <v>0</v>
      </c>
      <c r="F1193" s="15">
        <v>7</v>
      </c>
      <c r="G1193" s="15">
        <v>3</v>
      </c>
      <c r="H1193" s="15">
        <v>3</v>
      </c>
    </row>
    <row r="1194" spans="2:8">
      <c r="B1194" s="17" t="s">
        <v>7137</v>
      </c>
      <c r="C1194" s="246" t="s">
        <v>1778</v>
      </c>
      <c r="D1194" s="18">
        <v>0</v>
      </c>
      <c r="E1194" s="18">
        <v>0</v>
      </c>
      <c r="F1194" s="18">
        <v>0</v>
      </c>
      <c r="G1194" s="18">
        <v>0</v>
      </c>
      <c r="H1194" s="18">
        <v>3</v>
      </c>
    </row>
    <row r="1195" spans="2:8">
      <c r="B1195" s="14" t="s">
        <v>7138</v>
      </c>
      <c r="C1195" s="245" t="s">
        <v>1779</v>
      </c>
      <c r="D1195" s="15">
        <v>0</v>
      </c>
      <c r="E1195" s="15">
        <v>0</v>
      </c>
      <c r="F1195" s="15">
        <v>0</v>
      </c>
      <c r="G1195" s="15">
        <v>0</v>
      </c>
      <c r="H1195" s="15">
        <v>3</v>
      </c>
    </row>
    <row r="1196" spans="2:8">
      <c r="B1196" s="17" t="s">
        <v>7139</v>
      </c>
      <c r="C1196" s="246" t="s">
        <v>1780</v>
      </c>
      <c r="D1196" s="18">
        <v>3</v>
      </c>
      <c r="E1196" s="18">
        <v>0</v>
      </c>
      <c r="F1196" s="18">
        <v>39</v>
      </c>
      <c r="G1196" s="18">
        <v>0</v>
      </c>
      <c r="H1196" s="18">
        <v>3</v>
      </c>
    </row>
    <row r="1197" spans="2:8">
      <c r="B1197" s="14" t="s">
        <v>7140</v>
      </c>
      <c r="C1197" s="245" t="s">
        <v>1781</v>
      </c>
      <c r="D1197" s="15">
        <v>4</v>
      </c>
      <c r="E1197" s="15">
        <v>0</v>
      </c>
      <c r="F1197" s="15">
        <v>0</v>
      </c>
      <c r="G1197" s="15">
        <v>0</v>
      </c>
      <c r="H1197" s="15">
        <v>3</v>
      </c>
    </row>
    <row r="1198" spans="2:8">
      <c r="B1198" s="17" t="s">
        <v>7141</v>
      </c>
      <c r="C1198" s="246" t="s">
        <v>1782</v>
      </c>
      <c r="D1198" s="18">
        <v>0</v>
      </c>
      <c r="E1198" s="18">
        <v>0</v>
      </c>
      <c r="F1198" s="18">
        <v>0</v>
      </c>
      <c r="G1198" s="18">
        <v>0</v>
      </c>
      <c r="H1198" s="18">
        <v>3</v>
      </c>
    </row>
    <row r="1199" spans="2:8">
      <c r="B1199" s="14" t="s">
        <v>7142</v>
      </c>
      <c r="C1199" s="245" t="s">
        <v>1783</v>
      </c>
      <c r="D1199" s="15">
        <v>0</v>
      </c>
      <c r="E1199" s="15">
        <v>0</v>
      </c>
      <c r="F1199" s="15">
        <v>5</v>
      </c>
      <c r="G1199" s="15">
        <v>0</v>
      </c>
      <c r="H1199" s="15">
        <v>3</v>
      </c>
    </row>
    <row r="1200" spans="2:8">
      <c r="B1200" s="17" t="s">
        <v>7143</v>
      </c>
      <c r="C1200" s="246" t="s">
        <v>1784</v>
      </c>
      <c r="D1200" s="18">
        <v>24</v>
      </c>
      <c r="E1200" s="18">
        <v>0</v>
      </c>
      <c r="F1200" s="18">
        <v>52</v>
      </c>
      <c r="G1200" s="18">
        <v>0</v>
      </c>
      <c r="H1200" s="18">
        <v>3</v>
      </c>
    </row>
    <row r="1201" spans="2:8">
      <c r="B1201" s="14" t="s">
        <v>7144</v>
      </c>
      <c r="C1201" s="245" t="s">
        <v>1785</v>
      </c>
      <c r="D1201" s="15">
        <v>52</v>
      </c>
      <c r="E1201" s="15">
        <v>2</v>
      </c>
      <c r="F1201" s="15">
        <v>3</v>
      </c>
      <c r="G1201" s="15">
        <v>3</v>
      </c>
      <c r="H1201" s="15">
        <v>3</v>
      </c>
    </row>
    <row r="1202" spans="2:8">
      <c r="B1202" s="17" t="s">
        <v>7145</v>
      </c>
      <c r="C1202" s="246" t="s">
        <v>1786</v>
      </c>
      <c r="D1202" s="18">
        <v>0</v>
      </c>
      <c r="E1202" s="18">
        <v>6</v>
      </c>
      <c r="F1202" s="18">
        <v>0</v>
      </c>
      <c r="G1202" s="18">
        <v>0</v>
      </c>
      <c r="H1202" s="18">
        <v>3</v>
      </c>
    </row>
    <row r="1203" spans="2:8">
      <c r="B1203" s="14" t="s">
        <v>7146</v>
      </c>
      <c r="C1203" s="245" t="s">
        <v>1787</v>
      </c>
      <c r="D1203" s="15">
        <v>0</v>
      </c>
      <c r="E1203" s="15">
        <v>0</v>
      </c>
      <c r="F1203" s="15">
        <v>0</v>
      </c>
      <c r="G1203" s="15">
        <v>0</v>
      </c>
      <c r="H1203" s="15">
        <v>3</v>
      </c>
    </row>
    <row r="1204" spans="2:8">
      <c r="B1204" s="17" t="s">
        <v>7147</v>
      </c>
      <c r="C1204" s="246" t="s">
        <v>1788</v>
      </c>
      <c r="D1204" s="18">
        <v>10</v>
      </c>
      <c r="E1204" s="18">
        <v>0</v>
      </c>
      <c r="F1204" s="18">
        <v>1</v>
      </c>
      <c r="G1204" s="18">
        <v>0</v>
      </c>
      <c r="H1204" s="18">
        <v>3</v>
      </c>
    </row>
    <row r="1205" spans="2:8">
      <c r="B1205" s="14" t="s">
        <v>7148</v>
      </c>
      <c r="C1205" s="245" t="s">
        <v>1789</v>
      </c>
      <c r="D1205" s="15">
        <v>0</v>
      </c>
      <c r="E1205" s="15">
        <v>0</v>
      </c>
      <c r="F1205" s="15">
        <v>0</v>
      </c>
      <c r="G1205" s="15">
        <v>0</v>
      </c>
      <c r="H1205" s="15">
        <v>3</v>
      </c>
    </row>
    <row r="1206" spans="2:8">
      <c r="B1206" s="17" t="s">
        <v>7149</v>
      </c>
      <c r="C1206" s="246" t="s">
        <v>1790</v>
      </c>
      <c r="D1206" s="18">
        <v>2</v>
      </c>
      <c r="E1206" s="18">
        <v>0</v>
      </c>
      <c r="F1206" s="18">
        <v>0</v>
      </c>
      <c r="G1206" s="18">
        <v>9</v>
      </c>
      <c r="H1206" s="18">
        <v>3</v>
      </c>
    </row>
    <row r="1207" spans="2:8">
      <c r="B1207" s="14" t="s">
        <v>7150</v>
      </c>
      <c r="C1207" s="245" t="s">
        <v>1791</v>
      </c>
      <c r="D1207" s="15">
        <v>4</v>
      </c>
      <c r="E1207" s="15">
        <v>37</v>
      </c>
      <c r="F1207" s="15">
        <v>0</v>
      </c>
      <c r="G1207" s="15">
        <v>3</v>
      </c>
      <c r="H1207" s="15">
        <v>3</v>
      </c>
    </row>
    <row r="1208" spans="2:8">
      <c r="B1208" s="17" t="s">
        <v>7151</v>
      </c>
      <c r="C1208" s="246" t="s">
        <v>1792</v>
      </c>
      <c r="D1208" s="18">
        <v>0</v>
      </c>
      <c r="E1208" s="18">
        <v>0</v>
      </c>
      <c r="F1208" s="18">
        <v>0</v>
      </c>
      <c r="G1208" s="18">
        <v>0</v>
      </c>
      <c r="H1208" s="18">
        <v>3</v>
      </c>
    </row>
    <row r="1209" spans="2:8">
      <c r="B1209" s="14" t="s">
        <v>7152</v>
      </c>
      <c r="C1209" s="245" t="s">
        <v>1793</v>
      </c>
      <c r="D1209" s="15">
        <v>0</v>
      </c>
      <c r="E1209" s="15">
        <v>0</v>
      </c>
      <c r="F1209" s="15">
        <v>0</v>
      </c>
      <c r="G1209" s="15">
        <v>0</v>
      </c>
      <c r="H1209" s="15">
        <v>3</v>
      </c>
    </row>
    <row r="1210" spans="2:8">
      <c r="B1210" s="17" t="s">
        <v>7153</v>
      </c>
      <c r="C1210" s="246" t="s">
        <v>1794</v>
      </c>
      <c r="D1210" s="18">
        <v>0</v>
      </c>
      <c r="E1210" s="18">
        <v>0</v>
      </c>
      <c r="F1210" s="18">
        <v>0</v>
      </c>
      <c r="G1210" s="18">
        <v>2</v>
      </c>
      <c r="H1210" s="18">
        <v>3</v>
      </c>
    </row>
    <row r="1211" spans="2:8">
      <c r="B1211" s="14" t="s">
        <v>7154</v>
      </c>
      <c r="C1211" s="245" t="s">
        <v>1795</v>
      </c>
      <c r="D1211" s="15">
        <v>222</v>
      </c>
      <c r="E1211" s="15">
        <v>41</v>
      </c>
      <c r="F1211" s="15">
        <v>37</v>
      </c>
      <c r="G1211" s="15">
        <v>29</v>
      </c>
      <c r="H1211" s="15">
        <v>3</v>
      </c>
    </row>
    <row r="1212" spans="2:8">
      <c r="B1212" s="17" t="s">
        <v>7155</v>
      </c>
      <c r="C1212" s="246" t="s">
        <v>1796</v>
      </c>
      <c r="D1212" s="18">
        <v>0</v>
      </c>
      <c r="E1212" s="18">
        <v>0</v>
      </c>
      <c r="F1212" s="18">
        <v>0</v>
      </c>
      <c r="G1212" s="18">
        <v>0</v>
      </c>
      <c r="H1212" s="18">
        <v>3</v>
      </c>
    </row>
    <row r="1213" spans="2:8">
      <c r="B1213" s="14" t="s">
        <v>7156</v>
      </c>
      <c r="C1213" s="245" t="s">
        <v>1797</v>
      </c>
      <c r="D1213" s="15">
        <v>0</v>
      </c>
      <c r="E1213" s="15">
        <v>0</v>
      </c>
      <c r="F1213" s="15">
        <v>0</v>
      </c>
      <c r="G1213" s="15">
        <v>2</v>
      </c>
      <c r="H1213" s="15">
        <v>3</v>
      </c>
    </row>
    <row r="1214" spans="2:8">
      <c r="B1214" s="17" t="s">
        <v>7157</v>
      </c>
      <c r="C1214" s="246" t="s">
        <v>1798</v>
      </c>
      <c r="D1214" s="18">
        <v>0</v>
      </c>
      <c r="E1214" s="18">
        <v>0</v>
      </c>
      <c r="F1214" s="18">
        <v>118</v>
      </c>
      <c r="G1214" s="18">
        <v>5</v>
      </c>
      <c r="H1214" s="18">
        <v>3</v>
      </c>
    </row>
    <row r="1215" spans="2:8">
      <c r="B1215" s="14" t="s">
        <v>7158</v>
      </c>
      <c r="C1215" s="245" t="s">
        <v>1799</v>
      </c>
      <c r="D1215" s="15">
        <v>0</v>
      </c>
      <c r="E1215" s="15">
        <v>5</v>
      </c>
      <c r="F1215" s="15">
        <v>1</v>
      </c>
      <c r="G1215" s="15">
        <v>1</v>
      </c>
      <c r="H1215" s="15">
        <v>2</v>
      </c>
    </row>
    <row r="1216" spans="2:8">
      <c r="B1216" s="17" t="s">
        <v>7159</v>
      </c>
      <c r="C1216" s="246" t="s">
        <v>1800</v>
      </c>
      <c r="D1216" s="18">
        <v>0</v>
      </c>
      <c r="E1216" s="18">
        <v>0</v>
      </c>
      <c r="F1216" s="18">
        <v>0</v>
      </c>
      <c r="G1216" s="18">
        <v>0</v>
      </c>
      <c r="H1216" s="18">
        <v>2</v>
      </c>
    </row>
    <row r="1217" spans="2:8">
      <c r="B1217" s="14" t="s">
        <v>7160</v>
      </c>
      <c r="C1217" s="245" t="s">
        <v>1801</v>
      </c>
      <c r="D1217" s="15">
        <v>0</v>
      </c>
      <c r="E1217" s="15">
        <v>3</v>
      </c>
      <c r="F1217" s="15">
        <v>0</v>
      </c>
      <c r="G1217" s="15">
        <v>0</v>
      </c>
      <c r="H1217" s="15">
        <v>2</v>
      </c>
    </row>
    <row r="1218" spans="2:8">
      <c r="B1218" s="17" t="s">
        <v>7161</v>
      </c>
      <c r="C1218" s="246" t="s">
        <v>1802</v>
      </c>
      <c r="D1218" s="18">
        <v>1</v>
      </c>
      <c r="E1218" s="18">
        <v>0</v>
      </c>
      <c r="F1218" s="18">
        <v>0</v>
      </c>
      <c r="G1218" s="18">
        <v>0</v>
      </c>
      <c r="H1218" s="18">
        <v>2</v>
      </c>
    </row>
    <row r="1219" spans="2:8">
      <c r="B1219" s="14" t="s">
        <v>7162</v>
      </c>
      <c r="C1219" s="245" t="s">
        <v>1803</v>
      </c>
      <c r="D1219" s="15">
        <v>0</v>
      </c>
      <c r="E1219" s="15">
        <v>0</v>
      </c>
      <c r="F1219" s="15">
        <v>2</v>
      </c>
      <c r="G1219" s="15">
        <v>0</v>
      </c>
      <c r="H1219" s="15">
        <v>2</v>
      </c>
    </row>
    <row r="1220" spans="2:8">
      <c r="B1220" s="17" t="s">
        <v>7163</v>
      </c>
      <c r="C1220" s="246" t="s">
        <v>1804</v>
      </c>
      <c r="D1220" s="18">
        <v>0</v>
      </c>
      <c r="E1220" s="18">
        <v>0</v>
      </c>
      <c r="F1220" s="18">
        <v>0</v>
      </c>
      <c r="G1220" s="18">
        <v>0</v>
      </c>
      <c r="H1220" s="18">
        <v>2</v>
      </c>
    </row>
    <row r="1221" spans="2:8">
      <c r="B1221" s="14" t="s">
        <v>7164</v>
      </c>
      <c r="C1221" s="245" t="s">
        <v>1805</v>
      </c>
      <c r="D1221" s="15">
        <v>0</v>
      </c>
      <c r="E1221" s="15">
        <v>0</v>
      </c>
      <c r="F1221" s="15">
        <v>0</v>
      </c>
      <c r="G1221" s="15">
        <v>0</v>
      </c>
      <c r="H1221" s="15">
        <v>2</v>
      </c>
    </row>
    <row r="1222" spans="2:8">
      <c r="B1222" s="17" t="s">
        <v>7165</v>
      </c>
      <c r="C1222" s="246" t="s">
        <v>1806</v>
      </c>
      <c r="D1222" s="18">
        <v>3</v>
      </c>
      <c r="E1222" s="18">
        <v>5</v>
      </c>
      <c r="F1222" s="18">
        <v>10</v>
      </c>
      <c r="G1222" s="18">
        <v>10</v>
      </c>
      <c r="H1222" s="18">
        <v>2</v>
      </c>
    </row>
    <row r="1223" spans="2:8">
      <c r="B1223" s="14" t="s">
        <v>7166</v>
      </c>
      <c r="C1223" s="245" t="s">
        <v>1807</v>
      </c>
      <c r="D1223" s="15">
        <v>0</v>
      </c>
      <c r="E1223" s="15">
        <v>162</v>
      </c>
      <c r="F1223" s="15">
        <v>0</v>
      </c>
      <c r="G1223" s="15">
        <v>5</v>
      </c>
      <c r="H1223" s="15">
        <v>2</v>
      </c>
    </row>
    <row r="1224" spans="2:8">
      <c r="B1224" s="17" t="s">
        <v>7167</v>
      </c>
      <c r="C1224" s="246" t="s">
        <v>1701</v>
      </c>
      <c r="D1224" s="18">
        <v>2</v>
      </c>
      <c r="E1224" s="18">
        <v>0</v>
      </c>
      <c r="F1224" s="18">
        <v>1</v>
      </c>
      <c r="G1224" s="18">
        <v>0</v>
      </c>
      <c r="H1224" s="18">
        <v>2</v>
      </c>
    </row>
    <row r="1225" spans="2:8">
      <c r="B1225" s="14" t="s">
        <v>7168</v>
      </c>
      <c r="C1225" s="245" t="s">
        <v>1808</v>
      </c>
      <c r="D1225" s="15">
        <v>0</v>
      </c>
      <c r="E1225" s="15">
        <v>0</v>
      </c>
      <c r="F1225" s="15">
        <v>0</v>
      </c>
      <c r="G1225" s="15">
        <v>0</v>
      </c>
      <c r="H1225" s="15">
        <v>2</v>
      </c>
    </row>
    <row r="1226" spans="2:8">
      <c r="B1226" s="17" t="s">
        <v>7169</v>
      </c>
      <c r="C1226" s="246" t="s">
        <v>1809</v>
      </c>
      <c r="D1226" s="18">
        <v>20</v>
      </c>
      <c r="E1226" s="18">
        <v>64</v>
      </c>
      <c r="F1226" s="18">
        <v>140</v>
      </c>
      <c r="G1226" s="18">
        <v>105</v>
      </c>
      <c r="H1226" s="18">
        <v>2</v>
      </c>
    </row>
    <row r="1227" spans="2:8">
      <c r="B1227" s="14" t="s">
        <v>7170</v>
      </c>
      <c r="C1227" s="245" t="s">
        <v>890</v>
      </c>
      <c r="D1227" s="15">
        <v>4</v>
      </c>
      <c r="E1227" s="15">
        <v>0</v>
      </c>
      <c r="F1227" s="15">
        <v>4</v>
      </c>
      <c r="G1227" s="15">
        <v>0</v>
      </c>
      <c r="H1227" s="15">
        <v>2</v>
      </c>
    </row>
    <row r="1228" spans="2:8">
      <c r="B1228" s="17" t="s">
        <v>7171</v>
      </c>
      <c r="C1228" s="246" t="s">
        <v>1810</v>
      </c>
      <c r="D1228" s="18">
        <v>7</v>
      </c>
      <c r="E1228" s="18">
        <v>2</v>
      </c>
      <c r="F1228" s="18">
        <v>5</v>
      </c>
      <c r="G1228" s="18">
        <v>3</v>
      </c>
      <c r="H1228" s="18">
        <v>2</v>
      </c>
    </row>
    <row r="1229" spans="2:8">
      <c r="B1229" s="14" t="s">
        <v>7172</v>
      </c>
      <c r="C1229" s="245" t="s">
        <v>1811</v>
      </c>
      <c r="D1229" s="15">
        <v>0</v>
      </c>
      <c r="E1229" s="15">
        <v>0</v>
      </c>
      <c r="F1229" s="15">
        <v>0</v>
      </c>
      <c r="G1229" s="15">
        <v>0</v>
      </c>
      <c r="H1229" s="15">
        <v>2</v>
      </c>
    </row>
    <row r="1230" spans="2:8">
      <c r="B1230" s="17" t="s">
        <v>7173</v>
      </c>
      <c r="C1230" s="246" t="s">
        <v>1812</v>
      </c>
      <c r="D1230" s="18">
        <v>0</v>
      </c>
      <c r="E1230" s="18">
        <v>0</v>
      </c>
      <c r="F1230" s="18">
        <v>4</v>
      </c>
      <c r="G1230" s="18">
        <v>0</v>
      </c>
      <c r="H1230" s="18">
        <v>2</v>
      </c>
    </row>
    <row r="1231" spans="2:8">
      <c r="B1231" s="14" t="s">
        <v>7174</v>
      </c>
      <c r="C1231" s="245" t="s">
        <v>1813</v>
      </c>
      <c r="D1231" s="15">
        <v>0</v>
      </c>
      <c r="E1231" s="15">
        <v>0</v>
      </c>
      <c r="F1231" s="15">
        <v>0</v>
      </c>
      <c r="G1231" s="15">
        <v>0</v>
      </c>
      <c r="H1231" s="15">
        <v>2</v>
      </c>
    </row>
    <row r="1232" spans="2:8">
      <c r="B1232" s="17" t="s">
        <v>7175</v>
      </c>
      <c r="C1232" s="246" t="s">
        <v>1814</v>
      </c>
      <c r="D1232" s="18">
        <v>0</v>
      </c>
      <c r="E1232" s="18">
        <v>1</v>
      </c>
      <c r="F1232" s="18">
        <v>0</v>
      </c>
      <c r="G1232" s="18">
        <v>0</v>
      </c>
      <c r="H1232" s="18">
        <v>2</v>
      </c>
    </row>
    <row r="1233" spans="2:8">
      <c r="B1233" s="14" t="s">
        <v>7176</v>
      </c>
      <c r="C1233" s="245" t="s">
        <v>1815</v>
      </c>
      <c r="D1233" s="15">
        <v>0</v>
      </c>
      <c r="E1233" s="15">
        <v>0</v>
      </c>
      <c r="F1233" s="15">
        <v>0</v>
      </c>
      <c r="G1233" s="15">
        <v>0</v>
      </c>
      <c r="H1233" s="15">
        <v>2</v>
      </c>
    </row>
    <row r="1234" spans="2:8">
      <c r="B1234" s="17" t="s">
        <v>7177</v>
      </c>
      <c r="C1234" s="246" t="s">
        <v>1816</v>
      </c>
      <c r="D1234" s="18">
        <v>0</v>
      </c>
      <c r="E1234" s="18">
        <v>0</v>
      </c>
      <c r="F1234" s="18">
        <v>0</v>
      </c>
      <c r="G1234" s="18">
        <v>0</v>
      </c>
      <c r="H1234" s="18">
        <v>2</v>
      </c>
    </row>
    <row r="1235" spans="2:8">
      <c r="B1235" s="14" t="s">
        <v>7178</v>
      </c>
      <c r="C1235" s="245" t="s">
        <v>1817</v>
      </c>
      <c r="D1235" s="15">
        <v>0</v>
      </c>
      <c r="E1235" s="15">
        <v>0</v>
      </c>
      <c r="F1235" s="15">
        <v>0</v>
      </c>
      <c r="G1235" s="15">
        <v>2</v>
      </c>
      <c r="H1235" s="15">
        <v>2</v>
      </c>
    </row>
    <row r="1236" spans="2:8">
      <c r="B1236" s="17" t="s">
        <v>7179</v>
      </c>
      <c r="C1236" s="246" t="s">
        <v>1818</v>
      </c>
      <c r="D1236" s="18">
        <v>0</v>
      </c>
      <c r="E1236" s="18">
        <v>0</v>
      </c>
      <c r="F1236" s="18">
        <v>0</v>
      </c>
      <c r="G1236" s="18">
        <v>0</v>
      </c>
      <c r="H1236" s="18">
        <v>2</v>
      </c>
    </row>
    <row r="1237" spans="2:8">
      <c r="B1237" s="14" t="s">
        <v>7180</v>
      </c>
      <c r="C1237" s="245" t="s">
        <v>1619</v>
      </c>
      <c r="D1237" s="15">
        <v>2</v>
      </c>
      <c r="E1237" s="15">
        <v>0</v>
      </c>
      <c r="F1237" s="15">
        <v>2</v>
      </c>
      <c r="G1237" s="15">
        <v>0</v>
      </c>
      <c r="H1237" s="15">
        <v>2</v>
      </c>
    </row>
    <row r="1238" spans="2:8">
      <c r="B1238" s="17" t="s">
        <v>7181</v>
      </c>
      <c r="C1238" s="246" t="s">
        <v>1819</v>
      </c>
      <c r="D1238" s="18">
        <v>1</v>
      </c>
      <c r="E1238" s="18">
        <v>0</v>
      </c>
      <c r="F1238" s="18">
        <v>0</v>
      </c>
      <c r="G1238" s="18">
        <v>0</v>
      </c>
      <c r="H1238" s="18">
        <v>2</v>
      </c>
    </row>
    <row r="1239" spans="2:8">
      <c r="B1239" s="14" t="s">
        <v>7182</v>
      </c>
      <c r="C1239" s="245" t="s">
        <v>1820</v>
      </c>
      <c r="D1239" s="15">
        <v>0</v>
      </c>
      <c r="E1239" s="15">
        <v>8</v>
      </c>
      <c r="F1239" s="15">
        <v>4</v>
      </c>
      <c r="G1239" s="15">
        <v>2</v>
      </c>
      <c r="H1239" s="15">
        <v>2</v>
      </c>
    </row>
    <row r="1240" spans="2:8">
      <c r="B1240" s="17" t="s">
        <v>7183</v>
      </c>
      <c r="C1240" s="246" t="s">
        <v>1821</v>
      </c>
      <c r="D1240" s="18">
        <v>2</v>
      </c>
      <c r="E1240" s="18">
        <v>3</v>
      </c>
      <c r="F1240" s="18">
        <v>5</v>
      </c>
      <c r="G1240" s="18">
        <v>6</v>
      </c>
      <c r="H1240" s="18">
        <v>2</v>
      </c>
    </row>
    <row r="1241" spans="2:8">
      <c r="B1241" s="14" t="s">
        <v>7184</v>
      </c>
      <c r="C1241" s="245" t="s">
        <v>1822</v>
      </c>
      <c r="D1241" s="15">
        <v>19</v>
      </c>
      <c r="E1241" s="15">
        <v>0</v>
      </c>
      <c r="F1241" s="15">
        <v>0</v>
      </c>
      <c r="G1241" s="15">
        <v>0</v>
      </c>
      <c r="H1241" s="15">
        <v>2</v>
      </c>
    </row>
    <row r="1242" spans="2:8">
      <c r="B1242" s="17" t="s">
        <v>7185</v>
      </c>
      <c r="C1242" s="246" t="s">
        <v>1823</v>
      </c>
      <c r="D1242" s="18">
        <v>0</v>
      </c>
      <c r="E1242" s="18">
        <v>15</v>
      </c>
      <c r="F1242" s="18">
        <v>26</v>
      </c>
      <c r="G1242" s="18">
        <v>11</v>
      </c>
      <c r="H1242" s="18">
        <v>2</v>
      </c>
    </row>
    <row r="1243" spans="2:8">
      <c r="B1243" s="14" t="s">
        <v>7186</v>
      </c>
      <c r="C1243" s="245" t="s">
        <v>1824</v>
      </c>
      <c r="D1243" s="15">
        <v>42</v>
      </c>
      <c r="E1243" s="15">
        <v>19</v>
      </c>
      <c r="F1243" s="15">
        <v>15</v>
      </c>
      <c r="G1243" s="15">
        <v>121</v>
      </c>
      <c r="H1243" s="15">
        <v>2</v>
      </c>
    </row>
    <row r="1244" spans="2:8">
      <c r="B1244" s="17" t="s">
        <v>7187</v>
      </c>
      <c r="C1244" s="246" t="s">
        <v>1825</v>
      </c>
      <c r="D1244" s="18">
        <v>0</v>
      </c>
      <c r="E1244" s="18">
        <v>0</v>
      </c>
      <c r="F1244" s="18">
        <v>0</v>
      </c>
      <c r="G1244" s="18">
        <v>0</v>
      </c>
      <c r="H1244" s="18">
        <v>2</v>
      </c>
    </row>
    <row r="1245" spans="2:8">
      <c r="B1245" s="14" t="s">
        <v>7188</v>
      </c>
      <c r="C1245" s="245" t="s">
        <v>1826</v>
      </c>
      <c r="D1245" s="15">
        <v>0</v>
      </c>
      <c r="E1245" s="15">
        <v>2</v>
      </c>
      <c r="F1245" s="15">
        <v>0</v>
      </c>
      <c r="G1245" s="15">
        <v>0</v>
      </c>
      <c r="H1245" s="15">
        <v>2</v>
      </c>
    </row>
    <row r="1246" spans="2:8">
      <c r="B1246" s="17" t="s">
        <v>7189</v>
      </c>
      <c r="C1246" s="246" t="s">
        <v>1827</v>
      </c>
      <c r="D1246" s="18">
        <v>6</v>
      </c>
      <c r="E1246" s="18">
        <v>3</v>
      </c>
      <c r="F1246" s="18">
        <v>2</v>
      </c>
      <c r="G1246" s="18">
        <v>0</v>
      </c>
      <c r="H1246" s="18">
        <v>2</v>
      </c>
    </row>
    <row r="1247" spans="2:8">
      <c r="B1247" s="14" t="s">
        <v>7190</v>
      </c>
      <c r="C1247" s="245" t="s">
        <v>1828</v>
      </c>
      <c r="D1247" s="15">
        <v>0</v>
      </c>
      <c r="E1247" s="15">
        <v>7</v>
      </c>
      <c r="F1247" s="15">
        <v>1</v>
      </c>
      <c r="G1247" s="15">
        <v>0</v>
      </c>
      <c r="H1247" s="15">
        <v>1</v>
      </c>
    </row>
    <row r="1248" spans="2:8">
      <c r="B1248" s="17" t="s">
        <v>7191</v>
      </c>
      <c r="C1248" s="246" t="s">
        <v>1829</v>
      </c>
      <c r="D1248" s="18">
        <v>0</v>
      </c>
      <c r="E1248" s="18">
        <v>0</v>
      </c>
      <c r="F1248" s="18">
        <v>3</v>
      </c>
      <c r="G1248" s="18">
        <v>1</v>
      </c>
      <c r="H1248" s="18">
        <v>1</v>
      </c>
    </row>
    <row r="1249" spans="2:8">
      <c r="B1249" s="14" t="s">
        <v>7192</v>
      </c>
      <c r="C1249" s="245" t="s">
        <v>1830</v>
      </c>
      <c r="D1249" s="15">
        <v>0</v>
      </c>
      <c r="E1249" s="15">
        <v>0</v>
      </c>
      <c r="F1249" s="15">
        <v>0</v>
      </c>
      <c r="G1249" s="15">
        <v>3</v>
      </c>
      <c r="H1249" s="15">
        <v>1</v>
      </c>
    </row>
    <row r="1250" spans="2:8">
      <c r="B1250" s="17" t="s">
        <v>7193</v>
      </c>
      <c r="C1250" s="246" t="s">
        <v>1831</v>
      </c>
      <c r="D1250" s="18">
        <v>9</v>
      </c>
      <c r="E1250" s="18">
        <v>0</v>
      </c>
      <c r="F1250" s="18">
        <v>3</v>
      </c>
      <c r="G1250" s="18">
        <v>1</v>
      </c>
      <c r="H1250" s="18">
        <v>1</v>
      </c>
    </row>
    <row r="1251" spans="2:8">
      <c r="B1251" s="14" t="s">
        <v>7194</v>
      </c>
      <c r="C1251" s="245" t="s">
        <v>1832</v>
      </c>
      <c r="D1251" s="15">
        <v>0</v>
      </c>
      <c r="E1251" s="15">
        <v>0</v>
      </c>
      <c r="F1251" s="15">
        <v>1</v>
      </c>
      <c r="G1251" s="15">
        <v>0</v>
      </c>
      <c r="H1251" s="15">
        <v>1</v>
      </c>
    </row>
    <row r="1252" spans="2:8">
      <c r="B1252" s="17" t="s">
        <v>7195</v>
      </c>
      <c r="C1252" s="246" t="s">
        <v>1833</v>
      </c>
      <c r="D1252" s="18">
        <v>0</v>
      </c>
      <c r="E1252" s="18">
        <v>0</v>
      </c>
      <c r="F1252" s="18">
        <v>0</v>
      </c>
      <c r="G1252" s="18">
        <v>7</v>
      </c>
      <c r="H1252" s="18">
        <v>1</v>
      </c>
    </row>
    <row r="1253" spans="2:8">
      <c r="B1253" s="14" t="s">
        <v>7196</v>
      </c>
      <c r="C1253" s="245" t="s">
        <v>1834</v>
      </c>
      <c r="D1253" s="15">
        <v>1</v>
      </c>
      <c r="E1253" s="15">
        <v>1</v>
      </c>
      <c r="F1253" s="15">
        <v>5</v>
      </c>
      <c r="G1253" s="15">
        <v>1</v>
      </c>
      <c r="H1253" s="15">
        <v>1</v>
      </c>
    </row>
    <row r="1254" spans="2:8">
      <c r="B1254" s="17" t="s">
        <v>7197</v>
      </c>
      <c r="C1254" s="246" t="s">
        <v>1375</v>
      </c>
      <c r="D1254" s="18">
        <v>3</v>
      </c>
      <c r="E1254" s="18">
        <v>2</v>
      </c>
      <c r="F1254" s="18">
        <v>1</v>
      </c>
      <c r="G1254" s="18">
        <v>2</v>
      </c>
      <c r="H1254" s="18">
        <v>1</v>
      </c>
    </row>
    <row r="1255" spans="2:8">
      <c r="B1255" s="14" t="s">
        <v>7198</v>
      </c>
      <c r="C1255" s="245" t="s">
        <v>1835</v>
      </c>
      <c r="D1255" s="15">
        <v>23</v>
      </c>
      <c r="E1255" s="15">
        <v>19</v>
      </c>
      <c r="F1255" s="15">
        <v>2</v>
      </c>
      <c r="G1255" s="15">
        <v>13</v>
      </c>
      <c r="H1255" s="15">
        <v>1</v>
      </c>
    </row>
    <row r="1256" spans="2:8">
      <c r="B1256" s="17" t="s">
        <v>7199</v>
      </c>
      <c r="C1256" s="246" t="s">
        <v>1836</v>
      </c>
      <c r="D1256" s="18">
        <v>1</v>
      </c>
      <c r="E1256" s="18">
        <v>2</v>
      </c>
      <c r="F1256" s="18">
        <v>4</v>
      </c>
      <c r="G1256" s="18">
        <v>7</v>
      </c>
      <c r="H1256" s="18">
        <v>1</v>
      </c>
    </row>
    <row r="1257" spans="2:8">
      <c r="B1257" s="14" t="s">
        <v>7200</v>
      </c>
      <c r="C1257" s="245" t="s">
        <v>1837</v>
      </c>
      <c r="D1257" s="15">
        <v>0</v>
      </c>
      <c r="E1257" s="15">
        <v>2</v>
      </c>
      <c r="F1257" s="15">
        <v>0</v>
      </c>
      <c r="G1257" s="15">
        <v>1</v>
      </c>
      <c r="H1257" s="15">
        <v>1</v>
      </c>
    </row>
    <row r="1258" spans="2:8">
      <c r="B1258" s="17" t="s">
        <v>7201</v>
      </c>
      <c r="C1258" s="246" t="s">
        <v>1838</v>
      </c>
      <c r="D1258" s="18">
        <v>0</v>
      </c>
      <c r="E1258" s="18">
        <v>0</v>
      </c>
      <c r="F1258" s="18">
        <v>0</v>
      </c>
      <c r="G1258" s="18">
        <v>0</v>
      </c>
      <c r="H1258" s="18">
        <v>1</v>
      </c>
    </row>
    <row r="1259" spans="2:8">
      <c r="B1259" s="14" t="s">
        <v>7202</v>
      </c>
      <c r="C1259" s="245" t="s">
        <v>1839</v>
      </c>
      <c r="D1259" s="15">
        <v>0</v>
      </c>
      <c r="E1259" s="15">
        <v>25</v>
      </c>
      <c r="F1259" s="15">
        <v>12</v>
      </c>
      <c r="G1259" s="15">
        <v>13</v>
      </c>
      <c r="H1259" s="15">
        <v>1</v>
      </c>
    </row>
    <row r="1260" spans="2:8">
      <c r="B1260" s="17" t="s">
        <v>7203</v>
      </c>
      <c r="C1260" s="246" t="s">
        <v>1840</v>
      </c>
      <c r="D1260" s="18">
        <v>0</v>
      </c>
      <c r="E1260" s="18">
        <v>0</v>
      </c>
      <c r="F1260" s="18">
        <v>0</v>
      </c>
      <c r="G1260" s="18">
        <v>0</v>
      </c>
      <c r="H1260" s="18">
        <v>1</v>
      </c>
    </row>
    <row r="1261" spans="2:8">
      <c r="B1261" s="14" t="s">
        <v>7204</v>
      </c>
      <c r="C1261" s="245" t="s">
        <v>1841</v>
      </c>
      <c r="D1261" s="15">
        <v>0</v>
      </c>
      <c r="E1261" s="15">
        <v>1</v>
      </c>
      <c r="F1261" s="15">
        <v>0</v>
      </c>
      <c r="G1261" s="15">
        <v>3</v>
      </c>
      <c r="H1261" s="15">
        <v>1</v>
      </c>
    </row>
    <row r="1262" spans="2:8">
      <c r="B1262" s="17" t="s">
        <v>7205</v>
      </c>
      <c r="C1262" s="246" t="s">
        <v>1842</v>
      </c>
      <c r="D1262" s="18">
        <v>0</v>
      </c>
      <c r="E1262" s="18">
        <v>0</v>
      </c>
      <c r="F1262" s="18">
        <v>1</v>
      </c>
      <c r="G1262" s="18">
        <v>0</v>
      </c>
      <c r="H1262" s="18">
        <v>1</v>
      </c>
    </row>
    <row r="1263" spans="2:8">
      <c r="B1263" s="14" t="s">
        <v>7206</v>
      </c>
      <c r="C1263" s="245" t="s">
        <v>1843</v>
      </c>
      <c r="D1263" s="15">
        <v>0</v>
      </c>
      <c r="E1263" s="15">
        <v>0</v>
      </c>
      <c r="F1263" s="15">
        <v>1</v>
      </c>
      <c r="G1263" s="15">
        <v>4</v>
      </c>
      <c r="H1263" s="15">
        <v>1</v>
      </c>
    </row>
    <row r="1264" spans="2:8">
      <c r="B1264" s="17" t="s">
        <v>7207</v>
      </c>
      <c r="C1264" s="246" t="s">
        <v>1844</v>
      </c>
      <c r="D1264" s="18">
        <v>169</v>
      </c>
      <c r="E1264" s="18">
        <v>152</v>
      </c>
      <c r="F1264" s="18">
        <v>15</v>
      </c>
      <c r="G1264" s="18">
        <v>0</v>
      </c>
      <c r="H1264" s="18">
        <v>1</v>
      </c>
    </row>
    <row r="1265" spans="2:8">
      <c r="B1265" s="14" t="s">
        <v>7208</v>
      </c>
      <c r="C1265" s="245" t="s">
        <v>1845</v>
      </c>
      <c r="D1265" s="15">
        <v>0</v>
      </c>
      <c r="E1265" s="15">
        <v>1</v>
      </c>
      <c r="F1265" s="15">
        <v>0</v>
      </c>
      <c r="G1265" s="15">
        <v>0</v>
      </c>
      <c r="H1265" s="15">
        <v>1</v>
      </c>
    </row>
    <row r="1266" spans="2:8">
      <c r="B1266" s="17" t="s">
        <v>7209</v>
      </c>
      <c r="C1266" s="246" t="s">
        <v>1846</v>
      </c>
      <c r="D1266" s="18">
        <v>0</v>
      </c>
      <c r="E1266" s="18">
        <v>0</v>
      </c>
      <c r="F1266" s="18">
        <v>1</v>
      </c>
      <c r="G1266" s="18">
        <v>0</v>
      </c>
      <c r="H1266" s="18">
        <v>1</v>
      </c>
    </row>
    <row r="1267" spans="2:8">
      <c r="B1267" s="14" t="s">
        <v>7210</v>
      </c>
      <c r="C1267" s="245" t="s">
        <v>1847</v>
      </c>
      <c r="D1267" s="15">
        <v>55</v>
      </c>
      <c r="E1267" s="15">
        <v>50</v>
      </c>
      <c r="F1267" s="15">
        <v>61</v>
      </c>
      <c r="G1267" s="15">
        <v>10</v>
      </c>
      <c r="H1267" s="15">
        <v>1</v>
      </c>
    </row>
    <row r="1268" spans="2:8">
      <c r="B1268" s="17" t="s">
        <v>7211</v>
      </c>
      <c r="C1268" s="246" t="s">
        <v>1848</v>
      </c>
      <c r="D1268" s="18">
        <v>0</v>
      </c>
      <c r="E1268" s="18">
        <v>0</v>
      </c>
      <c r="F1268" s="18">
        <v>0</v>
      </c>
      <c r="G1268" s="18">
        <v>0</v>
      </c>
      <c r="H1268" s="18">
        <v>1</v>
      </c>
    </row>
    <row r="1269" spans="2:8">
      <c r="B1269" s="14" t="s">
        <v>7212</v>
      </c>
      <c r="C1269" s="245" t="s">
        <v>1849</v>
      </c>
      <c r="D1269" s="15">
        <v>0</v>
      </c>
      <c r="E1269" s="15">
        <v>0</v>
      </c>
      <c r="F1269" s="15">
        <v>0</v>
      </c>
      <c r="G1269" s="15">
        <v>1</v>
      </c>
      <c r="H1269" s="15">
        <v>1</v>
      </c>
    </row>
    <row r="1270" spans="2:8">
      <c r="B1270" s="17" t="s">
        <v>7213</v>
      </c>
      <c r="C1270" s="246" t="s">
        <v>1850</v>
      </c>
      <c r="D1270" s="18">
        <v>0</v>
      </c>
      <c r="E1270" s="18">
        <v>0</v>
      </c>
      <c r="F1270" s="18">
        <v>0</v>
      </c>
      <c r="G1270" s="18">
        <v>1</v>
      </c>
      <c r="H1270" s="18">
        <v>1</v>
      </c>
    </row>
    <row r="1271" spans="2:8">
      <c r="B1271" s="14" t="s">
        <v>7214</v>
      </c>
      <c r="C1271" s="245" t="s">
        <v>1851</v>
      </c>
      <c r="D1271" s="15">
        <v>2</v>
      </c>
      <c r="E1271" s="15">
        <v>21</v>
      </c>
      <c r="F1271" s="15">
        <v>11</v>
      </c>
      <c r="G1271" s="15">
        <v>3</v>
      </c>
      <c r="H1271" s="15">
        <v>1</v>
      </c>
    </row>
    <row r="1272" spans="2:8">
      <c r="B1272" s="17" t="s">
        <v>7215</v>
      </c>
      <c r="C1272" s="246" t="s">
        <v>1852</v>
      </c>
      <c r="D1272" s="18">
        <v>37</v>
      </c>
      <c r="E1272" s="18">
        <v>54</v>
      </c>
      <c r="F1272" s="18">
        <v>49</v>
      </c>
      <c r="G1272" s="18">
        <v>73</v>
      </c>
      <c r="H1272" s="18">
        <v>1</v>
      </c>
    </row>
    <row r="1273" spans="2:8">
      <c r="B1273" s="14" t="s">
        <v>7216</v>
      </c>
      <c r="C1273" s="245" t="s">
        <v>1853</v>
      </c>
      <c r="D1273" s="15">
        <v>0</v>
      </c>
      <c r="E1273" s="15">
        <v>0</v>
      </c>
      <c r="F1273" s="15">
        <v>0</v>
      </c>
      <c r="G1273" s="15">
        <v>1</v>
      </c>
      <c r="H1273" s="15">
        <v>1</v>
      </c>
    </row>
    <row r="1274" spans="2:8">
      <c r="B1274" s="17" t="s">
        <v>7217</v>
      </c>
      <c r="C1274" s="246" t="s">
        <v>1808</v>
      </c>
      <c r="D1274" s="18">
        <v>0</v>
      </c>
      <c r="E1274" s="18">
        <v>0</v>
      </c>
      <c r="F1274" s="18">
        <v>0</v>
      </c>
      <c r="G1274" s="18">
        <v>0</v>
      </c>
      <c r="H1274" s="18">
        <v>1</v>
      </c>
    </row>
    <row r="1275" spans="2:8">
      <c r="B1275" s="14" t="s">
        <v>7218</v>
      </c>
      <c r="C1275" s="245" t="s">
        <v>1854</v>
      </c>
      <c r="D1275" s="15">
        <v>0</v>
      </c>
      <c r="E1275" s="15">
        <v>0</v>
      </c>
      <c r="F1275" s="15">
        <v>0</v>
      </c>
      <c r="G1275" s="15">
        <v>0</v>
      </c>
      <c r="H1275" s="15">
        <v>1</v>
      </c>
    </row>
    <row r="1276" spans="2:8">
      <c r="B1276" s="17" t="s">
        <v>7219</v>
      </c>
      <c r="C1276" s="246" t="s">
        <v>890</v>
      </c>
      <c r="D1276" s="18">
        <v>0</v>
      </c>
      <c r="E1276" s="18">
        <v>1</v>
      </c>
      <c r="F1276" s="18">
        <v>0</v>
      </c>
      <c r="G1276" s="18">
        <v>16</v>
      </c>
      <c r="H1276" s="18">
        <v>1</v>
      </c>
    </row>
    <row r="1277" spans="2:8">
      <c r="B1277" s="14" t="s">
        <v>7220</v>
      </c>
      <c r="C1277" s="245" t="s">
        <v>1855</v>
      </c>
      <c r="D1277" s="15">
        <v>0</v>
      </c>
      <c r="E1277" s="15">
        <v>0</v>
      </c>
      <c r="F1277" s="15">
        <v>0</v>
      </c>
      <c r="G1277" s="15">
        <v>0</v>
      </c>
      <c r="H1277" s="15">
        <v>1</v>
      </c>
    </row>
    <row r="1278" spans="2:8">
      <c r="B1278" s="17" t="s">
        <v>7221</v>
      </c>
      <c r="C1278" s="246" t="s">
        <v>1856</v>
      </c>
      <c r="D1278" s="18">
        <v>0</v>
      </c>
      <c r="E1278" s="18">
        <v>1</v>
      </c>
      <c r="F1278" s="18">
        <v>0</v>
      </c>
      <c r="G1278" s="18">
        <v>0</v>
      </c>
      <c r="H1278" s="18">
        <v>1</v>
      </c>
    </row>
    <row r="1279" spans="2:8">
      <c r="B1279" s="14" t="s">
        <v>7222</v>
      </c>
      <c r="C1279" s="245" t="s">
        <v>1857</v>
      </c>
      <c r="D1279" s="15">
        <v>18</v>
      </c>
      <c r="E1279" s="15">
        <v>1</v>
      </c>
      <c r="F1279" s="15">
        <v>4</v>
      </c>
      <c r="G1279" s="15">
        <v>0</v>
      </c>
      <c r="H1279" s="15">
        <v>1</v>
      </c>
    </row>
    <row r="1280" spans="2:8">
      <c r="B1280" s="17" t="s">
        <v>7223</v>
      </c>
      <c r="C1280" s="246" t="s">
        <v>1858</v>
      </c>
      <c r="D1280" s="18">
        <v>0</v>
      </c>
      <c r="E1280" s="18">
        <v>0</v>
      </c>
      <c r="F1280" s="18">
        <v>0</v>
      </c>
      <c r="G1280" s="18">
        <v>0</v>
      </c>
      <c r="H1280" s="18">
        <v>1</v>
      </c>
    </row>
    <row r="1281" spans="2:8">
      <c r="B1281" s="14" t="s">
        <v>7224</v>
      </c>
      <c r="C1281" s="245" t="s">
        <v>1859</v>
      </c>
      <c r="D1281" s="15">
        <v>0</v>
      </c>
      <c r="E1281" s="15">
        <v>0</v>
      </c>
      <c r="F1281" s="15">
        <v>0</v>
      </c>
      <c r="G1281" s="15">
        <v>0</v>
      </c>
      <c r="H1281" s="15">
        <v>0</v>
      </c>
    </row>
    <row r="1282" spans="2:8">
      <c r="B1282" s="17" t="s">
        <v>7225</v>
      </c>
      <c r="C1282" s="246" t="s">
        <v>1860</v>
      </c>
      <c r="D1282" s="18">
        <v>0</v>
      </c>
      <c r="E1282" s="18">
        <v>0</v>
      </c>
      <c r="F1282" s="18">
        <v>0</v>
      </c>
      <c r="G1282" s="18">
        <v>0</v>
      </c>
      <c r="H1282" s="18">
        <v>0</v>
      </c>
    </row>
    <row r="1283" spans="2:8">
      <c r="B1283" s="14" t="s">
        <v>7226</v>
      </c>
      <c r="C1283" s="245" t="s">
        <v>1861</v>
      </c>
      <c r="D1283" s="15">
        <v>0</v>
      </c>
      <c r="E1283" s="15">
        <v>0</v>
      </c>
      <c r="F1283" s="15">
        <v>0</v>
      </c>
      <c r="G1283" s="15">
        <v>0</v>
      </c>
      <c r="H1283" s="15">
        <v>0</v>
      </c>
    </row>
    <row r="1284" spans="2:8">
      <c r="B1284" s="17" t="s">
        <v>7227</v>
      </c>
      <c r="C1284" s="246" t="s">
        <v>1862</v>
      </c>
      <c r="D1284" s="18">
        <v>0</v>
      </c>
      <c r="E1284" s="18">
        <v>0</v>
      </c>
      <c r="F1284" s="18">
        <v>0</v>
      </c>
      <c r="G1284" s="18">
        <v>0</v>
      </c>
      <c r="H1284" s="18">
        <v>0</v>
      </c>
    </row>
    <row r="1285" spans="2:8">
      <c r="B1285" s="14" t="s">
        <v>7228</v>
      </c>
      <c r="C1285" s="245" t="s">
        <v>1863</v>
      </c>
      <c r="D1285" s="15">
        <v>1</v>
      </c>
      <c r="E1285" s="15">
        <v>0</v>
      </c>
      <c r="F1285" s="15">
        <v>0</v>
      </c>
      <c r="G1285" s="15">
        <v>0</v>
      </c>
      <c r="H1285" s="15">
        <v>0</v>
      </c>
    </row>
    <row r="1286" spans="2:8">
      <c r="B1286" s="17" t="s">
        <v>7229</v>
      </c>
      <c r="C1286" s="246" t="s">
        <v>1864</v>
      </c>
      <c r="D1286" s="18">
        <v>0</v>
      </c>
      <c r="E1286" s="18">
        <v>0</v>
      </c>
      <c r="F1286" s="18">
        <v>0</v>
      </c>
      <c r="G1286" s="18">
        <v>0</v>
      </c>
      <c r="H1286" s="18">
        <v>0</v>
      </c>
    </row>
    <row r="1287" spans="2:8">
      <c r="B1287" s="14" t="s">
        <v>7230</v>
      </c>
      <c r="C1287" s="245" t="s">
        <v>1865</v>
      </c>
      <c r="D1287" s="15">
        <v>0</v>
      </c>
      <c r="E1287" s="15">
        <v>0</v>
      </c>
      <c r="F1287" s="15">
        <v>0</v>
      </c>
      <c r="G1287" s="15">
        <v>0</v>
      </c>
      <c r="H1287" s="15">
        <v>0</v>
      </c>
    </row>
    <row r="1288" spans="2:8">
      <c r="B1288" s="17" t="s">
        <v>7231</v>
      </c>
      <c r="C1288" s="246" t="s">
        <v>1866</v>
      </c>
      <c r="D1288" s="18">
        <v>0</v>
      </c>
      <c r="E1288" s="18">
        <v>28</v>
      </c>
      <c r="F1288" s="18">
        <v>1</v>
      </c>
      <c r="G1288" s="18">
        <v>0</v>
      </c>
      <c r="H1288" s="18">
        <v>0</v>
      </c>
    </row>
    <row r="1289" spans="2:8">
      <c r="B1289" s="14" t="s">
        <v>7232</v>
      </c>
      <c r="C1289" s="245" t="s">
        <v>1867</v>
      </c>
      <c r="D1289" s="15">
        <v>0</v>
      </c>
      <c r="E1289" s="15">
        <v>0</v>
      </c>
      <c r="F1289" s="15">
        <v>0</v>
      </c>
      <c r="G1289" s="15">
        <v>0</v>
      </c>
      <c r="H1289" s="15">
        <v>0</v>
      </c>
    </row>
    <row r="1290" spans="2:8">
      <c r="B1290" s="17" t="s">
        <v>7233</v>
      </c>
      <c r="C1290" s="246" t="s">
        <v>1868</v>
      </c>
      <c r="D1290" s="18">
        <v>0</v>
      </c>
      <c r="E1290" s="18">
        <v>0</v>
      </c>
      <c r="F1290" s="18">
        <v>3</v>
      </c>
      <c r="G1290" s="18">
        <v>0</v>
      </c>
      <c r="H1290" s="18">
        <v>0</v>
      </c>
    </row>
    <row r="1291" spans="2:8">
      <c r="B1291" s="14" t="s">
        <v>7234</v>
      </c>
      <c r="C1291" s="245" t="s">
        <v>1869</v>
      </c>
      <c r="D1291" s="15">
        <v>0</v>
      </c>
      <c r="E1291" s="15">
        <v>0</v>
      </c>
      <c r="F1291" s="15">
        <v>0</v>
      </c>
      <c r="G1291" s="15">
        <v>0</v>
      </c>
      <c r="H1291" s="15">
        <v>0</v>
      </c>
    </row>
    <row r="1292" spans="2:8">
      <c r="B1292" s="17" t="s">
        <v>7235</v>
      </c>
      <c r="C1292" s="246" t="s">
        <v>1870</v>
      </c>
      <c r="D1292" s="18">
        <v>0</v>
      </c>
      <c r="E1292" s="18">
        <v>0</v>
      </c>
      <c r="F1292" s="18">
        <v>0</v>
      </c>
      <c r="G1292" s="18">
        <v>0</v>
      </c>
      <c r="H1292" s="18">
        <v>0</v>
      </c>
    </row>
    <row r="1293" spans="2:8">
      <c r="B1293" s="14" t="s">
        <v>7236</v>
      </c>
      <c r="C1293" s="245" t="s">
        <v>1871</v>
      </c>
      <c r="D1293" s="15">
        <v>0</v>
      </c>
      <c r="E1293" s="15">
        <v>0</v>
      </c>
      <c r="F1293" s="15">
        <v>0</v>
      </c>
      <c r="G1293" s="15">
        <v>0</v>
      </c>
      <c r="H1293" s="15">
        <v>0</v>
      </c>
    </row>
    <row r="1294" spans="2:8">
      <c r="B1294" s="17" t="s">
        <v>7237</v>
      </c>
      <c r="C1294" s="246" t="s">
        <v>1872</v>
      </c>
      <c r="D1294" s="18">
        <v>0</v>
      </c>
      <c r="E1294" s="18">
        <v>0</v>
      </c>
      <c r="F1294" s="18">
        <v>0</v>
      </c>
      <c r="G1294" s="18">
        <v>0</v>
      </c>
      <c r="H1294" s="18">
        <v>0</v>
      </c>
    </row>
    <row r="1295" spans="2:8">
      <c r="B1295" s="14" t="s">
        <v>7238</v>
      </c>
      <c r="C1295" s="245" t="s">
        <v>1873</v>
      </c>
      <c r="D1295" s="15">
        <v>0</v>
      </c>
      <c r="E1295" s="15">
        <v>0</v>
      </c>
      <c r="F1295" s="15">
        <v>0</v>
      </c>
      <c r="G1295" s="15">
        <v>0</v>
      </c>
      <c r="H1295" s="15">
        <v>0</v>
      </c>
    </row>
    <row r="1296" spans="2:8">
      <c r="B1296" s="17" t="s">
        <v>7239</v>
      </c>
      <c r="C1296" s="246" t="s">
        <v>1874</v>
      </c>
      <c r="D1296" s="18">
        <v>0</v>
      </c>
      <c r="E1296" s="18">
        <v>0</v>
      </c>
      <c r="F1296" s="18">
        <v>2</v>
      </c>
      <c r="G1296" s="18">
        <v>0</v>
      </c>
      <c r="H1296" s="18">
        <v>0</v>
      </c>
    </row>
    <row r="1297" spans="2:8">
      <c r="B1297" s="14" t="s">
        <v>7240</v>
      </c>
      <c r="C1297" s="245" t="s">
        <v>1875</v>
      </c>
      <c r="D1297" s="15">
        <v>0</v>
      </c>
      <c r="E1297" s="15">
        <v>0</v>
      </c>
      <c r="F1297" s="15">
        <v>0</v>
      </c>
      <c r="G1297" s="15">
        <v>0</v>
      </c>
      <c r="H1297" s="15">
        <v>0</v>
      </c>
    </row>
    <row r="1298" spans="2:8">
      <c r="B1298" s="17" t="s">
        <v>7241</v>
      </c>
      <c r="C1298" s="246" t="s">
        <v>1876</v>
      </c>
      <c r="D1298" s="18">
        <v>0</v>
      </c>
      <c r="E1298" s="18">
        <v>0</v>
      </c>
      <c r="F1298" s="18">
        <v>0</v>
      </c>
      <c r="G1298" s="18">
        <v>0</v>
      </c>
      <c r="H1298" s="18">
        <v>0</v>
      </c>
    </row>
    <row r="1299" spans="2:8">
      <c r="B1299" s="14" t="s">
        <v>7242</v>
      </c>
      <c r="C1299" s="245" t="s">
        <v>1877</v>
      </c>
      <c r="D1299" s="15">
        <v>5</v>
      </c>
      <c r="E1299" s="15">
        <v>6</v>
      </c>
      <c r="F1299" s="15">
        <v>0</v>
      </c>
      <c r="G1299" s="15">
        <v>0</v>
      </c>
      <c r="H1299" s="15">
        <v>0</v>
      </c>
    </row>
    <row r="1300" spans="2:8">
      <c r="B1300" s="17" t="s">
        <v>7243</v>
      </c>
      <c r="C1300" s="246" t="s">
        <v>943</v>
      </c>
      <c r="D1300" s="18">
        <v>137</v>
      </c>
      <c r="E1300" s="18">
        <v>204</v>
      </c>
      <c r="F1300" s="18">
        <v>212</v>
      </c>
      <c r="G1300" s="18">
        <v>487</v>
      </c>
      <c r="H1300" s="18">
        <v>0</v>
      </c>
    </row>
    <row r="1301" spans="2:8">
      <c r="B1301" s="14" t="s">
        <v>7244</v>
      </c>
      <c r="C1301" s="245" t="s">
        <v>1878</v>
      </c>
      <c r="D1301" s="15">
        <v>0</v>
      </c>
      <c r="E1301" s="15">
        <v>0</v>
      </c>
      <c r="F1301" s="15">
        <v>0</v>
      </c>
      <c r="G1301" s="15">
        <v>0</v>
      </c>
      <c r="H1301" s="15">
        <v>0</v>
      </c>
    </row>
    <row r="1302" spans="2:8">
      <c r="B1302" s="17" t="s">
        <v>7245</v>
      </c>
      <c r="C1302" s="246" t="s">
        <v>1879</v>
      </c>
      <c r="D1302" s="18">
        <v>0</v>
      </c>
      <c r="E1302" s="18">
        <v>0</v>
      </c>
      <c r="F1302" s="18">
        <v>0</v>
      </c>
      <c r="G1302" s="18">
        <v>0</v>
      </c>
      <c r="H1302" s="18">
        <v>0</v>
      </c>
    </row>
    <row r="1303" spans="2:8">
      <c r="B1303" s="14" t="s">
        <v>7246</v>
      </c>
      <c r="C1303" s="245" t="s">
        <v>1880</v>
      </c>
      <c r="D1303" s="15">
        <v>0</v>
      </c>
      <c r="E1303" s="15">
        <v>0</v>
      </c>
      <c r="F1303" s="15">
        <v>0</v>
      </c>
      <c r="G1303" s="15">
        <v>0</v>
      </c>
      <c r="H1303" s="15">
        <v>0</v>
      </c>
    </row>
    <row r="1304" spans="2:8">
      <c r="B1304" s="17" t="s">
        <v>7247</v>
      </c>
      <c r="C1304" s="246" t="s">
        <v>1881</v>
      </c>
      <c r="D1304" s="18">
        <v>0</v>
      </c>
      <c r="E1304" s="18">
        <v>0</v>
      </c>
      <c r="F1304" s="18">
        <v>0</v>
      </c>
      <c r="G1304" s="18">
        <v>0</v>
      </c>
      <c r="H1304" s="18">
        <v>0</v>
      </c>
    </row>
    <row r="1305" spans="2:8">
      <c r="B1305" s="14" t="s">
        <v>7248</v>
      </c>
      <c r="C1305" s="245" t="s">
        <v>1882</v>
      </c>
      <c r="D1305" s="15">
        <v>0</v>
      </c>
      <c r="E1305" s="15">
        <v>0</v>
      </c>
      <c r="F1305" s="15">
        <v>0</v>
      </c>
      <c r="G1305" s="15">
        <v>0</v>
      </c>
      <c r="H1305" s="15">
        <v>0</v>
      </c>
    </row>
    <row r="1306" spans="2:8">
      <c r="B1306" s="17" t="s">
        <v>7249</v>
      </c>
      <c r="C1306" s="246" t="s">
        <v>1883</v>
      </c>
      <c r="D1306" s="18">
        <v>0</v>
      </c>
      <c r="E1306" s="18">
        <v>0</v>
      </c>
      <c r="F1306" s="18">
        <v>0</v>
      </c>
      <c r="G1306" s="18">
        <v>0</v>
      </c>
      <c r="H1306" s="18">
        <v>0</v>
      </c>
    </row>
    <row r="1307" spans="2:8">
      <c r="B1307" s="14" t="s">
        <v>7250</v>
      </c>
      <c r="C1307" s="245" t="s">
        <v>1884</v>
      </c>
      <c r="D1307" s="15">
        <v>0</v>
      </c>
      <c r="E1307" s="15">
        <v>0</v>
      </c>
      <c r="F1307" s="15">
        <v>0</v>
      </c>
      <c r="G1307" s="15">
        <v>0</v>
      </c>
      <c r="H1307" s="15">
        <v>0</v>
      </c>
    </row>
    <row r="1308" spans="2:8">
      <c r="B1308" s="17" t="s">
        <v>7251</v>
      </c>
      <c r="C1308" s="246" t="s">
        <v>1885</v>
      </c>
      <c r="D1308" s="18">
        <v>0</v>
      </c>
      <c r="E1308" s="18">
        <v>0</v>
      </c>
      <c r="F1308" s="18">
        <v>0</v>
      </c>
      <c r="G1308" s="18">
        <v>0</v>
      </c>
      <c r="H1308" s="18">
        <v>0</v>
      </c>
    </row>
    <row r="1309" spans="2:8">
      <c r="B1309" s="14" t="s">
        <v>7252</v>
      </c>
      <c r="C1309" s="245" t="s">
        <v>1886</v>
      </c>
      <c r="D1309" s="15">
        <v>0</v>
      </c>
      <c r="E1309" s="15">
        <v>0</v>
      </c>
      <c r="F1309" s="15">
        <v>0</v>
      </c>
      <c r="G1309" s="15">
        <v>0</v>
      </c>
      <c r="H1309" s="15">
        <v>0</v>
      </c>
    </row>
    <row r="1310" spans="2:8">
      <c r="B1310" s="17" t="s">
        <v>7253</v>
      </c>
      <c r="C1310" s="246" t="s">
        <v>1887</v>
      </c>
      <c r="D1310" s="18">
        <v>0</v>
      </c>
      <c r="E1310" s="18">
        <v>0</v>
      </c>
      <c r="F1310" s="18">
        <v>0</v>
      </c>
      <c r="G1310" s="18">
        <v>0</v>
      </c>
      <c r="H1310" s="18">
        <v>0</v>
      </c>
    </row>
    <row r="1311" spans="2:8">
      <c r="B1311" s="14" t="s">
        <v>7254</v>
      </c>
      <c r="C1311" s="245" t="s">
        <v>1888</v>
      </c>
      <c r="D1311" s="15">
        <v>0</v>
      </c>
      <c r="E1311" s="15">
        <v>0</v>
      </c>
      <c r="F1311" s="15">
        <v>0</v>
      </c>
      <c r="G1311" s="15">
        <v>0</v>
      </c>
      <c r="H1311" s="15">
        <v>0</v>
      </c>
    </row>
    <row r="1312" spans="2:8">
      <c r="B1312" s="17" t="s">
        <v>7255</v>
      </c>
      <c r="C1312" s="246" t="s">
        <v>1889</v>
      </c>
      <c r="D1312" s="18">
        <v>0</v>
      </c>
      <c r="E1312" s="18">
        <v>0</v>
      </c>
      <c r="F1312" s="18">
        <v>0</v>
      </c>
      <c r="G1312" s="18">
        <v>0</v>
      </c>
      <c r="H1312" s="18">
        <v>0</v>
      </c>
    </row>
    <row r="1313" spans="2:8">
      <c r="B1313" s="14" t="s">
        <v>7256</v>
      </c>
      <c r="C1313" s="245" t="s">
        <v>1890</v>
      </c>
      <c r="D1313" s="15">
        <v>0</v>
      </c>
      <c r="E1313" s="15">
        <v>0</v>
      </c>
      <c r="F1313" s="15">
        <v>0</v>
      </c>
      <c r="G1313" s="15">
        <v>0</v>
      </c>
      <c r="H1313" s="15">
        <v>0</v>
      </c>
    </row>
    <row r="1314" spans="2:8">
      <c r="B1314" s="17" t="s">
        <v>7257</v>
      </c>
      <c r="C1314" s="246" t="s">
        <v>1891</v>
      </c>
      <c r="D1314" s="18">
        <v>0</v>
      </c>
      <c r="E1314" s="18">
        <v>0</v>
      </c>
      <c r="F1314" s="18">
        <v>0</v>
      </c>
      <c r="G1314" s="18">
        <v>0</v>
      </c>
      <c r="H1314" s="18">
        <v>0</v>
      </c>
    </row>
    <row r="1315" spans="2:8">
      <c r="B1315" s="14" t="s">
        <v>7258</v>
      </c>
      <c r="C1315" s="245" t="s">
        <v>1892</v>
      </c>
      <c r="D1315" s="15">
        <v>0</v>
      </c>
      <c r="E1315" s="15">
        <v>0</v>
      </c>
      <c r="F1315" s="15">
        <v>0</v>
      </c>
      <c r="G1315" s="15">
        <v>0</v>
      </c>
      <c r="H1315" s="15">
        <v>0</v>
      </c>
    </row>
    <row r="1316" spans="2:8">
      <c r="B1316" s="17" t="s">
        <v>7259</v>
      </c>
      <c r="C1316" s="246" t="s">
        <v>1893</v>
      </c>
      <c r="D1316" s="18">
        <v>0</v>
      </c>
      <c r="E1316" s="18">
        <v>0</v>
      </c>
      <c r="F1316" s="18">
        <v>0</v>
      </c>
      <c r="G1316" s="18">
        <v>0</v>
      </c>
      <c r="H1316" s="18">
        <v>0</v>
      </c>
    </row>
    <row r="1317" spans="2:8">
      <c r="B1317" s="14" t="s">
        <v>7260</v>
      </c>
      <c r="C1317" s="245" t="s">
        <v>1894</v>
      </c>
      <c r="D1317" s="15">
        <v>0</v>
      </c>
      <c r="E1317" s="15">
        <v>0</v>
      </c>
      <c r="F1317" s="15">
        <v>0</v>
      </c>
      <c r="G1317" s="15">
        <v>0</v>
      </c>
      <c r="H1317" s="15">
        <v>0</v>
      </c>
    </row>
    <row r="1318" spans="2:8">
      <c r="B1318" s="17" t="s">
        <v>7261</v>
      </c>
      <c r="C1318" s="246" t="s">
        <v>1895</v>
      </c>
      <c r="D1318" s="18">
        <v>0</v>
      </c>
      <c r="E1318" s="18">
        <v>0</v>
      </c>
      <c r="F1318" s="18">
        <v>0</v>
      </c>
      <c r="G1318" s="18">
        <v>0</v>
      </c>
      <c r="H1318" s="18">
        <v>0</v>
      </c>
    </row>
    <row r="1319" spans="2:8">
      <c r="B1319" s="14" t="s">
        <v>7262</v>
      </c>
      <c r="C1319" s="245" t="s">
        <v>1896</v>
      </c>
      <c r="D1319" s="15">
        <v>0</v>
      </c>
      <c r="E1319" s="15">
        <v>0</v>
      </c>
      <c r="F1319" s="15">
        <v>0</v>
      </c>
      <c r="G1319" s="15">
        <v>0</v>
      </c>
      <c r="H1319" s="15">
        <v>0</v>
      </c>
    </row>
    <row r="1320" spans="2:8">
      <c r="B1320" s="17" t="s">
        <v>7263</v>
      </c>
      <c r="C1320" s="246" t="s">
        <v>1897</v>
      </c>
      <c r="D1320" s="18">
        <v>0</v>
      </c>
      <c r="E1320" s="18">
        <v>0</v>
      </c>
      <c r="F1320" s="18">
        <v>0</v>
      </c>
      <c r="G1320" s="18">
        <v>0</v>
      </c>
      <c r="H1320" s="18">
        <v>0</v>
      </c>
    </row>
    <row r="1321" spans="2:8">
      <c r="B1321" s="14" t="s">
        <v>7264</v>
      </c>
      <c r="C1321" s="245" t="s">
        <v>1898</v>
      </c>
      <c r="D1321" s="15">
        <v>0</v>
      </c>
      <c r="E1321" s="15">
        <v>0</v>
      </c>
      <c r="F1321" s="15">
        <v>0</v>
      </c>
      <c r="G1321" s="15">
        <v>0</v>
      </c>
      <c r="H1321" s="15">
        <v>0</v>
      </c>
    </row>
    <row r="1322" spans="2:8">
      <c r="B1322" s="17" t="s">
        <v>7265</v>
      </c>
      <c r="C1322" s="246" t="s">
        <v>1899</v>
      </c>
      <c r="D1322" s="18">
        <v>0</v>
      </c>
      <c r="E1322" s="18">
        <v>0</v>
      </c>
      <c r="F1322" s="18">
        <v>0</v>
      </c>
      <c r="G1322" s="18">
        <v>0</v>
      </c>
      <c r="H1322" s="18">
        <v>0</v>
      </c>
    </row>
    <row r="1323" spans="2:8">
      <c r="B1323" s="14" t="s">
        <v>7266</v>
      </c>
      <c r="C1323" s="245" t="s">
        <v>1900</v>
      </c>
      <c r="D1323" s="15">
        <v>0</v>
      </c>
      <c r="E1323" s="15">
        <v>0</v>
      </c>
      <c r="F1323" s="15">
        <v>0</v>
      </c>
      <c r="G1323" s="15">
        <v>0</v>
      </c>
      <c r="H1323" s="15">
        <v>0</v>
      </c>
    </row>
    <row r="1324" spans="2:8">
      <c r="B1324" s="17" t="s">
        <v>7267</v>
      </c>
      <c r="C1324" s="246" t="s">
        <v>1901</v>
      </c>
      <c r="D1324" s="18">
        <v>0</v>
      </c>
      <c r="E1324" s="18">
        <v>0</v>
      </c>
      <c r="F1324" s="18">
        <v>0</v>
      </c>
      <c r="G1324" s="18">
        <v>0</v>
      </c>
      <c r="H1324" s="18">
        <v>0</v>
      </c>
    </row>
    <row r="1325" spans="2:8">
      <c r="B1325" s="14" t="s">
        <v>7268</v>
      </c>
      <c r="C1325" s="245" t="s">
        <v>1901</v>
      </c>
      <c r="D1325" s="15">
        <v>0</v>
      </c>
      <c r="E1325" s="15">
        <v>0</v>
      </c>
      <c r="F1325" s="15">
        <v>0</v>
      </c>
      <c r="G1325" s="15">
        <v>0</v>
      </c>
      <c r="H1325" s="15">
        <v>0</v>
      </c>
    </row>
    <row r="1326" spans="2:8">
      <c r="B1326" s="17" t="s">
        <v>7269</v>
      </c>
      <c r="C1326" s="246" t="s">
        <v>1902</v>
      </c>
      <c r="D1326" s="18">
        <v>0</v>
      </c>
      <c r="E1326" s="18">
        <v>0</v>
      </c>
      <c r="F1326" s="18">
        <v>0</v>
      </c>
      <c r="G1326" s="18">
        <v>0</v>
      </c>
      <c r="H1326" s="18">
        <v>0</v>
      </c>
    </row>
    <row r="1327" spans="2:8">
      <c r="B1327" s="14" t="s">
        <v>7270</v>
      </c>
      <c r="C1327" s="245" t="s">
        <v>1903</v>
      </c>
      <c r="D1327" s="15">
        <v>3</v>
      </c>
      <c r="E1327" s="15">
        <v>0</v>
      </c>
      <c r="F1327" s="15">
        <v>0</v>
      </c>
      <c r="G1327" s="15">
        <v>0</v>
      </c>
      <c r="H1327" s="15">
        <v>0</v>
      </c>
    </row>
    <row r="1328" spans="2:8">
      <c r="B1328" s="17" t="s">
        <v>7271</v>
      </c>
      <c r="C1328" s="246" t="s">
        <v>1904</v>
      </c>
      <c r="D1328" s="18">
        <v>0</v>
      </c>
      <c r="E1328" s="18">
        <v>0</v>
      </c>
      <c r="F1328" s="18">
        <v>0</v>
      </c>
      <c r="G1328" s="18">
        <v>0</v>
      </c>
      <c r="H1328" s="18">
        <v>0</v>
      </c>
    </row>
    <row r="1329" spans="2:8">
      <c r="B1329" s="14" t="s">
        <v>7272</v>
      </c>
      <c r="C1329" s="245" t="s">
        <v>1905</v>
      </c>
      <c r="D1329" s="15">
        <v>0</v>
      </c>
      <c r="E1329" s="15">
        <v>0</v>
      </c>
      <c r="F1329" s="15">
        <v>0</v>
      </c>
      <c r="G1329" s="15">
        <v>22</v>
      </c>
      <c r="H1329" s="15">
        <v>0</v>
      </c>
    </row>
    <row r="1330" spans="2:8">
      <c r="B1330" s="17" t="s">
        <v>7273</v>
      </c>
      <c r="C1330" s="246" t="s">
        <v>1906</v>
      </c>
      <c r="D1330" s="18">
        <v>0</v>
      </c>
      <c r="E1330" s="18">
        <v>0</v>
      </c>
      <c r="F1330" s="18">
        <v>0</v>
      </c>
      <c r="G1330" s="18">
        <v>0</v>
      </c>
      <c r="H1330" s="18">
        <v>0</v>
      </c>
    </row>
    <row r="1331" spans="2:8">
      <c r="B1331" s="14" t="s">
        <v>7274</v>
      </c>
      <c r="C1331" s="245" t="s">
        <v>1907</v>
      </c>
      <c r="D1331" s="15">
        <v>0</v>
      </c>
      <c r="E1331" s="15">
        <v>0</v>
      </c>
      <c r="F1331" s="15">
        <v>0</v>
      </c>
      <c r="G1331" s="15">
        <v>0</v>
      </c>
      <c r="H1331" s="15">
        <v>0</v>
      </c>
    </row>
    <row r="1332" spans="2:8">
      <c r="B1332" s="17" t="s">
        <v>7275</v>
      </c>
      <c r="C1332" s="246" t="s">
        <v>1908</v>
      </c>
      <c r="D1332" s="18">
        <v>1</v>
      </c>
      <c r="E1332" s="18">
        <v>0</v>
      </c>
      <c r="F1332" s="18">
        <v>0</v>
      </c>
      <c r="G1332" s="18">
        <v>0</v>
      </c>
      <c r="H1332" s="18">
        <v>0</v>
      </c>
    </row>
    <row r="1333" spans="2:8">
      <c r="B1333" s="14" t="s">
        <v>7276</v>
      </c>
      <c r="C1333" s="245" t="s">
        <v>1909</v>
      </c>
      <c r="D1333" s="15">
        <v>0</v>
      </c>
      <c r="E1333" s="15">
        <v>0</v>
      </c>
      <c r="F1333" s="15">
        <v>0</v>
      </c>
      <c r="G1333" s="15">
        <v>0</v>
      </c>
      <c r="H1333" s="15">
        <v>0</v>
      </c>
    </row>
    <row r="1334" spans="2:8">
      <c r="B1334" s="17" t="s">
        <v>7277</v>
      </c>
      <c r="C1334" s="246" t="s">
        <v>1619</v>
      </c>
      <c r="D1334" s="18">
        <v>0</v>
      </c>
      <c r="E1334" s="18">
        <v>0</v>
      </c>
      <c r="F1334" s="18">
        <v>0</v>
      </c>
      <c r="G1334" s="18">
        <v>1</v>
      </c>
      <c r="H1334" s="18">
        <v>0</v>
      </c>
    </row>
    <row r="1335" spans="2:8">
      <c r="B1335" s="14" t="s">
        <v>7278</v>
      </c>
      <c r="C1335" s="245" t="s">
        <v>1910</v>
      </c>
      <c r="D1335" s="15">
        <v>0</v>
      </c>
      <c r="E1335" s="15">
        <v>50</v>
      </c>
      <c r="F1335" s="15">
        <v>4</v>
      </c>
      <c r="G1335" s="15">
        <v>0</v>
      </c>
      <c r="H1335" s="15">
        <v>0</v>
      </c>
    </row>
    <row r="1336" spans="2:8">
      <c r="B1336" s="17" t="s">
        <v>7279</v>
      </c>
      <c r="C1336" s="246" t="s">
        <v>1911</v>
      </c>
      <c r="D1336" s="18">
        <v>0</v>
      </c>
      <c r="E1336" s="18">
        <v>0</v>
      </c>
      <c r="F1336" s="18">
        <v>0</v>
      </c>
      <c r="G1336" s="18">
        <v>0</v>
      </c>
      <c r="H1336" s="18">
        <v>0</v>
      </c>
    </row>
    <row r="1337" spans="2:8">
      <c r="B1337" s="14" t="s">
        <v>7280</v>
      </c>
      <c r="C1337" s="245" t="s">
        <v>1833</v>
      </c>
      <c r="D1337" s="15">
        <v>0</v>
      </c>
      <c r="E1337" s="15">
        <v>0</v>
      </c>
      <c r="F1337" s="15">
        <v>0</v>
      </c>
      <c r="G1337" s="15">
        <v>0</v>
      </c>
      <c r="H1337" s="15">
        <v>0</v>
      </c>
    </row>
    <row r="1338" spans="2:8">
      <c r="B1338" s="17" t="s">
        <v>7281</v>
      </c>
      <c r="C1338" s="246" t="s">
        <v>1912</v>
      </c>
      <c r="D1338" s="18">
        <v>0</v>
      </c>
      <c r="E1338" s="18">
        <v>0</v>
      </c>
      <c r="F1338" s="18">
        <v>0</v>
      </c>
      <c r="G1338" s="18">
        <v>0</v>
      </c>
      <c r="H1338" s="18">
        <v>0</v>
      </c>
    </row>
    <row r="1339" spans="2:8">
      <c r="B1339" s="14" t="s">
        <v>7282</v>
      </c>
      <c r="C1339" s="245" t="s">
        <v>1913</v>
      </c>
      <c r="D1339" s="15">
        <v>0</v>
      </c>
      <c r="E1339" s="15">
        <v>0</v>
      </c>
      <c r="F1339" s="15">
        <v>0</v>
      </c>
      <c r="G1339" s="15">
        <v>0</v>
      </c>
      <c r="H1339" s="15">
        <v>0</v>
      </c>
    </row>
    <row r="1340" spans="2:8">
      <c r="B1340" s="17" t="s">
        <v>7283</v>
      </c>
      <c r="C1340" s="246" t="s">
        <v>1914</v>
      </c>
      <c r="D1340" s="18">
        <v>0</v>
      </c>
      <c r="E1340" s="18">
        <v>0</v>
      </c>
      <c r="F1340" s="18">
        <v>0</v>
      </c>
      <c r="G1340" s="18">
        <v>0</v>
      </c>
      <c r="H1340" s="18">
        <v>0</v>
      </c>
    </row>
    <row r="1341" spans="2:8">
      <c r="B1341" s="14" t="s">
        <v>7284</v>
      </c>
      <c r="C1341" s="245" t="s">
        <v>1915</v>
      </c>
      <c r="D1341" s="15">
        <v>0</v>
      </c>
      <c r="E1341" s="15">
        <v>0</v>
      </c>
      <c r="F1341" s="15">
        <v>0</v>
      </c>
      <c r="G1341" s="15">
        <v>0</v>
      </c>
      <c r="H1341" s="15">
        <v>0</v>
      </c>
    </row>
    <row r="1342" spans="2:8">
      <c r="B1342" s="17" t="s">
        <v>7285</v>
      </c>
      <c r="C1342" s="246" t="s">
        <v>1916</v>
      </c>
      <c r="D1342" s="18">
        <v>0</v>
      </c>
      <c r="E1342" s="18">
        <v>0</v>
      </c>
      <c r="F1342" s="18">
        <v>0</v>
      </c>
      <c r="G1342" s="18">
        <v>0</v>
      </c>
      <c r="H1342" s="18">
        <v>0</v>
      </c>
    </row>
    <row r="1343" spans="2:8">
      <c r="B1343" s="14" t="s">
        <v>7286</v>
      </c>
      <c r="C1343" s="245" t="s">
        <v>1917</v>
      </c>
      <c r="D1343" s="15">
        <v>0</v>
      </c>
      <c r="E1343" s="15">
        <v>0</v>
      </c>
      <c r="F1343" s="15">
        <v>0</v>
      </c>
      <c r="G1343" s="15">
        <v>0</v>
      </c>
      <c r="H1343" s="15">
        <v>0</v>
      </c>
    </row>
    <row r="1344" spans="2:8">
      <c r="B1344" s="17" t="s">
        <v>7287</v>
      </c>
      <c r="C1344" s="246" t="s">
        <v>1385</v>
      </c>
      <c r="D1344" s="18">
        <v>0</v>
      </c>
      <c r="E1344" s="18">
        <v>0</v>
      </c>
      <c r="F1344" s="18">
        <v>0</v>
      </c>
      <c r="G1344" s="18">
        <v>0</v>
      </c>
      <c r="H1344" s="18">
        <v>0</v>
      </c>
    </row>
    <row r="1345" spans="2:8">
      <c r="B1345" s="14" t="s">
        <v>7288</v>
      </c>
      <c r="C1345" s="245" t="s">
        <v>1918</v>
      </c>
      <c r="D1345" s="15">
        <v>0</v>
      </c>
      <c r="E1345" s="15">
        <v>0</v>
      </c>
      <c r="F1345" s="15">
        <v>0</v>
      </c>
      <c r="G1345" s="15">
        <v>0</v>
      </c>
      <c r="H1345" s="15">
        <v>0</v>
      </c>
    </row>
    <row r="1346" spans="2:8">
      <c r="B1346" s="17" t="s">
        <v>7289</v>
      </c>
      <c r="C1346" s="246" t="s">
        <v>1919</v>
      </c>
      <c r="D1346" s="18">
        <v>0</v>
      </c>
      <c r="E1346" s="18">
        <v>0</v>
      </c>
      <c r="F1346" s="18">
        <v>0</v>
      </c>
      <c r="G1346" s="18">
        <v>0</v>
      </c>
      <c r="H1346" s="18">
        <v>0</v>
      </c>
    </row>
    <row r="1347" spans="2:8">
      <c r="B1347" s="14" t="s">
        <v>7290</v>
      </c>
      <c r="C1347" s="245" t="s">
        <v>1920</v>
      </c>
      <c r="D1347" s="15">
        <v>0</v>
      </c>
      <c r="E1347" s="15">
        <v>0</v>
      </c>
      <c r="F1347" s="15">
        <v>0</v>
      </c>
      <c r="G1347" s="15">
        <v>0</v>
      </c>
      <c r="H1347" s="15">
        <v>0</v>
      </c>
    </row>
    <row r="1348" spans="2:8">
      <c r="B1348" s="17" t="s">
        <v>7291</v>
      </c>
      <c r="C1348" s="246" t="s">
        <v>1921</v>
      </c>
      <c r="D1348" s="18">
        <v>0</v>
      </c>
      <c r="E1348" s="18">
        <v>0</v>
      </c>
      <c r="F1348" s="18">
        <v>0</v>
      </c>
      <c r="G1348" s="18">
        <v>0</v>
      </c>
      <c r="H1348" s="18">
        <v>0</v>
      </c>
    </row>
    <row r="1349" spans="2:8">
      <c r="B1349" s="14" t="s">
        <v>7292</v>
      </c>
      <c r="C1349" s="245" t="s">
        <v>1922</v>
      </c>
      <c r="D1349" s="15">
        <v>0</v>
      </c>
      <c r="E1349" s="15">
        <v>0</v>
      </c>
      <c r="F1349" s="15">
        <v>0</v>
      </c>
      <c r="G1349" s="15">
        <v>0</v>
      </c>
      <c r="H1349" s="15">
        <v>0</v>
      </c>
    </row>
    <row r="1350" spans="2:8">
      <c r="B1350" s="17" t="s">
        <v>7293</v>
      </c>
      <c r="C1350" s="246" t="s">
        <v>1923</v>
      </c>
      <c r="D1350" s="18">
        <v>0</v>
      </c>
      <c r="E1350" s="18">
        <v>0</v>
      </c>
      <c r="F1350" s="18">
        <v>0</v>
      </c>
      <c r="G1350" s="18">
        <v>0</v>
      </c>
      <c r="H1350" s="18">
        <v>0</v>
      </c>
    </row>
    <row r="1351" spans="2:8">
      <c r="B1351" s="14" t="s">
        <v>7294</v>
      </c>
      <c r="C1351" s="245" t="s">
        <v>1924</v>
      </c>
      <c r="D1351" s="15">
        <v>0</v>
      </c>
      <c r="E1351" s="15">
        <v>0</v>
      </c>
      <c r="F1351" s="15">
        <v>0</v>
      </c>
      <c r="G1351" s="15">
        <v>0</v>
      </c>
      <c r="H1351" s="15">
        <v>0</v>
      </c>
    </row>
    <row r="1352" spans="2:8">
      <c r="B1352" s="17" t="s">
        <v>7295</v>
      </c>
      <c r="C1352" s="246" t="s">
        <v>1925</v>
      </c>
      <c r="D1352" s="18">
        <v>0</v>
      </c>
      <c r="E1352" s="18">
        <v>0</v>
      </c>
      <c r="F1352" s="18">
        <v>0</v>
      </c>
      <c r="G1352" s="18">
        <v>0</v>
      </c>
      <c r="H1352" s="18">
        <v>0</v>
      </c>
    </row>
    <row r="1353" spans="2:8">
      <c r="B1353" s="14" t="s">
        <v>7296</v>
      </c>
      <c r="C1353" s="245" t="s">
        <v>1926</v>
      </c>
      <c r="D1353" s="15">
        <v>0</v>
      </c>
      <c r="E1353" s="15">
        <v>0</v>
      </c>
      <c r="F1353" s="15">
        <v>0</v>
      </c>
      <c r="G1353" s="15">
        <v>0</v>
      </c>
      <c r="H1353" s="15">
        <v>0</v>
      </c>
    </row>
    <row r="1354" spans="2:8">
      <c r="B1354" s="17" t="s">
        <v>7297</v>
      </c>
      <c r="C1354" s="246" t="s">
        <v>1927</v>
      </c>
      <c r="D1354" s="18">
        <v>6</v>
      </c>
      <c r="E1354" s="18">
        <v>0</v>
      </c>
      <c r="F1354" s="18">
        <v>0</v>
      </c>
      <c r="G1354" s="18">
        <v>0</v>
      </c>
      <c r="H1354" s="18">
        <v>0</v>
      </c>
    </row>
    <row r="1355" spans="2:8">
      <c r="B1355" s="14" t="s">
        <v>7298</v>
      </c>
      <c r="C1355" s="245" t="s">
        <v>1928</v>
      </c>
      <c r="D1355" s="15">
        <v>0</v>
      </c>
      <c r="E1355" s="15">
        <v>0</v>
      </c>
      <c r="F1355" s="15">
        <v>0</v>
      </c>
      <c r="G1355" s="15">
        <v>0</v>
      </c>
      <c r="H1355" s="15">
        <v>0</v>
      </c>
    </row>
    <row r="1356" spans="2:8">
      <c r="B1356" s="17" t="s">
        <v>7299</v>
      </c>
      <c r="C1356" s="246" t="s">
        <v>1929</v>
      </c>
      <c r="D1356" s="18">
        <v>6</v>
      </c>
      <c r="E1356" s="18">
        <v>13</v>
      </c>
      <c r="F1356" s="18">
        <v>17</v>
      </c>
      <c r="G1356" s="18">
        <v>7</v>
      </c>
      <c r="H1356" s="18">
        <v>0</v>
      </c>
    </row>
    <row r="1357" spans="2:8">
      <c r="B1357" s="14" t="s">
        <v>7300</v>
      </c>
      <c r="C1357" s="245" t="s">
        <v>1930</v>
      </c>
      <c r="D1357" s="15">
        <v>0</v>
      </c>
      <c r="E1357" s="15">
        <v>0</v>
      </c>
      <c r="F1357" s="15">
        <v>0</v>
      </c>
      <c r="G1357" s="15">
        <v>0</v>
      </c>
      <c r="H1357" s="15">
        <v>0</v>
      </c>
    </row>
    <row r="1358" spans="2:8">
      <c r="B1358" s="17" t="s">
        <v>7301</v>
      </c>
      <c r="C1358" s="246" t="s">
        <v>1931</v>
      </c>
      <c r="D1358" s="18">
        <v>0</v>
      </c>
      <c r="E1358" s="18">
        <v>0</v>
      </c>
      <c r="F1358" s="18">
        <v>0</v>
      </c>
      <c r="G1358" s="18">
        <v>0</v>
      </c>
      <c r="H1358" s="18">
        <v>0</v>
      </c>
    </row>
    <row r="1359" spans="2:8">
      <c r="B1359" s="14" t="s">
        <v>7302</v>
      </c>
      <c r="C1359" s="245" t="s">
        <v>1932</v>
      </c>
      <c r="D1359" s="15">
        <v>0</v>
      </c>
      <c r="E1359" s="15">
        <v>0</v>
      </c>
      <c r="F1359" s="15">
        <v>0</v>
      </c>
      <c r="G1359" s="15">
        <v>0</v>
      </c>
      <c r="H1359" s="15">
        <v>0</v>
      </c>
    </row>
    <row r="1360" spans="2:8">
      <c r="B1360" s="17" t="s">
        <v>7303</v>
      </c>
      <c r="C1360" s="246" t="s">
        <v>1933</v>
      </c>
      <c r="D1360" s="18">
        <v>0</v>
      </c>
      <c r="E1360" s="18">
        <v>0</v>
      </c>
      <c r="F1360" s="18">
        <v>0</v>
      </c>
      <c r="G1360" s="18">
        <v>0</v>
      </c>
      <c r="H1360" s="18">
        <v>0</v>
      </c>
    </row>
    <row r="1361" spans="2:8">
      <c r="B1361" s="14" t="s">
        <v>7304</v>
      </c>
      <c r="C1361" s="245" t="s">
        <v>1934</v>
      </c>
      <c r="D1361" s="15">
        <v>0</v>
      </c>
      <c r="E1361" s="15">
        <v>0</v>
      </c>
      <c r="F1361" s="15">
        <v>0</v>
      </c>
      <c r="G1361" s="15">
        <v>0</v>
      </c>
      <c r="H1361" s="15">
        <v>0</v>
      </c>
    </row>
    <row r="1362" spans="2:8">
      <c r="B1362" s="17" t="s">
        <v>7305</v>
      </c>
      <c r="C1362" s="246" t="s">
        <v>1935</v>
      </c>
      <c r="D1362" s="18">
        <v>0</v>
      </c>
      <c r="E1362" s="18">
        <v>0</v>
      </c>
      <c r="F1362" s="18">
        <v>0</v>
      </c>
      <c r="G1362" s="18">
        <v>0</v>
      </c>
      <c r="H1362" s="18">
        <v>0</v>
      </c>
    </row>
    <row r="1363" spans="2:8">
      <c r="B1363" s="14" t="s">
        <v>7306</v>
      </c>
      <c r="C1363" s="245" t="s">
        <v>1936</v>
      </c>
      <c r="D1363" s="15">
        <v>0</v>
      </c>
      <c r="E1363" s="15">
        <v>0</v>
      </c>
      <c r="F1363" s="15">
        <v>0</v>
      </c>
      <c r="G1363" s="15">
        <v>0</v>
      </c>
      <c r="H1363" s="15">
        <v>0</v>
      </c>
    </row>
    <row r="1364" spans="2:8">
      <c r="B1364" s="17" t="s">
        <v>7307</v>
      </c>
      <c r="C1364" s="246" t="s">
        <v>1937</v>
      </c>
      <c r="D1364" s="18">
        <v>0</v>
      </c>
      <c r="E1364" s="18">
        <v>0</v>
      </c>
      <c r="F1364" s="18">
        <v>0</v>
      </c>
      <c r="G1364" s="18">
        <v>0</v>
      </c>
      <c r="H1364" s="18">
        <v>0</v>
      </c>
    </row>
    <row r="1365" spans="2:8">
      <c r="B1365" s="14" t="s">
        <v>7308</v>
      </c>
      <c r="C1365" s="245" t="s">
        <v>1938</v>
      </c>
      <c r="D1365" s="15">
        <v>0</v>
      </c>
      <c r="E1365" s="15">
        <v>0</v>
      </c>
      <c r="F1365" s="15">
        <v>0</v>
      </c>
      <c r="G1365" s="15">
        <v>0</v>
      </c>
      <c r="H1365" s="15">
        <v>0</v>
      </c>
    </row>
    <row r="1366" spans="2:8">
      <c r="B1366" s="17" t="s">
        <v>7309</v>
      </c>
      <c r="C1366" s="246" t="s">
        <v>1939</v>
      </c>
      <c r="D1366" s="18">
        <v>0</v>
      </c>
      <c r="E1366" s="18">
        <v>0</v>
      </c>
      <c r="F1366" s="18">
        <v>0</v>
      </c>
      <c r="G1366" s="18">
        <v>0</v>
      </c>
      <c r="H1366" s="18">
        <v>0</v>
      </c>
    </row>
    <row r="1367" spans="2:8">
      <c r="B1367" s="14" t="s">
        <v>7310</v>
      </c>
      <c r="C1367" s="245" t="s">
        <v>1940</v>
      </c>
      <c r="D1367" s="15">
        <v>0</v>
      </c>
      <c r="E1367" s="15">
        <v>0</v>
      </c>
      <c r="F1367" s="15">
        <v>0</v>
      </c>
      <c r="G1367" s="15">
        <v>0</v>
      </c>
      <c r="H1367" s="15">
        <v>0</v>
      </c>
    </row>
    <row r="1368" spans="2:8">
      <c r="B1368" s="17" t="s">
        <v>7311</v>
      </c>
      <c r="C1368" s="246" t="s">
        <v>1941</v>
      </c>
      <c r="D1368" s="18">
        <v>0</v>
      </c>
      <c r="E1368" s="18">
        <v>0</v>
      </c>
      <c r="F1368" s="18">
        <v>0</v>
      </c>
      <c r="G1368" s="18">
        <v>0</v>
      </c>
      <c r="H1368" s="18">
        <v>0</v>
      </c>
    </row>
    <row r="1369" spans="2:8">
      <c r="B1369" s="14" t="s">
        <v>7312</v>
      </c>
      <c r="C1369" s="245" t="s">
        <v>1942</v>
      </c>
      <c r="D1369" s="15">
        <v>0</v>
      </c>
      <c r="E1369" s="15">
        <v>0</v>
      </c>
      <c r="F1369" s="15">
        <v>0</v>
      </c>
      <c r="G1369" s="15">
        <v>0</v>
      </c>
      <c r="H1369" s="15">
        <v>0</v>
      </c>
    </row>
    <row r="1370" spans="2:8">
      <c r="B1370" s="17" t="s">
        <v>7313</v>
      </c>
      <c r="C1370" s="246" t="s">
        <v>1943</v>
      </c>
      <c r="D1370" s="18">
        <v>0</v>
      </c>
      <c r="E1370" s="18">
        <v>0</v>
      </c>
      <c r="F1370" s="18">
        <v>0</v>
      </c>
      <c r="G1370" s="18">
        <v>0</v>
      </c>
      <c r="H1370" s="18">
        <v>0</v>
      </c>
    </row>
    <row r="1371" spans="2:8">
      <c r="B1371" s="14" t="s">
        <v>7314</v>
      </c>
      <c r="C1371" s="245" t="s">
        <v>1944</v>
      </c>
      <c r="D1371" s="15">
        <v>0</v>
      </c>
      <c r="E1371" s="15">
        <v>0</v>
      </c>
      <c r="F1371" s="15">
        <v>0</v>
      </c>
      <c r="G1371" s="15">
        <v>0</v>
      </c>
      <c r="H1371" s="15">
        <v>0</v>
      </c>
    </row>
    <row r="1372" spans="2:8">
      <c r="B1372" s="17" t="s">
        <v>7315</v>
      </c>
      <c r="C1372" s="246" t="s">
        <v>1945</v>
      </c>
      <c r="D1372" s="18">
        <v>0</v>
      </c>
      <c r="E1372" s="18">
        <v>0</v>
      </c>
      <c r="F1372" s="18">
        <v>0</v>
      </c>
      <c r="G1372" s="18">
        <v>0</v>
      </c>
      <c r="H1372" s="18">
        <v>0</v>
      </c>
    </row>
    <row r="1373" spans="2:8">
      <c r="B1373" s="14" t="s">
        <v>7316</v>
      </c>
      <c r="C1373" s="245" t="s">
        <v>1946</v>
      </c>
      <c r="D1373" s="15">
        <v>0</v>
      </c>
      <c r="E1373" s="15">
        <v>0</v>
      </c>
      <c r="F1373" s="15">
        <v>0</v>
      </c>
      <c r="G1373" s="15">
        <v>0</v>
      </c>
      <c r="H1373" s="15">
        <v>0</v>
      </c>
    </row>
    <row r="1374" spans="2:8">
      <c r="B1374" s="17" t="s">
        <v>7317</v>
      </c>
      <c r="C1374" s="246" t="s">
        <v>1947</v>
      </c>
      <c r="D1374" s="18">
        <v>0</v>
      </c>
      <c r="E1374" s="18">
        <v>0</v>
      </c>
      <c r="F1374" s="18">
        <v>0</v>
      </c>
      <c r="G1374" s="18">
        <v>0</v>
      </c>
      <c r="H1374" s="18">
        <v>0</v>
      </c>
    </row>
    <row r="1375" spans="2:8">
      <c r="B1375" s="14" t="s">
        <v>7318</v>
      </c>
      <c r="C1375" s="245" t="s">
        <v>1948</v>
      </c>
      <c r="D1375" s="15">
        <v>0</v>
      </c>
      <c r="E1375" s="15">
        <v>0</v>
      </c>
      <c r="F1375" s="15">
        <v>0</v>
      </c>
      <c r="G1375" s="15">
        <v>0</v>
      </c>
      <c r="H1375" s="15">
        <v>0</v>
      </c>
    </row>
    <row r="1376" spans="2:8">
      <c r="B1376" s="17" t="s">
        <v>7319</v>
      </c>
      <c r="C1376" s="246" t="s">
        <v>1949</v>
      </c>
      <c r="D1376" s="18">
        <v>0</v>
      </c>
      <c r="E1376" s="18">
        <v>0</v>
      </c>
      <c r="F1376" s="18">
        <v>0</v>
      </c>
      <c r="G1376" s="18">
        <v>0</v>
      </c>
      <c r="H1376" s="18">
        <v>0</v>
      </c>
    </row>
    <row r="1377" spans="2:8">
      <c r="B1377" s="14" t="s">
        <v>7320</v>
      </c>
      <c r="C1377" s="245" t="s">
        <v>1950</v>
      </c>
      <c r="D1377" s="15">
        <v>0</v>
      </c>
      <c r="E1377" s="15">
        <v>0</v>
      </c>
      <c r="F1377" s="15">
        <v>0</v>
      </c>
      <c r="G1377" s="15">
        <v>0</v>
      </c>
      <c r="H1377" s="15">
        <v>0</v>
      </c>
    </row>
    <row r="1378" spans="2:8">
      <c r="B1378" s="17" t="s">
        <v>7321</v>
      </c>
      <c r="C1378" s="246" t="s">
        <v>1951</v>
      </c>
      <c r="D1378" s="18">
        <v>0</v>
      </c>
      <c r="E1378" s="18">
        <v>0</v>
      </c>
      <c r="F1378" s="18">
        <v>0</v>
      </c>
      <c r="G1378" s="18">
        <v>0</v>
      </c>
      <c r="H1378" s="18">
        <v>0</v>
      </c>
    </row>
    <row r="1379" spans="2:8">
      <c r="B1379" s="14" t="s">
        <v>7322</v>
      </c>
      <c r="C1379" s="245" t="s">
        <v>1952</v>
      </c>
      <c r="D1379" s="15">
        <v>0</v>
      </c>
      <c r="E1379" s="15">
        <v>0</v>
      </c>
      <c r="F1379" s="15">
        <v>0</v>
      </c>
      <c r="G1379" s="15">
        <v>0</v>
      </c>
      <c r="H1379" s="15">
        <v>0</v>
      </c>
    </row>
    <row r="1380" spans="2:8">
      <c r="B1380" s="17" t="s">
        <v>7323</v>
      </c>
      <c r="C1380" s="246" t="s">
        <v>1953</v>
      </c>
      <c r="D1380" s="18">
        <v>0</v>
      </c>
      <c r="E1380" s="18">
        <v>0</v>
      </c>
      <c r="F1380" s="18">
        <v>0</v>
      </c>
      <c r="G1380" s="18">
        <v>0</v>
      </c>
      <c r="H1380" s="18">
        <v>0</v>
      </c>
    </row>
    <row r="1381" spans="2:8">
      <c r="B1381" s="14" t="s">
        <v>7324</v>
      </c>
      <c r="C1381" s="245" t="s">
        <v>1954</v>
      </c>
      <c r="D1381" s="15">
        <v>0</v>
      </c>
      <c r="E1381" s="15">
        <v>0</v>
      </c>
      <c r="F1381" s="15">
        <v>0</v>
      </c>
      <c r="G1381" s="15">
        <v>0</v>
      </c>
      <c r="H1381" s="15">
        <v>0</v>
      </c>
    </row>
    <row r="1382" spans="2:8">
      <c r="B1382" s="17" t="s">
        <v>7325</v>
      </c>
      <c r="C1382" s="246" t="s">
        <v>1955</v>
      </c>
      <c r="D1382" s="18">
        <v>0</v>
      </c>
      <c r="E1382" s="18">
        <v>0</v>
      </c>
      <c r="F1382" s="18">
        <v>0</v>
      </c>
      <c r="G1382" s="18">
        <v>0</v>
      </c>
      <c r="H1382" s="18">
        <v>0</v>
      </c>
    </row>
    <row r="1383" spans="2:8">
      <c r="B1383" s="14" t="s">
        <v>7326</v>
      </c>
      <c r="C1383" s="245" t="s">
        <v>1956</v>
      </c>
      <c r="D1383" s="15">
        <v>0</v>
      </c>
      <c r="E1383" s="15">
        <v>0</v>
      </c>
      <c r="F1383" s="15">
        <v>0</v>
      </c>
      <c r="G1383" s="15">
        <v>0</v>
      </c>
      <c r="H1383" s="15">
        <v>0</v>
      </c>
    </row>
    <row r="1384" spans="2:8">
      <c r="B1384" s="17" t="s">
        <v>7327</v>
      </c>
      <c r="C1384" s="246" t="s">
        <v>1957</v>
      </c>
      <c r="D1384" s="18">
        <v>0</v>
      </c>
      <c r="E1384" s="18">
        <v>0</v>
      </c>
      <c r="F1384" s="18">
        <v>0</v>
      </c>
      <c r="G1384" s="18">
        <v>0</v>
      </c>
      <c r="H1384" s="18">
        <v>0</v>
      </c>
    </row>
    <row r="1385" spans="2:8">
      <c r="B1385" s="14" t="s">
        <v>7328</v>
      </c>
      <c r="C1385" s="245" t="s">
        <v>1958</v>
      </c>
      <c r="D1385" s="15">
        <v>0</v>
      </c>
      <c r="E1385" s="15">
        <v>0</v>
      </c>
      <c r="F1385" s="15">
        <v>0</v>
      </c>
      <c r="G1385" s="15">
        <v>0</v>
      </c>
      <c r="H1385" s="15">
        <v>0</v>
      </c>
    </row>
    <row r="1386" spans="2:8">
      <c r="B1386" s="17" t="s">
        <v>7329</v>
      </c>
      <c r="C1386" s="246" t="s">
        <v>1959</v>
      </c>
      <c r="D1386" s="18">
        <v>0</v>
      </c>
      <c r="E1386" s="18">
        <v>0</v>
      </c>
      <c r="F1386" s="18">
        <v>0</v>
      </c>
      <c r="G1386" s="18">
        <v>0</v>
      </c>
      <c r="H1386" s="18">
        <v>0</v>
      </c>
    </row>
    <row r="1387" spans="2:8">
      <c r="B1387" s="14" t="s">
        <v>7330</v>
      </c>
      <c r="C1387" s="245" t="s">
        <v>1960</v>
      </c>
      <c r="D1387" s="15">
        <v>0</v>
      </c>
      <c r="E1387" s="15">
        <v>0</v>
      </c>
      <c r="F1387" s="15">
        <v>0</v>
      </c>
      <c r="G1387" s="15">
        <v>0</v>
      </c>
      <c r="H1387" s="15">
        <v>0</v>
      </c>
    </row>
    <row r="1388" spans="2:8">
      <c r="B1388" s="17" t="s">
        <v>7331</v>
      </c>
      <c r="C1388" s="246" t="s">
        <v>1961</v>
      </c>
      <c r="D1388" s="18">
        <v>0</v>
      </c>
      <c r="E1388" s="18">
        <v>0</v>
      </c>
      <c r="F1388" s="18">
        <v>0</v>
      </c>
      <c r="G1388" s="18">
        <v>0</v>
      </c>
      <c r="H1388" s="18">
        <v>0</v>
      </c>
    </row>
    <row r="1389" spans="2:8">
      <c r="B1389" s="14" t="s">
        <v>7332</v>
      </c>
      <c r="C1389" s="245" t="s">
        <v>1962</v>
      </c>
      <c r="D1389" s="15">
        <v>0</v>
      </c>
      <c r="E1389" s="15">
        <v>0</v>
      </c>
      <c r="F1389" s="15">
        <v>0</v>
      </c>
      <c r="G1389" s="15">
        <v>0</v>
      </c>
      <c r="H1389" s="15">
        <v>0</v>
      </c>
    </row>
    <row r="1390" spans="2:8">
      <c r="B1390" s="17" t="s">
        <v>7333</v>
      </c>
      <c r="C1390" s="246" t="s">
        <v>1963</v>
      </c>
      <c r="D1390" s="18">
        <v>0</v>
      </c>
      <c r="E1390" s="18">
        <v>0</v>
      </c>
      <c r="F1390" s="18">
        <v>0</v>
      </c>
      <c r="G1390" s="18">
        <v>0</v>
      </c>
      <c r="H1390" s="18">
        <v>0</v>
      </c>
    </row>
    <row r="1391" spans="2:8">
      <c r="B1391" s="14" t="s">
        <v>7334</v>
      </c>
      <c r="C1391" s="245" t="s">
        <v>1964</v>
      </c>
      <c r="D1391" s="15">
        <v>0</v>
      </c>
      <c r="E1391" s="15">
        <v>0</v>
      </c>
      <c r="F1391" s="15">
        <v>0</v>
      </c>
      <c r="G1391" s="15">
        <v>0</v>
      </c>
      <c r="H1391" s="15">
        <v>0</v>
      </c>
    </row>
    <row r="1392" spans="2:8">
      <c r="B1392" s="17" t="s">
        <v>7335</v>
      </c>
      <c r="C1392" s="246" t="s">
        <v>1965</v>
      </c>
      <c r="D1392" s="18">
        <v>0</v>
      </c>
      <c r="E1392" s="18">
        <v>0</v>
      </c>
      <c r="F1392" s="18">
        <v>0</v>
      </c>
      <c r="G1392" s="18">
        <v>0</v>
      </c>
      <c r="H1392" s="18">
        <v>0</v>
      </c>
    </row>
    <row r="1393" spans="2:8">
      <c r="B1393" s="14" t="s">
        <v>7336</v>
      </c>
      <c r="C1393" s="245" t="s">
        <v>1966</v>
      </c>
      <c r="D1393" s="15">
        <v>0</v>
      </c>
      <c r="E1393" s="15">
        <v>0</v>
      </c>
      <c r="F1393" s="15">
        <v>0</v>
      </c>
      <c r="G1393" s="15">
        <v>0</v>
      </c>
      <c r="H1393" s="15">
        <v>0</v>
      </c>
    </row>
    <row r="1394" spans="2:8">
      <c r="B1394" s="17" t="s">
        <v>7337</v>
      </c>
      <c r="C1394" s="246" t="s">
        <v>1967</v>
      </c>
      <c r="D1394" s="18">
        <v>2680</v>
      </c>
      <c r="E1394" s="18">
        <v>290</v>
      </c>
      <c r="F1394" s="18">
        <v>922</v>
      </c>
      <c r="G1394" s="18">
        <v>326</v>
      </c>
      <c r="H1394" s="18">
        <v>0</v>
      </c>
    </row>
    <row r="1395" spans="2:8">
      <c r="B1395" s="14" t="s">
        <v>7338</v>
      </c>
      <c r="C1395" s="245" t="s">
        <v>1968</v>
      </c>
      <c r="D1395" s="15">
        <v>0</v>
      </c>
      <c r="E1395" s="15">
        <v>0</v>
      </c>
      <c r="F1395" s="15">
        <v>0</v>
      </c>
      <c r="G1395" s="15">
        <v>0</v>
      </c>
      <c r="H1395" s="15">
        <v>0</v>
      </c>
    </row>
    <row r="1396" spans="2:8">
      <c r="B1396" s="17" t="s">
        <v>7339</v>
      </c>
      <c r="C1396" s="246" t="s">
        <v>1969</v>
      </c>
      <c r="D1396" s="18">
        <v>0</v>
      </c>
      <c r="E1396" s="18">
        <v>0</v>
      </c>
      <c r="F1396" s="18">
        <v>0</v>
      </c>
      <c r="G1396" s="18">
        <v>0</v>
      </c>
      <c r="H1396" s="18">
        <v>0</v>
      </c>
    </row>
    <row r="1397" spans="2:8">
      <c r="B1397" s="14" t="s">
        <v>7340</v>
      </c>
      <c r="C1397" s="245" t="s">
        <v>1970</v>
      </c>
      <c r="D1397" s="15">
        <v>0</v>
      </c>
      <c r="E1397" s="15">
        <v>0</v>
      </c>
      <c r="F1397" s="15">
        <v>0</v>
      </c>
      <c r="G1397" s="15">
        <v>0</v>
      </c>
      <c r="H1397" s="15">
        <v>0</v>
      </c>
    </row>
    <row r="1398" spans="2:8">
      <c r="B1398" s="17" t="s">
        <v>7341</v>
      </c>
      <c r="C1398" s="246" t="s">
        <v>1971</v>
      </c>
      <c r="D1398" s="18">
        <v>0</v>
      </c>
      <c r="E1398" s="18">
        <v>0</v>
      </c>
      <c r="F1398" s="18">
        <v>0</v>
      </c>
      <c r="G1398" s="18">
        <v>0</v>
      </c>
      <c r="H1398" s="18">
        <v>0</v>
      </c>
    </row>
    <row r="1399" spans="2:8">
      <c r="B1399" s="14" t="s">
        <v>7342</v>
      </c>
      <c r="C1399" s="245" t="s">
        <v>1972</v>
      </c>
      <c r="D1399" s="15">
        <v>0</v>
      </c>
      <c r="E1399" s="15">
        <v>0</v>
      </c>
      <c r="F1399" s="15">
        <v>0</v>
      </c>
      <c r="G1399" s="15">
        <v>0</v>
      </c>
      <c r="H1399" s="15">
        <v>0</v>
      </c>
    </row>
    <row r="1400" spans="2:8">
      <c r="B1400" s="17" t="s">
        <v>7343</v>
      </c>
      <c r="C1400" s="246" t="s">
        <v>1973</v>
      </c>
      <c r="D1400" s="18">
        <v>0</v>
      </c>
      <c r="E1400" s="18">
        <v>0</v>
      </c>
      <c r="F1400" s="18">
        <v>0</v>
      </c>
      <c r="G1400" s="18">
        <v>0</v>
      </c>
      <c r="H1400" s="18">
        <v>0</v>
      </c>
    </row>
    <row r="1401" spans="2:8">
      <c r="B1401" s="14" t="s">
        <v>7344</v>
      </c>
      <c r="C1401" s="245" t="s">
        <v>1974</v>
      </c>
      <c r="D1401" s="15">
        <v>0</v>
      </c>
      <c r="E1401" s="15">
        <v>0</v>
      </c>
      <c r="F1401" s="15">
        <v>0</v>
      </c>
      <c r="G1401" s="15">
        <v>0</v>
      </c>
      <c r="H1401" s="15">
        <v>0</v>
      </c>
    </row>
    <row r="1402" spans="2:8">
      <c r="B1402" s="17" t="s">
        <v>7345</v>
      </c>
      <c r="C1402" s="246" t="s">
        <v>1975</v>
      </c>
      <c r="D1402" s="18">
        <v>0</v>
      </c>
      <c r="E1402" s="18">
        <v>0</v>
      </c>
      <c r="F1402" s="18">
        <v>0</v>
      </c>
      <c r="G1402" s="18">
        <v>0</v>
      </c>
      <c r="H1402" s="18">
        <v>0</v>
      </c>
    </row>
    <row r="1403" spans="2:8">
      <c r="B1403" s="14" t="s">
        <v>7346</v>
      </c>
      <c r="C1403" s="245" t="s">
        <v>1976</v>
      </c>
      <c r="D1403" s="15">
        <v>0</v>
      </c>
      <c r="E1403" s="15">
        <v>0</v>
      </c>
      <c r="F1403" s="15">
        <v>0</v>
      </c>
      <c r="G1403" s="15">
        <v>0</v>
      </c>
      <c r="H1403" s="15">
        <v>0</v>
      </c>
    </row>
    <row r="1404" spans="2:8">
      <c r="B1404" s="17" t="s">
        <v>7347</v>
      </c>
      <c r="C1404" s="246" t="s">
        <v>1977</v>
      </c>
      <c r="D1404" s="18">
        <v>0</v>
      </c>
      <c r="E1404" s="18">
        <v>0</v>
      </c>
      <c r="F1404" s="18">
        <v>0</v>
      </c>
      <c r="G1404" s="18">
        <v>0</v>
      </c>
      <c r="H1404" s="18">
        <v>0</v>
      </c>
    </row>
    <row r="1405" spans="2:8">
      <c r="B1405" s="14" t="s">
        <v>7348</v>
      </c>
      <c r="C1405" s="245" t="s">
        <v>1978</v>
      </c>
      <c r="D1405" s="15">
        <v>0</v>
      </c>
      <c r="E1405" s="15">
        <v>0</v>
      </c>
      <c r="F1405" s="15">
        <v>0</v>
      </c>
      <c r="G1405" s="15">
        <v>0</v>
      </c>
      <c r="H1405" s="15">
        <v>0</v>
      </c>
    </row>
    <row r="1406" spans="2:8">
      <c r="B1406" s="17" t="s">
        <v>7349</v>
      </c>
      <c r="C1406" s="246" t="s">
        <v>1979</v>
      </c>
      <c r="D1406" s="18">
        <v>0</v>
      </c>
      <c r="E1406" s="18">
        <v>0</v>
      </c>
      <c r="F1406" s="18">
        <v>0</v>
      </c>
      <c r="G1406" s="18">
        <v>0</v>
      </c>
      <c r="H1406" s="18">
        <v>0</v>
      </c>
    </row>
    <row r="1407" spans="2:8">
      <c r="B1407" s="14" t="s">
        <v>7350</v>
      </c>
      <c r="C1407" s="245" t="s">
        <v>1980</v>
      </c>
      <c r="D1407" s="15">
        <v>0</v>
      </c>
      <c r="E1407" s="15">
        <v>0</v>
      </c>
      <c r="F1407" s="15">
        <v>0</v>
      </c>
      <c r="G1407" s="15">
        <v>0</v>
      </c>
      <c r="H1407" s="15">
        <v>0</v>
      </c>
    </row>
    <row r="1408" spans="2:8">
      <c r="B1408" s="17" t="s">
        <v>7351</v>
      </c>
      <c r="C1408" s="246" t="s">
        <v>1981</v>
      </c>
      <c r="D1408" s="18">
        <v>0</v>
      </c>
      <c r="E1408" s="18">
        <v>0</v>
      </c>
      <c r="F1408" s="18">
        <v>0</v>
      </c>
      <c r="G1408" s="18">
        <v>0</v>
      </c>
      <c r="H1408" s="18">
        <v>0</v>
      </c>
    </row>
    <row r="1409" spans="2:8">
      <c r="B1409" s="14" t="s">
        <v>7352</v>
      </c>
      <c r="C1409" s="245" t="s">
        <v>1982</v>
      </c>
      <c r="D1409" s="15">
        <v>0</v>
      </c>
      <c r="E1409" s="15">
        <v>0</v>
      </c>
      <c r="F1409" s="15">
        <v>0</v>
      </c>
      <c r="G1409" s="15">
        <v>0</v>
      </c>
      <c r="H1409" s="15">
        <v>0</v>
      </c>
    </row>
    <row r="1410" spans="2:8">
      <c r="B1410" s="17" t="s">
        <v>7353</v>
      </c>
      <c r="C1410" s="246" t="s">
        <v>1983</v>
      </c>
      <c r="D1410" s="18">
        <v>0</v>
      </c>
      <c r="E1410" s="18">
        <v>0</v>
      </c>
      <c r="F1410" s="18">
        <v>0</v>
      </c>
      <c r="G1410" s="18">
        <v>0</v>
      </c>
      <c r="H1410" s="18">
        <v>0</v>
      </c>
    </row>
    <row r="1411" spans="2:8">
      <c r="B1411" s="14" t="s">
        <v>7354</v>
      </c>
      <c r="C1411" s="245" t="s">
        <v>1984</v>
      </c>
      <c r="D1411" s="15">
        <v>12</v>
      </c>
      <c r="E1411" s="15">
        <v>0</v>
      </c>
      <c r="F1411" s="15">
        <v>0</v>
      </c>
      <c r="G1411" s="15">
        <v>0</v>
      </c>
      <c r="H1411" s="15">
        <v>0</v>
      </c>
    </row>
    <row r="1412" spans="2:8">
      <c r="B1412" s="17" t="s">
        <v>7355</v>
      </c>
      <c r="C1412" s="246" t="s">
        <v>1985</v>
      </c>
      <c r="D1412" s="18">
        <v>0</v>
      </c>
      <c r="E1412" s="18">
        <v>0</v>
      </c>
      <c r="F1412" s="18">
        <v>0</v>
      </c>
      <c r="G1412" s="18">
        <v>0</v>
      </c>
      <c r="H1412" s="18">
        <v>0</v>
      </c>
    </row>
    <row r="1413" spans="2:8">
      <c r="B1413" s="14" t="s">
        <v>7356</v>
      </c>
      <c r="C1413" s="245" t="s">
        <v>1986</v>
      </c>
      <c r="D1413" s="15">
        <v>0</v>
      </c>
      <c r="E1413" s="15">
        <v>0</v>
      </c>
      <c r="F1413" s="15">
        <v>0</v>
      </c>
      <c r="G1413" s="15">
        <v>0</v>
      </c>
      <c r="H1413" s="15">
        <v>0</v>
      </c>
    </row>
    <row r="1414" spans="2:8">
      <c r="B1414" s="17" t="s">
        <v>7357</v>
      </c>
      <c r="C1414" s="246" t="s">
        <v>1987</v>
      </c>
      <c r="D1414" s="18">
        <v>0</v>
      </c>
      <c r="E1414" s="18">
        <v>0</v>
      </c>
      <c r="F1414" s="18">
        <v>0</v>
      </c>
      <c r="G1414" s="18">
        <v>0</v>
      </c>
      <c r="H1414" s="18">
        <v>0</v>
      </c>
    </row>
    <row r="1415" spans="2:8">
      <c r="B1415" s="14" t="s">
        <v>7358</v>
      </c>
      <c r="C1415" s="245" t="s">
        <v>1988</v>
      </c>
      <c r="D1415" s="15">
        <v>0</v>
      </c>
      <c r="E1415" s="15">
        <v>0</v>
      </c>
      <c r="F1415" s="15">
        <v>0</v>
      </c>
      <c r="G1415" s="15">
        <v>0</v>
      </c>
      <c r="H1415" s="15">
        <v>0</v>
      </c>
    </row>
    <row r="1416" spans="2:8">
      <c r="B1416" s="17" t="s">
        <v>7359</v>
      </c>
      <c r="C1416" s="246" t="s">
        <v>1989</v>
      </c>
      <c r="D1416" s="18">
        <v>0</v>
      </c>
      <c r="E1416" s="18">
        <v>85</v>
      </c>
      <c r="F1416" s="18">
        <v>437</v>
      </c>
      <c r="G1416" s="18">
        <v>0</v>
      </c>
      <c r="H1416" s="18">
        <v>0</v>
      </c>
    </row>
    <row r="1417" spans="2:8">
      <c r="B1417" s="14" t="s">
        <v>7360</v>
      </c>
      <c r="C1417" s="245" t="s">
        <v>1990</v>
      </c>
      <c r="D1417" s="15">
        <v>0</v>
      </c>
      <c r="E1417" s="15">
        <v>0</v>
      </c>
      <c r="F1417" s="15">
        <v>0</v>
      </c>
      <c r="G1417" s="15">
        <v>0</v>
      </c>
      <c r="H1417" s="15">
        <v>0</v>
      </c>
    </row>
    <row r="1418" spans="2:8">
      <c r="B1418" s="17" t="s">
        <v>7361</v>
      </c>
      <c r="C1418" s="246" t="s">
        <v>1991</v>
      </c>
      <c r="D1418" s="18">
        <v>0</v>
      </c>
      <c r="E1418" s="18">
        <v>0</v>
      </c>
      <c r="F1418" s="18">
        <v>0</v>
      </c>
      <c r="G1418" s="18">
        <v>0</v>
      </c>
      <c r="H1418" s="18">
        <v>0</v>
      </c>
    </row>
    <row r="1419" spans="2:8">
      <c r="B1419" s="14" t="s">
        <v>7362</v>
      </c>
      <c r="C1419" s="245" t="s">
        <v>1992</v>
      </c>
      <c r="D1419" s="15">
        <v>0</v>
      </c>
      <c r="E1419" s="15">
        <v>0</v>
      </c>
      <c r="F1419" s="15">
        <v>0</v>
      </c>
      <c r="G1419" s="15">
        <v>0</v>
      </c>
      <c r="H1419" s="15">
        <v>0</v>
      </c>
    </row>
    <row r="1420" spans="2:8">
      <c r="B1420" s="17" t="s">
        <v>7363</v>
      </c>
      <c r="C1420" s="246" t="s">
        <v>1993</v>
      </c>
      <c r="D1420" s="18">
        <v>0</v>
      </c>
      <c r="E1420" s="18">
        <v>0</v>
      </c>
      <c r="F1420" s="18">
        <v>0</v>
      </c>
      <c r="G1420" s="18">
        <v>0</v>
      </c>
      <c r="H1420" s="18">
        <v>0</v>
      </c>
    </row>
    <row r="1421" spans="2:8">
      <c r="B1421" s="14" t="s">
        <v>7364</v>
      </c>
      <c r="C1421" s="245" t="s">
        <v>1994</v>
      </c>
      <c r="D1421" s="15">
        <v>0</v>
      </c>
      <c r="E1421" s="15">
        <v>0</v>
      </c>
      <c r="F1421" s="15">
        <v>0</v>
      </c>
      <c r="G1421" s="15">
        <v>0</v>
      </c>
      <c r="H1421" s="15">
        <v>0</v>
      </c>
    </row>
    <row r="1422" spans="2:8">
      <c r="B1422" s="17" t="s">
        <v>7365</v>
      </c>
      <c r="C1422" s="246" t="s">
        <v>1995</v>
      </c>
      <c r="D1422" s="18">
        <v>0</v>
      </c>
      <c r="E1422" s="18">
        <v>0</v>
      </c>
      <c r="F1422" s="18">
        <v>0</v>
      </c>
      <c r="G1422" s="18">
        <v>7</v>
      </c>
      <c r="H1422" s="18">
        <v>0</v>
      </c>
    </row>
    <row r="1423" spans="2:8">
      <c r="B1423" s="14" t="s">
        <v>7366</v>
      </c>
      <c r="C1423" s="245" t="s">
        <v>1996</v>
      </c>
      <c r="D1423" s="15">
        <v>0</v>
      </c>
      <c r="E1423" s="15">
        <v>0</v>
      </c>
      <c r="F1423" s="15">
        <v>0</v>
      </c>
      <c r="G1423" s="15">
        <v>0</v>
      </c>
      <c r="H1423" s="15">
        <v>0</v>
      </c>
    </row>
    <row r="1424" spans="2:8">
      <c r="B1424" s="17" t="s">
        <v>7367</v>
      </c>
      <c r="C1424" s="246" t="s">
        <v>1997</v>
      </c>
      <c r="D1424" s="18">
        <v>0</v>
      </c>
      <c r="E1424" s="18">
        <v>0</v>
      </c>
      <c r="F1424" s="18">
        <v>0</v>
      </c>
      <c r="G1424" s="18">
        <v>0</v>
      </c>
      <c r="H1424" s="18">
        <v>0</v>
      </c>
    </row>
    <row r="1425" spans="2:8">
      <c r="B1425" s="14" t="s">
        <v>7368</v>
      </c>
      <c r="C1425" s="245" t="s">
        <v>1998</v>
      </c>
      <c r="D1425" s="15">
        <v>0</v>
      </c>
      <c r="E1425" s="15">
        <v>0</v>
      </c>
      <c r="F1425" s="15">
        <v>0</v>
      </c>
      <c r="G1425" s="15">
        <v>0</v>
      </c>
      <c r="H1425" s="15">
        <v>0</v>
      </c>
    </row>
    <row r="1426" spans="2:8">
      <c r="B1426" s="17" t="s">
        <v>7369</v>
      </c>
      <c r="C1426" s="246" t="s">
        <v>1999</v>
      </c>
      <c r="D1426" s="18">
        <v>0</v>
      </c>
      <c r="E1426" s="18">
        <v>0</v>
      </c>
      <c r="F1426" s="18">
        <v>0</v>
      </c>
      <c r="G1426" s="18">
        <v>0</v>
      </c>
      <c r="H1426" s="18">
        <v>0</v>
      </c>
    </row>
    <row r="1427" spans="2:8">
      <c r="B1427" s="14" t="s">
        <v>7370</v>
      </c>
      <c r="C1427" s="245" t="s">
        <v>2000</v>
      </c>
      <c r="D1427" s="15">
        <v>0</v>
      </c>
      <c r="E1427" s="15">
        <v>0</v>
      </c>
      <c r="F1427" s="15">
        <v>0</v>
      </c>
      <c r="G1427" s="15">
        <v>0</v>
      </c>
      <c r="H1427" s="15">
        <v>0</v>
      </c>
    </row>
    <row r="1428" spans="2:8">
      <c r="B1428" s="17" t="s">
        <v>7371</v>
      </c>
      <c r="C1428" s="246" t="s">
        <v>2001</v>
      </c>
      <c r="D1428" s="18">
        <v>0</v>
      </c>
      <c r="E1428" s="18">
        <v>0</v>
      </c>
      <c r="F1428" s="18">
        <v>0</v>
      </c>
      <c r="G1428" s="18">
        <v>0</v>
      </c>
      <c r="H1428" s="18">
        <v>0</v>
      </c>
    </row>
    <row r="1429" spans="2:8">
      <c r="B1429" s="14" t="s">
        <v>7372</v>
      </c>
      <c r="C1429" s="245" t="s">
        <v>2002</v>
      </c>
      <c r="D1429" s="15">
        <v>0</v>
      </c>
      <c r="E1429" s="15">
        <v>0</v>
      </c>
      <c r="F1429" s="15">
        <v>0</v>
      </c>
      <c r="G1429" s="15">
        <v>0</v>
      </c>
      <c r="H1429" s="15">
        <v>0</v>
      </c>
    </row>
    <row r="1430" spans="2:8">
      <c r="B1430" s="17" t="s">
        <v>7373</v>
      </c>
      <c r="C1430" s="246" t="s">
        <v>2003</v>
      </c>
      <c r="D1430" s="18">
        <v>20</v>
      </c>
      <c r="E1430" s="18">
        <v>0</v>
      </c>
      <c r="F1430" s="18">
        <v>0</v>
      </c>
      <c r="G1430" s="18">
        <v>0</v>
      </c>
      <c r="H1430" s="18">
        <v>0</v>
      </c>
    </row>
    <row r="1431" spans="2:8">
      <c r="B1431" s="14" t="s">
        <v>7374</v>
      </c>
      <c r="C1431" s="245" t="s">
        <v>2004</v>
      </c>
      <c r="D1431" s="15">
        <v>0</v>
      </c>
      <c r="E1431" s="15">
        <v>0</v>
      </c>
      <c r="F1431" s="15">
        <v>0</v>
      </c>
      <c r="G1431" s="15">
        <v>0</v>
      </c>
      <c r="H1431" s="15">
        <v>0</v>
      </c>
    </row>
    <row r="1432" spans="2:8">
      <c r="B1432" s="17" t="s">
        <v>7375</v>
      </c>
      <c r="C1432" s="246" t="s">
        <v>2005</v>
      </c>
      <c r="D1432" s="18">
        <v>0</v>
      </c>
      <c r="E1432" s="18">
        <v>0</v>
      </c>
      <c r="F1432" s="18">
        <v>0</v>
      </c>
      <c r="G1432" s="18">
        <v>0</v>
      </c>
      <c r="H1432" s="18">
        <v>0</v>
      </c>
    </row>
    <row r="1433" spans="2:8">
      <c r="B1433" s="14" t="s">
        <v>7376</v>
      </c>
      <c r="C1433" s="245" t="s">
        <v>2006</v>
      </c>
      <c r="D1433" s="15">
        <v>0</v>
      </c>
      <c r="E1433" s="15">
        <v>0</v>
      </c>
      <c r="F1433" s="15">
        <v>0</v>
      </c>
      <c r="G1433" s="15">
        <v>0</v>
      </c>
      <c r="H1433" s="15">
        <v>0</v>
      </c>
    </row>
    <row r="1434" spans="2:8">
      <c r="B1434" s="17" t="s">
        <v>7377</v>
      </c>
      <c r="C1434" s="246" t="s">
        <v>2007</v>
      </c>
      <c r="D1434" s="18">
        <v>0</v>
      </c>
      <c r="E1434" s="18">
        <v>0</v>
      </c>
      <c r="F1434" s="18">
        <v>0</v>
      </c>
      <c r="G1434" s="18">
        <v>0</v>
      </c>
      <c r="H1434" s="18">
        <v>0</v>
      </c>
    </row>
    <row r="1435" spans="2:8">
      <c r="B1435" s="14" t="s">
        <v>7378</v>
      </c>
      <c r="C1435" s="245" t="s">
        <v>2008</v>
      </c>
      <c r="D1435" s="15">
        <v>0</v>
      </c>
      <c r="E1435" s="15">
        <v>0</v>
      </c>
      <c r="F1435" s="15">
        <v>0</v>
      </c>
      <c r="G1435" s="15">
        <v>0</v>
      </c>
      <c r="H1435" s="15">
        <v>0</v>
      </c>
    </row>
    <row r="1436" spans="2:8">
      <c r="B1436" s="17" t="s">
        <v>7379</v>
      </c>
      <c r="C1436" s="246" t="s">
        <v>2009</v>
      </c>
      <c r="D1436" s="18">
        <v>0</v>
      </c>
      <c r="E1436" s="18">
        <v>0</v>
      </c>
      <c r="F1436" s="18">
        <v>23</v>
      </c>
      <c r="G1436" s="18">
        <v>12</v>
      </c>
      <c r="H1436" s="18">
        <v>0</v>
      </c>
    </row>
    <row r="1437" spans="2:8">
      <c r="B1437" s="14" t="s">
        <v>7380</v>
      </c>
      <c r="C1437" s="245" t="s">
        <v>2010</v>
      </c>
      <c r="D1437" s="15">
        <v>0</v>
      </c>
      <c r="E1437" s="15">
        <v>0</v>
      </c>
      <c r="F1437" s="15">
        <v>0</v>
      </c>
      <c r="G1437" s="15">
        <v>0</v>
      </c>
      <c r="H1437" s="15">
        <v>0</v>
      </c>
    </row>
    <row r="1438" spans="2:8">
      <c r="B1438" s="17" t="s">
        <v>7381</v>
      </c>
      <c r="C1438" s="246" t="s">
        <v>2011</v>
      </c>
      <c r="D1438" s="18">
        <v>0</v>
      </c>
      <c r="E1438" s="18">
        <v>0</v>
      </c>
      <c r="F1438" s="18">
        <v>0</v>
      </c>
      <c r="G1438" s="18">
        <v>0</v>
      </c>
      <c r="H1438" s="18">
        <v>0</v>
      </c>
    </row>
    <row r="1439" spans="2:8">
      <c r="B1439" s="14" t="s">
        <v>7382</v>
      </c>
      <c r="C1439" s="245" t="s">
        <v>2012</v>
      </c>
      <c r="D1439" s="15">
        <v>0</v>
      </c>
      <c r="E1439" s="15">
        <v>1768</v>
      </c>
      <c r="F1439" s="15">
        <v>0</v>
      </c>
      <c r="G1439" s="15">
        <v>0</v>
      </c>
      <c r="H1439" s="15">
        <v>0</v>
      </c>
    </row>
    <row r="1440" spans="2:8">
      <c r="B1440" s="17" t="s">
        <v>7383</v>
      </c>
      <c r="C1440" s="246" t="s">
        <v>2013</v>
      </c>
      <c r="D1440" s="18">
        <v>0</v>
      </c>
      <c r="E1440" s="18">
        <v>0</v>
      </c>
      <c r="F1440" s="18">
        <v>0</v>
      </c>
      <c r="G1440" s="18">
        <v>0</v>
      </c>
      <c r="H1440" s="18">
        <v>0</v>
      </c>
    </row>
    <row r="1441" spans="2:8">
      <c r="B1441" s="14" t="s">
        <v>7384</v>
      </c>
      <c r="C1441" s="245" t="s">
        <v>2014</v>
      </c>
      <c r="D1441" s="15">
        <v>0</v>
      </c>
      <c r="E1441" s="15">
        <v>0</v>
      </c>
      <c r="F1441" s="15">
        <v>0</v>
      </c>
      <c r="G1441" s="15">
        <v>0</v>
      </c>
      <c r="H1441" s="15">
        <v>0</v>
      </c>
    </row>
    <row r="1442" spans="2:8">
      <c r="B1442" s="17" t="s">
        <v>7385</v>
      </c>
      <c r="C1442" s="246" t="s">
        <v>2015</v>
      </c>
      <c r="D1442" s="18">
        <v>0</v>
      </c>
      <c r="E1442" s="18">
        <v>0</v>
      </c>
      <c r="F1442" s="18">
        <v>0</v>
      </c>
      <c r="G1442" s="18">
        <v>0</v>
      </c>
      <c r="H1442" s="18">
        <v>0</v>
      </c>
    </row>
    <row r="1443" spans="2:8">
      <c r="B1443" s="14" t="s">
        <v>7386</v>
      </c>
      <c r="C1443" s="245" t="s">
        <v>2016</v>
      </c>
      <c r="D1443" s="15">
        <v>0</v>
      </c>
      <c r="E1443" s="15">
        <v>0</v>
      </c>
      <c r="F1443" s="15">
        <v>0</v>
      </c>
      <c r="G1443" s="15">
        <v>0</v>
      </c>
      <c r="H1443" s="15">
        <v>0</v>
      </c>
    </row>
    <row r="1444" spans="2:8">
      <c r="B1444" s="17" t="s">
        <v>7387</v>
      </c>
      <c r="C1444" s="246" t="s">
        <v>2017</v>
      </c>
      <c r="D1444" s="18">
        <v>0</v>
      </c>
      <c r="E1444" s="18">
        <v>0</v>
      </c>
      <c r="F1444" s="18">
        <v>0</v>
      </c>
      <c r="G1444" s="18">
        <v>0</v>
      </c>
      <c r="H1444" s="18">
        <v>0</v>
      </c>
    </row>
    <row r="1445" spans="2:8">
      <c r="B1445" s="14" t="s">
        <v>7388</v>
      </c>
      <c r="C1445" s="245" t="s">
        <v>2018</v>
      </c>
      <c r="D1445" s="15">
        <v>0</v>
      </c>
      <c r="E1445" s="15">
        <v>70</v>
      </c>
      <c r="F1445" s="15">
        <v>0</v>
      </c>
      <c r="G1445" s="15">
        <v>0</v>
      </c>
      <c r="H1445" s="15">
        <v>0</v>
      </c>
    </row>
    <row r="1446" spans="2:8">
      <c r="B1446" s="17" t="s">
        <v>7389</v>
      </c>
      <c r="C1446" s="246" t="s">
        <v>2019</v>
      </c>
      <c r="D1446" s="18">
        <v>0</v>
      </c>
      <c r="E1446" s="18">
        <v>0</v>
      </c>
      <c r="F1446" s="18">
        <v>0</v>
      </c>
      <c r="G1446" s="18">
        <v>0</v>
      </c>
      <c r="H1446" s="18">
        <v>0</v>
      </c>
    </row>
    <row r="1447" spans="2:8">
      <c r="B1447" s="14" t="s">
        <v>7390</v>
      </c>
      <c r="C1447" s="245" t="s">
        <v>2020</v>
      </c>
      <c r="D1447" s="15">
        <v>0</v>
      </c>
      <c r="E1447" s="15">
        <v>0</v>
      </c>
      <c r="F1447" s="15">
        <v>0</v>
      </c>
      <c r="G1447" s="15">
        <v>0</v>
      </c>
      <c r="H1447" s="15">
        <v>0</v>
      </c>
    </row>
    <row r="1448" spans="2:8">
      <c r="B1448" s="17" t="s">
        <v>7391</v>
      </c>
      <c r="C1448" s="246" t="s">
        <v>2021</v>
      </c>
      <c r="D1448" s="18">
        <v>0</v>
      </c>
      <c r="E1448" s="18">
        <v>0</v>
      </c>
      <c r="F1448" s="18">
        <v>0</v>
      </c>
      <c r="G1448" s="18">
        <v>0</v>
      </c>
      <c r="H1448" s="18">
        <v>0</v>
      </c>
    </row>
    <row r="1449" spans="2:8">
      <c r="B1449" s="14" t="s">
        <v>7392</v>
      </c>
      <c r="C1449" s="245" t="s">
        <v>2022</v>
      </c>
      <c r="D1449" s="15">
        <v>0</v>
      </c>
      <c r="E1449" s="15">
        <v>0</v>
      </c>
      <c r="F1449" s="15">
        <v>0</v>
      </c>
      <c r="G1449" s="15">
        <v>0</v>
      </c>
      <c r="H1449" s="15">
        <v>0</v>
      </c>
    </row>
    <row r="1450" spans="2:8">
      <c r="B1450" s="17" t="s">
        <v>7393</v>
      </c>
      <c r="C1450" s="246" t="s">
        <v>2023</v>
      </c>
      <c r="D1450" s="18">
        <v>0</v>
      </c>
      <c r="E1450" s="18">
        <v>0</v>
      </c>
      <c r="F1450" s="18">
        <v>0</v>
      </c>
      <c r="G1450" s="18">
        <v>0</v>
      </c>
      <c r="H1450" s="18">
        <v>0</v>
      </c>
    </row>
    <row r="1451" spans="2:8">
      <c r="B1451" s="14" t="s">
        <v>7394</v>
      </c>
      <c r="C1451" s="245" t="s">
        <v>934</v>
      </c>
      <c r="D1451" s="15">
        <v>0</v>
      </c>
      <c r="E1451" s="15">
        <v>0</v>
      </c>
      <c r="F1451" s="15">
        <v>0</v>
      </c>
      <c r="G1451" s="15">
        <v>0</v>
      </c>
      <c r="H1451" s="15">
        <v>0</v>
      </c>
    </row>
    <row r="1452" spans="2:8">
      <c r="B1452" s="17" t="s">
        <v>7395</v>
      </c>
      <c r="C1452" s="246" t="s">
        <v>2024</v>
      </c>
      <c r="D1452" s="18">
        <v>0</v>
      </c>
      <c r="E1452" s="18">
        <v>0</v>
      </c>
      <c r="F1452" s="18">
        <v>0</v>
      </c>
      <c r="G1452" s="18">
        <v>0</v>
      </c>
      <c r="H1452" s="18">
        <v>0</v>
      </c>
    </row>
    <row r="1453" spans="2:8">
      <c r="B1453" s="14" t="s">
        <v>7396</v>
      </c>
      <c r="C1453" s="245" t="s">
        <v>2025</v>
      </c>
      <c r="D1453" s="15">
        <v>0</v>
      </c>
      <c r="E1453" s="15">
        <v>0</v>
      </c>
      <c r="F1453" s="15">
        <v>0</v>
      </c>
      <c r="G1453" s="15">
        <v>0</v>
      </c>
      <c r="H1453" s="15">
        <v>0</v>
      </c>
    </row>
    <row r="1454" spans="2:8">
      <c r="B1454" s="17" t="s">
        <v>7397</v>
      </c>
      <c r="C1454" s="246" t="s">
        <v>2026</v>
      </c>
      <c r="D1454" s="18">
        <v>0</v>
      </c>
      <c r="E1454" s="18">
        <v>0</v>
      </c>
      <c r="F1454" s="18">
        <v>0</v>
      </c>
      <c r="G1454" s="18">
        <v>0</v>
      </c>
      <c r="H1454" s="18">
        <v>0</v>
      </c>
    </row>
    <row r="1455" spans="2:8">
      <c r="B1455" s="14" t="s">
        <v>7398</v>
      </c>
      <c r="C1455" s="245" t="s">
        <v>2027</v>
      </c>
      <c r="D1455" s="15">
        <v>0</v>
      </c>
      <c r="E1455" s="15">
        <v>0</v>
      </c>
      <c r="F1455" s="15">
        <v>0</v>
      </c>
      <c r="G1455" s="15">
        <v>0</v>
      </c>
      <c r="H1455" s="15">
        <v>0</v>
      </c>
    </row>
    <row r="1456" spans="2:8">
      <c r="B1456" s="17" t="s">
        <v>7399</v>
      </c>
      <c r="C1456" s="246" t="s">
        <v>2028</v>
      </c>
      <c r="D1456" s="18">
        <v>0</v>
      </c>
      <c r="E1456" s="18">
        <v>0</v>
      </c>
      <c r="F1456" s="18">
        <v>0</v>
      </c>
      <c r="G1456" s="18">
        <v>0</v>
      </c>
      <c r="H1456" s="18">
        <v>0</v>
      </c>
    </row>
    <row r="1457" spans="2:8">
      <c r="B1457" s="14" t="s">
        <v>7400</v>
      </c>
      <c r="C1457" s="245" t="s">
        <v>2029</v>
      </c>
      <c r="D1457" s="15">
        <v>0</v>
      </c>
      <c r="E1457" s="15">
        <v>0</v>
      </c>
      <c r="F1457" s="15">
        <v>0</v>
      </c>
      <c r="G1457" s="15">
        <v>0</v>
      </c>
      <c r="H1457" s="15">
        <v>0</v>
      </c>
    </row>
    <row r="1458" spans="2:8">
      <c r="B1458" s="17" t="s">
        <v>7401</v>
      </c>
      <c r="C1458" s="246" t="s">
        <v>2030</v>
      </c>
      <c r="D1458" s="18">
        <v>0</v>
      </c>
      <c r="E1458" s="18">
        <v>0</v>
      </c>
      <c r="F1458" s="18">
        <v>0</v>
      </c>
      <c r="G1458" s="18">
        <v>0</v>
      </c>
      <c r="H1458" s="18">
        <v>0</v>
      </c>
    </row>
    <row r="1459" spans="2:8">
      <c r="B1459" s="14" t="s">
        <v>7402</v>
      </c>
      <c r="C1459" s="245" t="s">
        <v>2031</v>
      </c>
      <c r="D1459" s="15">
        <v>0</v>
      </c>
      <c r="E1459" s="15">
        <v>0</v>
      </c>
      <c r="F1459" s="15">
        <v>0</v>
      </c>
      <c r="G1459" s="15">
        <v>0</v>
      </c>
      <c r="H1459" s="15">
        <v>0</v>
      </c>
    </row>
    <row r="1460" spans="2:8">
      <c r="B1460" s="17" t="s">
        <v>7403</v>
      </c>
      <c r="C1460" s="246" t="s">
        <v>2032</v>
      </c>
      <c r="D1460" s="18">
        <v>0</v>
      </c>
      <c r="E1460" s="18">
        <v>0</v>
      </c>
      <c r="F1460" s="18">
        <v>0</v>
      </c>
      <c r="G1460" s="18">
        <v>0</v>
      </c>
      <c r="H1460" s="18">
        <v>0</v>
      </c>
    </row>
    <row r="1461" spans="2:8">
      <c r="B1461" s="14" t="s">
        <v>7404</v>
      </c>
      <c r="C1461" s="245" t="s">
        <v>2033</v>
      </c>
      <c r="D1461" s="15">
        <v>0</v>
      </c>
      <c r="E1461" s="15">
        <v>0</v>
      </c>
      <c r="F1461" s="15">
        <v>0</v>
      </c>
      <c r="G1461" s="15">
        <v>0</v>
      </c>
      <c r="H1461" s="15">
        <v>0</v>
      </c>
    </row>
    <row r="1462" spans="2:8">
      <c r="B1462" s="17" t="s">
        <v>7405</v>
      </c>
      <c r="C1462" s="246" t="s">
        <v>2034</v>
      </c>
      <c r="D1462" s="18">
        <v>0</v>
      </c>
      <c r="E1462" s="18">
        <v>0</v>
      </c>
      <c r="F1462" s="18">
        <v>0</v>
      </c>
      <c r="G1462" s="18">
        <v>0</v>
      </c>
      <c r="H1462" s="18">
        <v>0</v>
      </c>
    </row>
    <row r="1463" spans="2:8">
      <c r="B1463" s="14" t="s">
        <v>7406</v>
      </c>
      <c r="C1463" s="245" t="s">
        <v>2035</v>
      </c>
      <c r="D1463" s="15">
        <v>0</v>
      </c>
      <c r="E1463" s="15">
        <v>0</v>
      </c>
      <c r="F1463" s="15">
        <v>0</v>
      </c>
      <c r="G1463" s="15">
        <v>0</v>
      </c>
      <c r="H1463" s="15">
        <v>0</v>
      </c>
    </row>
    <row r="1464" spans="2:8">
      <c r="B1464" s="17" t="s">
        <v>7407</v>
      </c>
      <c r="C1464" s="246" t="s">
        <v>2036</v>
      </c>
      <c r="D1464" s="18">
        <v>0</v>
      </c>
      <c r="E1464" s="18">
        <v>0</v>
      </c>
      <c r="F1464" s="18">
        <v>0</v>
      </c>
      <c r="G1464" s="18">
        <v>0</v>
      </c>
      <c r="H1464" s="18">
        <v>0</v>
      </c>
    </row>
    <row r="1465" spans="2:8">
      <c r="B1465" s="14" t="s">
        <v>7408</v>
      </c>
      <c r="C1465" s="245" t="s">
        <v>2037</v>
      </c>
      <c r="D1465" s="15">
        <v>0</v>
      </c>
      <c r="E1465" s="15">
        <v>0</v>
      </c>
      <c r="F1465" s="15">
        <v>0</v>
      </c>
      <c r="G1465" s="15">
        <v>0</v>
      </c>
      <c r="H1465" s="15">
        <v>0</v>
      </c>
    </row>
    <row r="1466" spans="2:8">
      <c r="B1466" s="17" t="s">
        <v>7409</v>
      </c>
      <c r="C1466" s="246" t="s">
        <v>2038</v>
      </c>
      <c r="D1466" s="18">
        <v>0</v>
      </c>
      <c r="E1466" s="18">
        <v>0</v>
      </c>
      <c r="F1466" s="18">
        <v>0</v>
      </c>
      <c r="G1466" s="18">
        <v>0</v>
      </c>
      <c r="H1466" s="18">
        <v>0</v>
      </c>
    </row>
    <row r="1467" spans="2:8">
      <c r="B1467" s="14" t="s">
        <v>7410</v>
      </c>
      <c r="C1467" s="245" t="s">
        <v>2039</v>
      </c>
      <c r="D1467" s="15">
        <v>0</v>
      </c>
      <c r="E1467" s="15">
        <v>0</v>
      </c>
      <c r="F1467" s="15">
        <v>0</v>
      </c>
      <c r="G1467" s="15">
        <v>0</v>
      </c>
      <c r="H1467" s="15">
        <v>0</v>
      </c>
    </row>
    <row r="1468" spans="2:8">
      <c r="B1468" s="17" t="s">
        <v>7411</v>
      </c>
      <c r="C1468" s="246" t="s">
        <v>2040</v>
      </c>
      <c r="D1468" s="18">
        <v>0</v>
      </c>
      <c r="E1468" s="18">
        <v>0</v>
      </c>
      <c r="F1468" s="18">
        <v>0</v>
      </c>
      <c r="G1468" s="18">
        <v>0</v>
      </c>
      <c r="H1468" s="18">
        <v>0</v>
      </c>
    </row>
    <row r="1469" spans="2:8">
      <c r="B1469" s="14" t="s">
        <v>7412</v>
      </c>
      <c r="C1469" s="245" t="s">
        <v>2041</v>
      </c>
      <c r="D1469" s="15">
        <v>3432</v>
      </c>
      <c r="E1469" s="15">
        <v>0</v>
      </c>
      <c r="F1469" s="15">
        <v>6777</v>
      </c>
      <c r="G1469" s="15">
        <v>0</v>
      </c>
      <c r="H1469" s="15">
        <v>0</v>
      </c>
    </row>
    <row r="1470" spans="2:8">
      <c r="B1470" s="17" t="s">
        <v>7413</v>
      </c>
      <c r="C1470" s="246" t="s">
        <v>2042</v>
      </c>
      <c r="D1470" s="18">
        <v>4</v>
      </c>
      <c r="E1470" s="18">
        <v>0</v>
      </c>
      <c r="F1470" s="18">
        <v>0</v>
      </c>
      <c r="G1470" s="18">
        <v>0</v>
      </c>
      <c r="H1470" s="18">
        <v>0</v>
      </c>
    </row>
    <row r="1471" spans="2:8">
      <c r="B1471" s="14" t="s">
        <v>7414</v>
      </c>
      <c r="C1471" s="245" t="s">
        <v>2043</v>
      </c>
      <c r="D1471" s="15">
        <v>0</v>
      </c>
      <c r="E1471" s="15">
        <v>0</v>
      </c>
      <c r="F1471" s="15">
        <v>0</v>
      </c>
      <c r="G1471" s="15">
        <v>0</v>
      </c>
      <c r="H1471" s="15">
        <v>0</v>
      </c>
    </row>
    <row r="1472" spans="2:8">
      <c r="B1472" s="17" t="s">
        <v>7415</v>
      </c>
      <c r="C1472" s="246" t="s">
        <v>2044</v>
      </c>
      <c r="D1472" s="18">
        <v>0</v>
      </c>
      <c r="E1472" s="18">
        <v>0</v>
      </c>
      <c r="F1472" s="18">
        <v>0</v>
      </c>
      <c r="G1472" s="18">
        <v>0</v>
      </c>
      <c r="H1472" s="18">
        <v>0</v>
      </c>
    </row>
    <row r="1473" spans="2:8">
      <c r="B1473" s="14" t="s">
        <v>7416</v>
      </c>
      <c r="C1473" s="245" t="s">
        <v>2045</v>
      </c>
      <c r="D1473" s="15">
        <v>0</v>
      </c>
      <c r="E1473" s="15">
        <v>0</v>
      </c>
      <c r="F1473" s="15">
        <v>0</v>
      </c>
      <c r="G1473" s="15">
        <v>0</v>
      </c>
      <c r="H1473" s="15">
        <v>0</v>
      </c>
    </row>
    <row r="1474" spans="2:8">
      <c r="B1474" s="17" t="s">
        <v>7417</v>
      </c>
      <c r="C1474" s="246" t="s">
        <v>2046</v>
      </c>
      <c r="D1474" s="18">
        <v>0</v>
      </c>
      <c r="E1474" s="18">
        <v>0</v>
      </c>
      <c r="F1474" s="18">
        <v>0</v>
      </c>
      <c r="G1474" s="18">
        <v>0</v>
      </c>
      <c r="H1474" s="18">
        <v>0</v>
      </c>
    </row>
    <row r="1475" spans="2:8">
      <c r="B1475" s="14" t="s">
        <v>7418</v>
      </c>
      <c r="C1475" s="245" t="s">
        <v>2047</v>
      </c>
      <c r="D1475" s="15">
        <v>0</v>
      </c>
      <c r="E1475" s="15">
        <v>0</v>
      </c>
      <c r="F1475" s="15">
        <v>0</v>
      </c>
      <c r="G1475" s="15">
        <v>0</v>
      </c>
      <c r="H1475" s="15">
        <v>0</v>
      </c>
    </row>
    <row r="1476" spans="2:8">
      <c r="B1476" s="17" t="s">
        <v>7419</v>
      </c>
      <c r="C1476" s="246" t="s">
        <v>2048</v>
      </c>
      <c r="D1476" s="18">
        <v>0</v>
      </c>
      <c r="E1476" s="18">
        <v>0</v>
      </c>
      <c r="F1476" s="18">
        <v>0</v>
      </c>
      <c r="G1476" s="18">
        <v>0</v>
      </c>
      <c r="H1476" s="18">
        <v>0</v>
      </c>
    </row>
    <row r="1477" spans="2:8">
      <c r="B1477" s="14" t="s">
        <v>7420</v>
      </c>
      <c r="C1477" s="245" t="s">
        <v>2049</v>
      </c>
      <c r="D1477" s="15">
        <v>0</v>
      </c>
      <c r="E1477" s="15">
        <v>0</v>
      </c>
      <c r="F1477" s="15">
        <v>0</v>
      </c>
      <c r="G1477" s="15">
        <v>0</v>
      </c>
      <c r="H1477" s="15">
        <v>0</v>
      </c>
    </row>
    <row r="1478" spans="2:8">
      <c r="B1478" s="17" t="s">
        <v>7421</v>
      </c>
      <c r="C1478" s="246" t="s">
        <v>2050</v>
      </c>
      <c r="D1478" s="18">
        <v>0</v>
      </c>
      <c r="E1478" s="18">
        <v>0</v>
      </c>
      <c r="F1478" s="18">
        <v>0</v>
      </c>
      <c r="G1478" s="18">
        <v>0</v>
      </c>
      <c r="H1478" s="18">
        <v>0</v>
      </c>
    </row>
    <row r="1479" spans="2:8">
      <c r="B1479" s="14" t="s">
        <v>7422</v>
      </c>
      <c r="C1479" s="245" t="s">
        <v>2051</v>
      </c>
      <c r="D1479" s="15">
        <v>0</v>
      </c>
      <c r="E1479" s="15">
        <v>0</v>
      </c>
      <c r="F1479" s="15">
        <v>0</v>
      </c>
      <c r="G1479" s="15">
        <v>0</v>
      </c>
      <c r="H1479" s="15">
        <v>0</v>
      </c>
    </row>
    <row r="1480" spans="2:8">
      <c r="B1480" s="17" t="s">
        <v>7423</v>
      </c>
      <c r="C1480" s="246" t="s">
        <v>2052</v>
      </c>
      <c r="D1480" s="18">
        <v>0</v>
      </c>
      <c r="E1480" s="18">
        <v>0</v>
      </c>
      <c r="F1480" s="18">
        <v>0</v>
      </c>
      <c r="G1480" s="18">
        <v>0</v>
      </c>
      <c r="H1480" s="18">
        <v>0</v>
      </c>
    </row>
    <row r="1481" spans="2:8">
      <c r="B1481" s="14" t="s">
        <v>7424</v>
      </c>
      <c r="C1481" s="245" t="s">
        <v>2053</v>
      </c>
      <c r="D1481" s="15">
        <v>0</v>
      </c>
      <c r="E1481" s="15">
        <v>0</v>
      </c>
      <c r="F1481" s="15">
        <v>0</v>
      </c>
      <c r="G1481" s="15">
        <v>0</v>
      </c>
      <c r="H1481" s="15">
        <v>0</v>
      </c>
    </row>
    <row r="1482" spans="2:8">
      <c r="B1482" s="17" t="s">
        <v>7425</v>
      </c>
      <c r="C1482" s="246" t="s">
        <v>2054</v>
      </c>
      <c r="D1482" s="18">
        <v>0</v>
      </c>
      <c r="E1482" s="18">
        <v>0</v>
      </c>
      <c r="F1482" s="18">
        <v>0</v>
      </c>
      <c r="G1482" s="18">
        <v>0</v>
      </c>
      <c r="H1482" s="18">
        <v>0</v>
      </c>
    </row>
    <row r="1483" spans="2:8">
      <c r="B1483" s="14" t="s">
        <v>7426</v>
      </c>
      <c r="C1483" s="245" t="s">
        <v>2055</v>
      </c>
      <c r="D1483" s="15">
        <v>0</v>
      </c>
      <c r="E1483" s="15">
        <v>0</v>
      </c>
      <c r="F1483" s="15">
        <v>0</v>
      </c>
      <c r="G1483" s="15">
        <v>0</v>
      </c>
      <c r="H1483" s="15">
        <v>0</v>
      </c>
    </row>
    <row r="1484" spans="2:8">
      <c r="B1484" s="17" t="s">
        <v>7427</v>
      </c>
      <c r="C1484" s="246" t="s">
        <v>2056</v>
      </c>
      <c r="D1484" s="18">
        <v>0</v>
      </c>
      <c r="E1484" s="18">
        <v>0</v>
      </c>
      <c r="F1484" s="18">
        <v>0</v>
      </c>
      <c r="G1484" s="18">
        <v>0</v>
      </c>
      <c r="H1484" s="18">
        <v>0</v>
      </c>
    </row>
    <row r="1485" spans="2:8">
      <c r="B1485" s="14" t="s">
        <v>7428</v>
      </c>
      <c r="C1485" s="245" t="s">
        <v>2057</v>
      </c>
      <c r="D1485" s="15">
        <v>0</v>
      </c>
      <c r="E1485" s="15">
        <v>0</v>
      </c>
      <c r="F1485" s="15">
        <v>0</v>
      </c>
      <c r="G1485" s="15">
        <v>0</v>
      </c>
      <c r="H1485" s="15">
        <v>0</v>
      </c>
    </row>
    <row r="1486" spans="2:8">
      <c r="B1486" s="17" t="s">
        <v>7429</v>
      </c>
      <c r="C1486" s="246" t="s">
        <v>2058</v>
      </c>
      <c r="D1486" s="18">
        <v>0</v>
      </c>
      <c r="E1486" s="18">
        <v>0</v>
      </c>
      <c r="F1486" s="18">
        <v>0</v>
      </c>
      <c r="G1486" s="18">
        <v>0</v>
      </c>
      <c r="H1486" s="18">
        <v>0</v>
      </c>
    </row>
    <row r="1487" spans="2:8">
      <c r="B1487" s="14" t="s">
        <v>7430</v>
      </c>
      <c r="C1487" s="245" t="s">
        <v>2059</v>
      </c>
      <c r="D1487" s="15">
        <v>0</v>
      </c>
      <c r="E1487" s="15">
        <v>0</v>
      </c>
      <c r="F1487" s="15">
        <v>0</v>
      </c>
      <c r="G1487" s="15">
        <v>0</v>
      </c>
      <c r="H1487" s="15">
        <v>0</v>
      </c>
    </row>
    <row r="1488" spans="2:8">
      <c r="B1488" s="17" t="s">
        <v>7431</v>
      </c>
      <c r="C1488" s="246" t="s">
        <v>2060</v>
      </c>
      <c r="D1488" s="18">
        <v>0</v>
      </c>
      <c r="E1488" s="18">
        <v>0</v>
      </c>
      <c r="F1488" s="18">
        <v>0</v>
      </c>
      <c r="G1488" s="18">
        <v>0</v>
      </c>
      <c r="H1488" s="18">
        <v>0</v>
      </c>
    </row>
    <row r="1489" spans="2:8">
      <c r="B1489" s="14" t="s">
        <v>7432</v>
      </c>
      <c r="C1489" s="245" t="s">
        <v>2061</v>
      </c>
      <c r="D1489" s="15">
        <v>0</v>
      </c>
      <c r="E1489" s="15">
        <v>0</v>
      </c>
      <c r="F1489" s="15">
        <v>0</v>
      </c>
      <c r="G1489" s="15">
        <v>0</v>
      </c>
      <c r="H1489" s="15">
        <v>0</v>
      </c>
    </row>
    <row r="1490" spans="2:8">
      <c r="B1490" s="17" t="s">
        <v>7433</v>
      </c>
      <c r="C1490" s="246" t="s">
        <v>2062</v>
      </c>
      <c r="D1490" s="18">
        <v>0</v>
      </c>
      <c r="E1490" s="18">
        <v>0</v>
      </c>
      <c r="F1490" s="18">
        <v>0</v>
      </c>
      <c r="G1490" s="18">
        <v>0</v>
      </c>
      <c r="H1490" s="18">
        <v>0</v>
      </c>
    </row>
    <row r="1491" spans="2:8">
      <c r="B1491" s="14" t="s">
        <v>7434</v>
      </c>
      <c r="C1491" s="245" t="s">
        <v>2063</v>
      </c>
      <c r="D1491" s="15">
        <v>0</v>
      </c>
      <c r="E1491" s="15">
        <v>0</v>
      </c>
      <c r="F1491" s="15">
        <v>0</v>
      </c>
      <c r="G1491" s="15">
        <v>0</v>
      </c>
      <c r="H1491" s="15">
        <v>0</v>
      </c>
    </row>
    <row r="1492" spans="2:8">
      <c r="B1492" s="17" t="s">
        <v>7435</v>
      </c>
      <c r="C1492" s="246" t="s">
        <v>2064</v>
      </c>
      <c r="D1492" s="18">
        <v>0</v>
      </c>
      <c r="E1492" s="18">
        <v>0</v>
      </c>
      <c r="F1492" s="18">
        <v>0</v>
      </c>
      <c r="G1492" s="18">
        <v>0</v>
      </c>
      <c r="H1492" s="18">
        <v>0</v>
      </c>
    </row>
    <row r="1493" spans="2:8">
      <c r="B1493" s="14" t="s">
        <v>7436</v>
      </c>
      <c r="C1493" s="245" t="s">
        <v>2065</v>
      </c>
      <c r="D1493" s="15">
        <v>0</v>
      </c>
      <c r="E1493" s="15">
        <v>0</v>
      </c>
      <c r="F1493" s="15">
        <v>0</v>
      </c>
      <c r="G1493" s="15">
        <v>0</v>
      </c>
      <c r="H1493" s="15">
        <v>0</v>
      </c>
    </row>
    <row r="1494" spans="2:8">
      <c r="B1494" s="17" t="s">
        <v>7437</v>
      </c>
      <c r="C1494" s="246" t="s">
        <v>2066</v>
      </c>
      <c r="D1494" s="18">
        <v>0</v>
      </c>
      <c r="E1494" s="18">
        <v>0</v>
      </c>
      <c r="F1494" s="18">
        <v>0</v>
      </c>
      <c r="G1494" s="18">
        <v>0</v>
      </c>
      <c r="H1494" s="18">
        <v>0</v>
      </c>
    </row>
    <row r="1495" spans="2:8">
      <c r="B1495" s="14" t="s">
        <v>7438</v>
      </c>
      <c r="C1495" s="245" t="s">
        <v>2067</v>
      </c>
      <c r="D1495" s="15">
        <v>0</v>
      </c>
      <c r="E1495" s="15">
        <v>0</v>
      </c>
      <c r="F1495" s="15">
        <v>0</v>
      </c>
      <c r="G1495" s="15">
        <v>0</v>
      </c>
      <c r="H1495" s="15">
        <v>0</v>
      </c>
    </row>
    <row r="1496" spans="2:8">
      <c r="B1496" s="17" t="s">
        <v>7439</v>
      </c>
      <c r="C1496" s="246" t="s">
        <v>2068</v>
      </c>
      <c r="D1496" s="18">
        <v>0</v>
      </c>
      <c r="E1496" s="18">
        <v>0</v>
      </c>
      <c r="F1496" s="18">
        <v>0</v>
      </c>
      <c r="G1496" s="18">
        <v>0</v>
      </c>
      <c r="H1496" s="18">
        <v>0</v>
      </c>
    </row>
    <row r="1497" spans="2:8">
      <c r="B1497" s="14" t="s">
        <v>7440</v>
      </c>
      <c r="C1497" s="245" t="s">
        <v>2069</v>
      </c>
      <c r="D1497" s="15">
        <v>0</v>
      </c>
      <c r="E1497" s="15">
        <v>0</v>
      </c>
      <c r="F1497" s="15">
        <v>0</v>
      </c>
      <c r="G1497" s="15">
        <v>0</v>
      </c>
      <c r="H1497" s="15">
        <v>0</v>
      </c>
    </row>
    <row r="1498" spans="2:8">
      <c r="B1498" s="17" t="s">
        <v>7441</v>
      </c>
      <c r="C1498" s="246" t="s">
        <v>2070</v>
      </c>
      <c r="D1498" s="18">
        <v>0</v>
      </c>
      <c r="E1498" s="18">
        <v>0</v>
      </c>
      <c r="F1498" s="18">
        <v>0</v>
      </c>
      <c r="G1498" s="18">
        <v>0</v>
      </c>
      <c r="H1498" s="18">
        <v>0</v>
      </c>
    </row>
    <row r="1499" spans="2:8">
      <c r="B1499" s="14" t="s">
        <v>7442</v>
      </c>
      <c r="C1499" s="245" t="s">
        <v>2071</v>
      </c>
      <c r="D1499" s="15">
        <v>0</v>
      </c>
      <c r="E1499" s="15">
        <v>0</v>
      </c>
      <c r="F1499" s="15">
        <v>0</v>
      </c>
      <c r="G1499" s="15">
        <v>0</v>
      </c>
      <c r="H1499" s="15">
        <v>0</v>
      </c>
    </row>
    <row r="1500" spans="2:8">
      <c r="B1500" s="17" t="s">
        <v>7443</v>
      </c>
      <c r="C1500" s="246" t="s">
        <v>2072</v>
      </c>
      <c r="D1500" s="18">
        <v>0</v>
      </c>
      <c r="E1500" s="18">
        <v>0</v>
      </c>
      <c r="F1500" s="18">
        <v>0</v>
      </c>
      <c r="G1500" s="18">
        <v>0</v>
      </c>
      <c r="H1500" s="18">
        <v>0</v>
      </c>
    </row>
    <row r="1501" spans="2:8">
      <c r="B1501" s="14" t="s">
        <v>7444</v>
      </c>
      <c r="C1501" s="245" t="s">
        <v>2073</v>
      </c>
      <c r="D1501" s="15">
        <v>0</v>
      </c>
      <c r="E1501" s="15">
        <v>0</v>
      </c>
      <c r="F1501" s="15">
        <v>0</v>
      </c>
      <c r="G1501" s="15">
        <v>0</v>
      </c>
      <c r="H1501" s="15">
        <v>0</v>
      </c>
    </row>
    <row r="1502" spans="2:8">
      <c r="B1502" s="17" t="s">
        <v>7445</v>
      </c>
      <c r="C1502" s="246" t="s">
        <v>2074</v>
      </c>
      <c r="D1502" s="18">
        <v>0</v>
      </c>
      <c r="E1502" s="18">
        <v>0</v>
      </c>
      <c r="F1502" s="18">
        <v>0</v>
      </c>
      <c r="G1502" s="18">
        <v>0</v>
      </c>
      <c r="H1502" s="18">
        <v>0</v>
      </c>
    </row>
    <row r="1503" spans="2:8">
      <c r="B1503" s="14" t="s">
        <v>7446</v>
      </c>
      <c r="C1503" s="245" t="s">
        <v>2075</v>
      </c>
      <c r="D1503" s="15">
        <v>0</v>
      </c>
      <c r="E1503" s="15">
        <v>0</v>
      </c>
      <c r="F1503" s="15">
        <v>0</v>
      </c>
      <c r="G1503" s="15">
        <v>0</v>
      </c>
      <c r="H1503" s="15">
        <v>0</v>
      </c>
    </row>
    <row r="1504" spans="2:8">
      <c r="B1504" s="17" t="s">
        <v>7447</v>
      </c>
      <c r="C1504" s="246" t="s">
        <v>2076</v>
      </c>
      <c r="D1504" s="18">
        <v>0</v>
      </c>
      <c r="E1504" s="18">
        <v>0</v>
      </c>
      <c r="F1504" s="18">
        <v>0</v>
      </c>
      <c r="G1504" s="18">
        <v>0</v>
      </c>
      <c r="H1504" s="18">
        <v>0</v>
      </c>
    </row>
    <row r="1505" spans="2:8">
      <c r="B1505" s="14" t="s">
        <v>7448</v>
      </c>
      <c r="C1505" s="245" t="s">
        <v>2077</v>
      </c>
      <c r="D1505" s="15">
        <v>0</v>
      </c>
      <c r="E1505" s="15">
        <v>0</v>
      </c>
      <c r="F1505" s="15">
        <v>0</v>
      </c>
      <c r="G1505" s="15">
        <v>0</v>
      </c>
      <c r="H1505" s="15">
        <v>0</v>
      </c>
    </row>
    <row r="1506" spans="2:8">
      <c r="B1506" s="17" t="s">
        <v>7449</v>
      </c>
      <c r="C1506" s="246" t="s">
        <v>2078</v>
      </c>
      <c r="D1506" s="18">
        <v>0</v>
      </c>
      <c r="E1506" s="18">
        <v>0</v>
      </c>
      <c r="F1506" s="18">
        <v>0</v>
      </c>
      <c r="G1506" s="18">
        <v>0</v>
      </c>
      <c r="H1506" s="18">
        <v>0</v>
      </c>
    </row>
    <row r="1507" spans="2:8">
      <c r="B1507" s="14" t="s">
        <v>7450</v>
      </c>
      <c r="C1507" s="245" t="s">
        <v>2079</v>
      </c>
      <c r="D1507" s="15">
        <v>0</v>
      </c>
      <c r="E1507" s="15">
        <v>0</v>
      </c>
      <c r="F1507" s="15">
        <v>0</v>
      </c>
      <c r="G1507" s="15">
        <v>0</v>
      </c>
      <c r="H1507" s="15">
        <v>0</v>
      </c>
    </row>
    <row r="1508" spans="2:8">
      <c r="B1508" s="17" t="s">
        <v>7451</v>
      </c>
      <c r="C1508" s="246" t="s">
        <v>2080</v>
      </c>
      <c r="D1508" s="18">
        <v>0</v>
      </c>
      <c r="E1508" s="18">
        <v>0</v>
      </c>
      <c r="F1508" s="18">
        <v>0</v>
      </c>
      <c r="G1508" s="18">
        <v>0</v>
      </c>
      <c r="H1508" s="18">
        <v>0</v>
      </c>
    </row>
    <row r="1509" spans="2:8">
      <c r="B1509" s="14" t="s">
        <v>7452</v>
      </c>
      <c r="C1509" s="245" t="s">
        <v>2081</v>
      </c>
      <c r="D1509" s="15">
        <v>0</v>
      </c>
      <c r="E1509" s="15">
        <v>0</v>
      </c>
      <c r="F1509" s="15">
        <v>0</v>
      </c>
      <c r="G1509" s="15">
        <v>0</v>
      </c>
      <c r="H1509" s="15">
        <v>0</v>
      </c>
    </row>
    <row r="1510" spans="2:8">
      <c r="B1510" s="17" t="s">
        <v>7453</v>
      </c>
      <c r="C1510" s="246" t="s">
        <v>2082</v>
      </c>
      <c r="D1510" s="18">
        <v>0</v>
      </c>
      <c r="E1510" s="18">
        <v>0</v>
      </c>
      <c r="F1510" s="18">
        <v>0</v>
      </c>
      <c r="G1510" s="18">
        <v>0</v>
      </c>
      <c r="H1510" s="18">
        <v>0</v>
      </c>
    </row>
    <row r="1511" spans="2:8">
      <c r="B1511" s="14" t="s">
        <v>7454</v>
      </c>
      <c r="C1511" s="245" t="s">
        <v>2083</v>
      </c>
      <c r="D1511" s="15">
        <v>0</v>
      </c>
      <c r="E1511" s="15">
        <v>0</v>
      </c>
      <c r="F1511" s="15">
        <v>0</v>
      </c>
      <c r="G1511" s="15">
        <v>0</v>
      </c>
      <c r="H1511" s="15">
        <v>0</v>
      </c>
    </row>
    <row r="1512" spans="2:8">
      <c r="B1512" s="17" t="s">
        <v>7455</v>
      </c>
      <c r="C1512" s="246" t="s">
        <v>2084</v>
      </c>
      <c r="D1512" s="18">
        <v>0</v>
      </c>
      <c r="E1512" s="18">
        <v>0</v>
      </c>
      <c r="F1512" s="18">
        <v>0</v>
      </c>
      <c r="G1512" s="18">
        <v>0</v>
      </c>
      <c r="H1512" s="18">
        <v>0</v>
      </c>
    </row>
    <row r="1513" spans="2:8">
      <c r="B1513" s="14" t="s">
        <v>7456</v>
      </c>
      <c r="C1513" s="245" t="s">
        <v>2085</v>
      </c>
      <c r="D1513" s="15">
        <v>0</v>
      </c>
      <c r="E1513" s="15">
        <v>0</v>
      </c>
      <c r="F1513" s="15">
        <v>0</v>
      </c>
      <c r="G1513" s="15">
        <v>0</v>
      </c>
      <c r="H1513" s="15">
        <v>0</v>
      </c>
    </row>
    <row r="1514" spans="2:8">
      <c r="B1514" s="17" t="s">
        <v>7457</v>
      </c>
      <c r="C1514" s="246" t="s">
        <v>2086</v>
      </c>
      <c r="D1514" s="18">
        <v>0</v>
      </c>
      <c r="E1514" s="18">
        <v>0</v>
      </c>
      <c r="F1514" s="18">
        <v>0</v>
      </c>
      <c r="G1514" s="18">
        <v>0</v>
      </c>
      <c r="H1514" s="18">
        <v>0</v>
      </c>
    </row>
    <row r="1515" spans="2:8">
      <c r="B1515" s="14" t="s">
        <v>7458</v>
      </c>
      <c r="C1515" s="245" t="s">
        <v>2087</v>
      </c>
      <c r="D1515" s="15">
        <v>0</v>
      </c>
      <c r="E1515" s="15">
        <v>0</v>
      </c>
      <c r="F1515" s="15">
        <v>0</v>
      </c>
      <c r="G1515" s="15">
        <v>0</v>
      </c>
      <c r="H1515" s="15">
        <v>0</v>
      </c>
    </row>
    <row r="1516" spans="2:8">
      <c r="B1516" s="17" t="s">
        <v>7459</v>
      </c>
      <c r="C1516" s="246" t="s">
        <v>2088</v>
      </c>
      <c r="D1516" s="18">
        <v>0</v>
      </c>
      <c r="E1516" s="18">
        <v>0</v>
      </c>
      <c r="F1516" s="18">
        <v>0</v>
      </c>
      <c r="G1516" s="18">
        <v>0</v>
      </c>
      <c r="H1516" s="18">
        <v>0</v>
      </c>
    </row>
    <row r="1517" spans="2:8">
      <c r="B1517" s="14" t="s">
        <v>7460</v>
      </c>
      <c r="C1517" s="245" t="s">
        <v>2089</v>
      </c>
      <c r="D1517" s="15">
        <v>0</v>
      </c>
      <c r="E1517" s="15">
        <v>0</v>
      </c>
      <c r="F1517" s="15">
        <v>0</v>
      </c>
      <c r="G1517" s="15">
        <v>0</v>
      </c>
      <c r="H1517" s="15">
        <v>0</v>
      </c>
    </row>
    <row r="1518" spans="2:8">
      <c r="B1518" s="17" t="s">
        <v>7461</v>
      </c>
      <c r="C1518" s="246" t="s">
        <v>2090</v>
      </c>
      <c r="D1518" s="18">
        <v>0</v>
      </c>
      <c r="E1518" s="18">
        <v>0</v>
      </c>
      <c r="F1518" s="18">
        <v>0</v>
      </c>
      <c r="G1518" s="18">
        <v>0</v>
      </c>
      <c r="H1518" s="18">
        <v>0</v>
      </c>
    </row>
    <row r="1519" spans="2:8">
      <c r="B1519" s="14" t="s">
        <v>7462</v>
      </c>
      <c r="C1519" s="245" t="s">
        <v>2091</v>
      </c>
      <c r="D1519" s="15">
        <v>0</v>
      </c>
      <c r="E1519" s="15">
        <v>0</v>
      </c>
      <c r="F1519" s="15">
        <v>0</v>
      </c>
      <c r="G1519" s="15">
        <v>0</v>
      </c>
      <c r="H1519" s="15">
        <v>0</v>
      </c>
    </row>
    <row r="1520" spans="2:8">
      <c r="B1520" s="17" t="s">
        <v>7463</v>
      </c>
      <c r="C1520" s="246" t="s">
        <v>2092</v>
      </c>
      <c r="D1520" s="18">
        <v>0</v>
      </c>
      <c r="E1520" s="18">
        <v>0</v>
      </c>
      <c r="F1520" s="18">
        <v>0</v>
      </c>
      <c r="G1520" s="18">
        <v>0</v>
      </c>
      <c r="H1520" s="18">
        <v>0</v>
      </c>
    </row>
    <row r="1521" spans="2:8">
      <c r="B1521" s="14" t="s">
        <v>7464</v>
      </c>
      <c r="C1521" s="245" t="s">
        <v>2093</v>
      </c>
      <c r="D1521" s="15">
        <v>0</v>
      </c>
      <c r="E1521" s="15">
        <v>0</v>
      </c>
      <c r="F1521" s="15">
        <v>0</v>
      </c>
      <c r="G1521" s="15">
        <v>0</v>
      </c>
      <c r="H1521" s="15">
        <v>0</v>
      </c>
    </row>
    <row r="1522" spans="2:8">
      <c r="B1522" s="17" t="s">
        <v>7465</v>
      </c>
      <c r="C1522" s="246" t="s">
        <v>2094</v>
      </c>
      <c r="D1522" s="18">
        <v>0</v>
      </c>
      <c r="E1522" s="18">
        <v>0</v>
      </c>
      <c r="F1522" s="18">
        <v>0</v>
      </c>
      <c r="G1522" s="18">
        <v>0</v>
      </c>
      <c r="H1522" s="18">
        <v>0</v>
      </c>
    </row>
    <row r="1523" spans="2:8">
      <c r="B1523" s="14" t="s">
        <v>7466</v>
      </c>
      <c r="C1523" s="245" t="s">
        <v>2095</v>
      </c>
      <c r="D1523" s="15">
        <v>0</v>
      </c>
      <c r="E1523" s="15">
        <v>0</v>
      </c>
      <c r="F1523" s="15">
        <v>0</v>
      </c>
      <c r="G1523" s="15">
        <v>0</v>
      </c>
      <c r="H1523" s="15">
        <v>0</v>
      </c>
    </row>
    <row r="1524" spans="2:8">
      <c r="B1524" s="17" t="s">
        <v>7467</v>
      </c>
      <c r="C1524" s="246" t="s">
        <v>2096</v>
      </c>
      <c r="D1524" s="18">
        <v>0</v>
      </c>
      <c r="E1524" s="18">
        <v>0</v>
      </c>
      <c r="F1524" s="18">
        <v>0</v>
      </c>
      <c r="G1524" s="18">
        <v>0</v>
      </c>
      <c r="H1524" s="18">
        <v>0</v>
      </c>
    </row>
    <row r="1525" spans="2:8">
      <c r="B1525" s="14" t="s">
        <v>7468</v>
      </c>
      <c r="C1525" s="245" t="s">
        <v>2097</v>
      </c>
      <c r="D1525" s="15">
        <v>0</v>
      </c>
      <c r="E1525" s="15">
        <v>0</v>
      </c>
      <c r="F1525" s="15">
        <v>0</v>
      </c>
      <c r="G1525" s="15">
        <v>0</v>
      </c>
      <c r="H1525" s="15">
        <v>0</v>
      </c>
    </row>
    <row r="1526" spans="2:8">
      <c r="B1526" s="17" t="s">
        <v>7469</v>
      </c>
      <c r="C1526" s="246" t="s">
        <v>2098</v>
      </c>
      <c r="D1526" s="18">
        <v>0</v>
      </c>
      <c r="E1526" s="18">
        <v>0</v>
      </c>
      <c r="F1526" s="18">
        <v>0</v>
      </c>
      <c r="G1526" s="18">
        <v>0</v>
      </c>
      <c r="H1526" s="18">
        <v>0</v>
      </c>
    </row>
    <row r="1527" spans="2:8">
      <c r="B1527" s="14" t="s">
        <v>7470</v>
      </c>
      <c r="C1527" s="245" t="s">
        <v>2099</v>
      </c>
      <c r="D1527" s="15">
        <v>0</v>
      </c>
      <c r="E1527" s="15">
        <v>0</v>
      </c>
      <c r="F1527" s="15">
        <v>0</v>
      </c>
      <c r="G1527" s="15">
        <v>0</v>
      </c>
      <c r="H1527" s="15">
        <v>0</v>
      </c>
    </row>
    <row r="1528" spans="2:8">
      <c r="B1528" s="17" t="s">
        <v>7471</v>
      </c>
      <c r="C1528" s="246" t="s">
        <v>2100</v>
      </c>
      <c r="D1528" s="18">
        <v>0</v>
      </c>
      <c r="E1528" s="18">
        <v>0</v>
      </c>
      <c r="F1528" s="18">
        <v>0</v>
      </c>
      <c r="G1528" s="18">
        <v>0</v>
      </c>
      <c r="H1528" s="18">
        <v>0</v>
      </c>
    </row>
    <row r="1529" spans="2:8">
      <c r="B1529" s="14" t="s">
        <v>7472</v>
      </c>
      <c r="C1529" s="245" t="s">
        <v>2101</v>
      </c>
      <c r="D1529" s="15">
        <v>0</v>
      </c>
      <c r="E1529" s="15">
        <v>0</v>
      </c>
      <c r="F1529" s="15">
        <v>0</v>
      </c>
      <c r="G1529" s="15">
        <v>0</v>
      </c>
      <c r="H1529" s="15">
        <v>0</v>
      </c>
    </row>
    <row r="1530" spans="2:8">
      <c r="B1530" s="17" t="s">
        <v>7473</v>
      </c>
      <c r="C1530" s="246" t="s">
        <v>2102</v>
      </c>
      <c r="D1530" s="18">
        <v>0</v>
      </c>
      <c r="E1530" s="18">
        <v>0</v>
      </c>
      <c r="F1530" s="18">
        <v>0</v>
      </c>
      <c r="G1530" s="18">
        <v>0</v>
      </c>
      <c r="H1530" s="18">
        <v>0</v>
      </c>
    </row>
    <row r="1531" spans="2:8">
      <c r="B1531" s="14" t="s">
        <v>7474</v>
      </c>
      <c r="C1531" s="245" t="s">
        <v>2103</v>
      </c>
      <c r="D1531" s="15">
        <v>0</v>
      </c>
      <c r="E1531" s="15">
        <v>0</v>
      </c>
      <c r="F1531" s="15">
        <v>0</v>
      </c>
      <c r="G1531" s="15">
        <v>0</v>
      </c>
      <c r="H1531" s="15">
        <v>0</v>
      </c>
    </row>
    <row r="1532" spans="2:8">
      <c r="B1532" s="17" t="s">
        <v>7475</v>
      </c>
      <c r="C1532" s="246" t="s">
        <v>2104</v>
      </c>
      <c r="D1532" s="18">
        <v>0</v>
      </c>
      <c r="E1532" s="18">
        <v>0</v>
      </c>
      <c r="F1532" s="18">
        <v>0</v>
      </c>
      <c r="G1532" s="18">
        <v>0</v>
      </c>
      <c r="H1532" s="18">
        <v>0</v>
      </c>
    </row>
    <row r="1533" spans="2:8">
      <c r="B1533" s="14" t="s">
        <v>7476</v>
      </c>
      <c r="C1533" s="245" t="s">
        <v>2105</v>
      </c>
      <c r="D1533" s="15">
        <v>0</v>
      </c>
      <c r="E1533" s="15">
        <v>0</v>
      </c>
      <c r="F1533" s="15">
        <v>0</v>
      </c>
      <c r="G1533" s="15">
        <v>0</v>
      </c>
      <c r="H1533" s="15">
        <v>0</v>
      </c>
    </row>
    <row r="1534" spans="2:8">
      <c r="B1534" s="17" t="s">
        <v>7477</v>
      </c>
      <c r="C1534" s="246" t="s">
        <v>2106</v>
      </c>
      <c r="D1534" s="18">
        <v>0</v>
      </c>
      <c r="E1534" s="18">
        <v>0</v>
      </c>
      <c r="F1534" s="18">
        <v>0</v>
      </c>
      <c r="G1534" s="18">
        <v>0</v>
      </c>
      <c r="H1534" s="18">
        <v>0</v>
      </c>
    </row>
    <row r="1535" spans="2:8">
      <c r="B1535" s="14" t="s">
        <v>7478</v>
      </c>
      <c r="C1535" s="245" t="s">
        <v>2107</v>
      </c>
      <c r="D1535" s="15">
        <v>0</v>
      </c>
      <c r="E1535" s="15">
        <v>0</v>
      </c>
      <c r="F1535" s="15">
        <v>0</v>
      </c>
      <c r="G1535" s="15">
        <v>0</v>
      </c>
      <c r="H1535" s="15">
        <v>0</v>
      </c>
    </row>
    <row r="1536" spans="2:8">
      <c r="B1536" s="17" t="s">
        <v>7479</v>
      </c>
      <c r="C1536" s="246" t="s">
        <v>2108</v>
      </c>
      <c r="D1536" s="18">
        <v>0</v>
      </c>
      <c r="E1536" s="18">
        <v>0</v>
      </c>
      <c r="F1536" s="18">
        <v>0</v>
      </c>
      <c r="G1536" s="18">
        <v>0</v>
      </c>
      <c r="H1536" s="18">
        <v>0</v>
      </c>
    </row>
    <row r="1537" spans="2:8">
      <c r="B1537" s="14" t="s">
        <v>7480</v>
      </c>
      <c r="C1537" s="245" t="s">
        <v>2109</v>
      </c>
      <c r="D1537" s="15">
        <v>0</v>
      </c>
      <c r="E1537" s="15">
        <v>0</v>
      </c>
      <c r="F1537" s="15">
        <v>0</v>
      </c>
      <c r="G1537" s="15">
        <v>0</v>
      </c>
      <c r="H1537" s="15">
        <v>0</v>
      </c>
    </row>
    <row r="1538" spans="2:8">
      <c r="B1538" s="17" t="s">
        <v>7481</v>
      </c>
      <c r="C1538" s="246" t="s">
        <v>2110</v>
      </c>
      <c r="D1538" s="18">
        <v>0</v>
      </c>
      <c r="E1538" s="18">
        <v>0</v>
      </c>
      <c r="F1538" s="18">
        <v>0</v>
      </c>
      <c r="G1538" s="18">
        <v>0</v>
      </c>
      <c r="H1538" s="18">
        <v>0</v>
      </c>
    </row>
    <row r="1539" spans="2:8">
      <c r="B1539" s="14" t="s">
        <v>7482</v>
      </c>
      <c r="C1539" s="245" t="s">
        <v>2111</v>
      </c>
      <c r="D1539" s="15">
        <v>0</v>
      </c>
      <c r="E1539" s="15">
        <v>0</v>
      </c>
      <c r="F1539" s="15">
        <v>0</v>
      </c>
      <c r="G1539" s="15">
        <v>0</v>
      </c>
      <c r="H1539" s="15">
        <v>0</v>
      </c>
    </row>
    <row r="1540" spans="2:8">
      <c r="B1540" s="17" t="s">
        <v>7483</v>
      </c>
      <c r="C1540" s="246" t="s">
        <v>2112</v>
      </c>
      <c r="D1540" s="18">
        <v>0</v>
      </c>
      <c r="E1540" s="18">
        <v>0</v>
      </c>
      <c r="F1540" s="18">
        <v>0</v>
      </c>
      <c r="G1540" s="18">
        <v>0</v>
      </c>
      <c r="H1540" s="18">
        <v>0</v>
      </c>
    </row>
    <row r="1541" spans="2:8">
      <c r="B1541" s="14" t="s">
        <v>7484</v>
      </c>
      <c r="C1541" s="245" t="s">
        <v>2113</v>
      </c>
      <c r="D1541" s="15">
        <v>0</v>
      </c>
      <c r="E1541" s="15">
        <v>0</v>
      </c>
      <c r="F1541" s="15">
        <v>0</v>
      </c>
      <c r="G1541" s="15">
        <v>0</v>
      </c>
      <c r="H1541" s="15">
        <v>0</v>
      </c>
    </row>
    <row r="1542" spans="2:8">
      <c r="B1542" s="17" t="s">
        <v>7485</v>
      </c>
      <c r="C1542" s="246" t="s">
        <v>2114</v>
      </c>
      <c r="D1542" s="18">
        <v>0</v>
      </c>
      <c r="E1542" s="18">
        <v>0</v>
      </c>
      <c r="F1542" s="18">
        <v>0</v>
      </c>
      <c r="G1542" s="18">
        <v>0</v>
      </c>
      <c r="H1542" s="18">
        <v>0</v>
      </c>
    </row>
    <row r="1543" spans="2:8">
      <c r="B1543" s="14" t="s">
        <v>7486</v>
      </c>
      <c r="C1543" s="245" t="s">
        <v>2115</v>
      </c>
      <c r="D1543" s="15">
        <v>0</v>
      </c>
      <c r="E1543" s="15">
        <v>0</v>
      </c>
      <c r="F1543" s="15">
        <v>0</v>
      </c>
      <c r="G1543" s="15">
        <v>0</v>
      </c>
      <c r="H1543" s="15">
        <v>0</v>
      </c>
    </row>
    <row r="1544" spans="2:8">
      <c r="B1544" s="17" t="s">
        <v>7487</v>
      </c>
      <c r="C1544" s="246" t="s">
        <v>2116</v>
      </c>
      <c r="D1544" s="18">
        <v>0</v>
      </c>
      <c r="E1544" s="18">
        <v>0</v>
      </c>
      <c r="F1544" s="18">
        <v>0</v>
      </c>
      <c r="G1544" s="18">
        <v>0</v>
      </c>
      <c r="H1544" s="18">
        <v>0</v>
      </c>
    </row>
    <row r="1545" spans="2:8">
      <c r="B1545" s="14" t="s">
        <v>7488</v>
      </c>
      <c r="C1545" s="245" t="s">
        <v>2117</v>
      </c>
      <c r="D1545" s="15">
        <v>0</v>
      </c>
      <c r="E1545" s="15">
        <v>0</v>
      </c>
      <c r="F1545" s="15">
        <v>0</v>
      </c>
      <c r="G1545" s="15">
        <v>0</v>
      </c>
      <c r="H1545" s="15">
        <v>0</v>
      </c>
    </row>
    <row r="1546" spans="2:8">
      <c r="B1546" s="17" t="s">
        <v>7489</v>
      </c>
      <c r="C1546" s="246" t="s">
        <v>2118</v>
      </c>
      <c r="D1546" s="18">
        <v>0</v>
      </c>
      <c r="E1546" s="18">
        <v>0</v>
      </c>
      <c r="F1546" s="18">
        <v>0</v>
      </c>
      <c r="G1546" s="18">
        <v>0</v>
      </c>
      <c r="H1546" s="18">
        <v>0</v>
      </c>
    </row>
    <row r="1547" spans="2:8">
      <c r="B1547" s="14" t="s">
        <v>7490</v>
      </c>
      <c r="C1547" s="245" t="s">
        <v>2119</v>
      </c>
      <c r="D1547" s="15">
        <v>0</v>
      </c>
      <c r="E1547" s="15">
        <v>0</v>
      </c>
      <c r="F1547" s="15">
        <v>0</v>
      </c>
      <c r="G1547" s="15">
        <v>0</v>
      </c>
      <c r="H1547" s="15">
        <v>0</v>
      </c>
    </row>
    <row r="1548" spans="2:8">
      <c r="B1548" s="17" t="s">
        <v>7491</v>
      </c>
      <c r="C1548" s="246" t="s">
        <v>2120</v>
      </c>
      <c r="D1548" s="18">
        <v>0</v>
      </c>
      <c r="E1548" s="18">
        <v>0</v>
      </c>
      <c r="F1548" s="18">
        <v>0</v>
      </c>
      <c r="G1548" s="18">
        <v>0</v>
      </c>
      <c r="H1548" s="18">
        <v>0</v>
      </c>
    </row>
    <row r="1549" spans="2:8">
      <c r="B1549" s="14" t="s">
        <v>7492</v>
      </c>
      <c r="C1549" s="245" t="s">
        <v>2121</v>
      </c>
      <c r="D1549" s="15">
        <v>0</v>
      </c>
      <c r="E1549" s="15">
        <v>0</v>
      </c>
      <c r="F1549" s="15">
        <v>0</v>
      </c>
      <c r="G1549" s="15">
        <v>0</v>
      </c>
      <c r="H1549" s="15">
        <v>0</v>
      </c>
    </row>
    <row r="1550" spans="2:8">
      <c r="B1550" s="17" t="s">
        <v>7493</v>
      </c>
      <c r="C1550" s="246" t="s">
        <v>2122</v>
      </c>
      <c r="D1550" s="18">
        <v>0</v>
      </c>
      <c r="E1550" s="18">
        <v>0</v>
      </c>
      <c r="F1550" s="18">
        <v>0</v>
      </c>
      <c r="G1550" s="18">
        <v>0</v>
      </c>
      <c r="H1550" s="18">
        <v>0</v>
      </c>
    </row>
    <row r="1551" spans="2:8">
      <c r="B1551" s="14" t="s">
        <v>7494</v>
      </c>
      <c r="C1551" s="245" t="s">
        <v>2123</v>
      </c>
      <c r="D1551" s="15">
        <v>15</v>
      </c>
      <c r="E1551" s="15">
        <v>0</v>
      </c>
      <c r="F1551" s="15">
        <v>8</v>
      </c>
      <c r="G1551" s="15">
        <v>0</v>
      </c>
      <c r="H1551" s="15">
        <v>0</v>
      </c>
    </row>
    <row r="1552" spans="2:8">
      <c r="B1552" s="17" t="s">
        <v>7495</v>
      </c>
      <c r="C1552" s="246" t="s">
        <v>2124</v>
      </c>
      <c r="D1552" s="18">
        <v>0</v>
      </c>
      <c r="E1552" s="18">
        <v>0</v>
      </c>
      <c r="F1552" s="18">
        <v>0</v>
      </c>
      <c r="G1552" s="18">
        <v>0</v>
      </c>
      <c r="H1552" s="18">
        <v>0</v>
      </c>
    </row>
    <row r="1553" spans="2:8">
      <c r="B1553" s="14" t="s">
        <v>7496</v>
      </c>
      <c r="C1553" s="245" t="s">
        <v>2125</v>
      </c>
      <c r="D1553" s="15">
        <v>0</v>
      </c>
      <c r="E1553" s="15">
        <v>0</v>
      </c>
      <c r="F1553" s="15">
        <v>0</v>
      </c>
      <c r="G1553" s="15">
        <v>0</v>
      </c>
      <c r="H1553" s="15">
        <v>0</v>
      </c>
    </row>
    <row r="1554" spans="2:8">
      <c r="B1554" s="17" t="s">
        <v>7497</v>
      </c>
      <c r="C1554" s="246" t="s">
        <v>2126</v>
      </c>
      <c r="D1554" s="18">
        <v>0</v>
      </c>
      <c r="E1554" s="18">
        <v>0</v>
      </c>
      <c r="F1554" s="18">
        <v>0</v>
      </c>
      <c r="G1554" s="18">
        <v>0</v>
      </c>
      <c r="H1554" s="18">
        <v>0</v>
      </c>
    </row>
    <row r="1555" spans="2:8">
      <c r="B1555" s="14" t="s">
        <v>7498</v>
      </c>
      <c r="C1555" s="245" t="s">
        <v>2127</v>
      </c>
      <c r="D1555" s="15">
        <v>0</v>
      </c>
      <c r="E1555" s="15">
        <v>0</v>
      </c>
      <c r="F1555" s="15">
        <v>0</v>
      </c>
      <c r="G1555" s="15">
        <v>0</v>
      </c>
      <c r="H1555" s="15">
        <v>0</v>
      </c>
    </row>
    <row r="1556" spans="2:8">
      <c r="B1556" s="17" t="s">
        <v>7499</v>
      </c>
      <c r="C1556" s="246" t="s">
        <v>2128</v>
      </c>
      <c r="D1556" s="18">
        <v>0</v>
      </c>
      <c r="E1556" s="18">
        <v>0</v>
      </c>
      <c r="F1556" s="18">
        <v>0</v>
      </c>
      <c r="G1556" s="18">
        <v>1</v>
      </c>
      <c r="H1556" s="18">
        <v>0</v>
      </c>
    </row>
    <row r="1557" spans="2:8">
      <c r="B1557" s="14" t="s">
        <v>7500</v>
      </c>
      <c r="C1557" s="245" t="s">
        <v>2129</v>
      </c>
      <c r="D1557" s="15">
        <v>3683</v>
      </c>
      <c r="E1557" s="15">
        <v>3334</v>
      </c>
      <c r="F1557" s="15">
        <v>1855</v>
      </c>
      <c r="G1557" s="15">
        <v>2622</v>
      </c>
      <c r="H1557" s="15">
        <v>0</v>
      </c>
    </row>
    <row r="1558" spans="2:8">
      <c r="B1558" s="17" t="s">
        <v>7501</v>
      </c>
      <c r="C1558" s="246" t="s">
        <v>2130</v>
      </c>
      <c r="D1558" s="18">
        <v>0</v>
      </c>
      <c r="E1558" s="18">
        <v>0</v>
      </c>
      <c r="F1558" s="18">
        <v>0</v>
      </c>
      <c r="G1558" s="18">
        <v>0</v>
      </c>
      <c r="H1558" s="18">
        <v>0</v>
      </c>
    </row>
    <row r="1559" spans="2:8">
      <c r="B1559" s="14" t="s">
        <v>7502</v>
      </c>
      <c r="C1559" s="245" t="s">
        <v>2131</v>
      </c>
      <c r="D1559" s="15">
        <v>7</v>
      </c>
      <c r="E1559" s="15">
        <v>1</v>
      </c>
      <c r="F1559" s="15">
        <v>0</v>
      </c>
      <c r="G1559" s="15">
        <v>2</v>
      </c>
      <c r="H1559" s="15">
        <v>0</v>
      </c>
    </row>
    <row r="1560" spans="2:8">
      <c r="B1560" s="17" t="s">
        <v>7503</v>
      </c>
      <c r="C1560" s="246" t="s">
        <v>2132</v>
      </c>
      <c r="D1560" s="18">
        <v>0</v>
      </c>
      <c r="E1560" s="18">
        <v>0</v>
      </c>
      <c r="F1560" s="18">
        <v>0</v>
      </c>
      <c r="G1560" s="18">
        <v>0</v>
      </c>
      <c r="H1560" s="18">
        <v>0</v>
      </c>
    </row>
    <row r="1561" spans="2:8">
      <c r="B1561" s="14" t="s">
        <v>7504</v>
      </c>
      <c r="C1561" s="245" t="s">
        <v>2133</v>
      </c>
      <c r="D1561" s="15">
        <v>0</v>
      </c>
      <c r="E1561" s="15">
        <v>0</v>
      </c>
      <c r="F1561" s="15">
        <v>0</v>
      </c>
      <c r="G1561" s="15">
        <v>0</v>
      </c>
      <c r="H1561" s="15">
        <v>0</v>
      </c>
    </row>
    <row r="1562" spans="2:8">
      <c r="B1562" s="17" t="s">
        <v>7505</v>
      </c>
      <c r="C1562" s="246" t="s">
        <v>2134</v>
      </c>
      <c r="D1562" s="18">
        <v>0</v>
      </c>
      <c r="E1562" s="18">
        <v>0</v>
      </c>
      <c r="F1562" s="18">
        <v>0</v>
      </c>
      <c r="G1562" s="18">
        <v>0</v>
      </c>
      <c r="H1562" s="18">
        <v>0</v>
      </c>
    </row>
    <row r="1563" spans="2:8">
      <c r="B1563" s="14" t="s">
        <v>7506</v>
      </c>
      <c r="C1563" s="245" t="s">
        <v>2135</v>
      </c>
      <c r="D1563" s="15">
        <v>0</v>
      </c>
      <c r="E1563" s="15">
        <v>0</v>
      </c>
      <c r="F1563" s="15">
        <v>0</v>
      </c>
      <c r="G1563" s="15">
        <v>0</v>
      </c>
      <c r="H1563" s="15">
        <v>0</v>
      </c>
    </row>
    <row r="1564" spans="2:8">
      <c r="B1564" s="17" t="s">
        <v>7507</v>
      </c>
      <c r="C1564" s="246" t="s">
        <v>2135</v>
      </c>
      <c r="D1564" s="18">
        <v>2</v>
      </c>
      <c r="E1564" s="18">
        <v>1</v>
      </c>
      <c r="F1564" s="18">
        <v>2</v>
      </c>
      <c r="G1564" s="18">
        <v>6</v>
      </c>
      <c r="H1564" s="18">
        <v>0</v>
      </c>
    </row>
    <row r="1565" spans="2:8">
      <c r="B1565" s="14" t="s">
        <v>7508</v>
      </c>
      <c r="C1565" s="245" t="s">
        <v>2136</v>
      </c>
      <c r="D1565" s="15">
        <v>0</v>
      </c>
      <c r="E1565" s="15">
        <v>0</v>
      </c>
      <c r="F1565" s="15">
        <v>0</v>
      </c>
      <c r="G1565" s="15">
        <v>0</v>
      </c>
      <c r="H1565" s="15">
        <v>0</v>
      </c>
    </row>
    <row r="1566" spans="2:8">
      <c r="B1566" s="17" t="s">
        <v>7509</v>
      </c>
      <c r="C1566" s="246" t="s">
        <v>2137</v>
      </c>
      <c r="D1566" s="18">
        <v>0</v>
      </c>
      <c r="E1566" s="18">
        <v>0</v>
      </c>
      <c r="F1566" s="18">
        <v>0</v>
      </c>
      <c r="G1566" s="18">
        <v>0</v>
      </c>
      <c r="H1566" s="18">
        <v>0</v>
      </c>
    </row>
    <row r="1567" spans="2:8">
      <c r="B1567" s="14" t="s">
        <v>7510</v>
      </c>
      <c r="C1567" s="245" t="s">
        <v>2138</v>
      </c>
      <c r="D1567" s="15">
        <v>0</v>
      </c>
      <c r="E1567" s="15">
        <v>0</v>
      </c>
      <c r="F1567" s="15">
        <v>0</v>
      </c>
      <c r="G1567" s="15">
        <v>0</v>
      </c>
      <c r="H1567" s="15">
        <v>0</v>
      </c>
    </row>
    <row r="1568" spans="2:8">
      <c r="B1568" s="17" t="s">
        <v>7511</v>
      </c>
      <c r="C1568" s="246" t="s">
        <v>2139</v>
      </c>
      <c r="D1568" s="18">
        <v>0</v>
      </c>
      <c r="E1568" s="18">
        <v>0</v>
      </c>
      <c r="F1568" s="18">
        <v>89</v>
      </c>
      <c r="G1568" s="18">
        <v>0</v>
      </c>
      <c r="H1568" s="18">
        <v>0</v>
      </c>
    </row>
    <row r="1569" spans="2:8">
      <c r="B1569" s="14" t="s">
        <v>7512</v>
      </c>
      <c r="C1569" s="245" t="s">
        <v>2140</v>
      </c>
      <c r="D1569" s="15">
        <v>0</v>
      </c>
      <c r="E1569" s="15">
        <v>0</v>
      </c>
      <c r="F1569" s="15">
        <v>0</v>
      </c>
      <c r="G1569" s="15">
        <v>0</v>
      </c>
      <c r="H1569" s="15">
        <v>0</v>
      </c>
    </row>
    <row r="1570" spans="2:8">
      <c r="B1570" s="17" t="s">
        <v>7513</v>
      </c>
      <c r="C1570" s="246" t="s">
        <v>2141</v>
      </c>
      <c r="D1570" s="18">
        <v>0</v>
      </c>
      <c r="E1570" s="18">
        <v>0</v>
      </c>
      <c r="F1570" s="18">
        <v>0</v>
      </c>
      <c r="G1570" s="18">
        <v>0</v>
      </c>
      <c r="H1570" s="18">
        <v>0</v>
      </c>
    </row>
    <row r="1571" spans="2:8">
      <c r="B1571" s="14" t="s">
        <v>7514</v>
      </c>
      <c r="C1571" s="245" t="s">
        <v>2142</v>
      </c>
      <c r="D1571" s="15">
        <v>0</v>
      </c>
      <c r="E1571" s="15">
        <v>0</v>
      </c>
      <c r="F1571" s="15">
        <v>0</v>
      </c>
      <c r="G1571" s="15">
        <v>0</v>
      </c>
      <c r="H1571" s="15">
        <v>0</v>
      </c>
    </row>
    <row r="1572" spans="2:8">
      <c r="B1572" s="17" t="s">
        <v>7515</v>
      </c>
      <c r="C1572" s="246" t="s">
        <v>2142</v>
      </c>
      <c r="D1572" s="18">
        <v>0</v>
      </c>
      <c r="E1572" s="18">
        <v>0</v>
      </c>
      <c r="F1572" s="18">
        <v>0</v>
      </c>
      <c r="G1572" s="18">
        <v>0</v>
      </c>
      <c r="H1572" s="18">
        <v>0</v>
      </c>
    </row>
    <row r="1573" spans="2:8">
      <c r="B1573" s="14" t="s">
        <v>7516</v>
      </c>
      <c r="C1573" s="245" t="s">
        <v>2143</v>
      </c>
      <c r="D1573" s="15">
        <v>0</v>
      </c>
      <c r="E1573" s="15">
        <v>0</v>
      </c>
      <c r="F1573" s="15">
        <v>0</v>
      </c>
      <c r="G1573" s="15">
        <v>0</v>
      </c>
      <c r="H1573" s="15">
        <v>0</v>
      </c>
    </row>
    <row r="1574" spans="2:8">
      <c r="B1574" s="17" t="s">
        <v>7517</v>
      </c>
      <c r="C1574" s="246" t="s">
        <v>2144</v>
      </c>
      <c r="D1574" s="18">
        <v>0</v>
      </c>
      <c r="E1574" s="18">
        <v>0</v>
      </c>
      <c r="F1574" s="18">
        <v>0</v>
      </c>
      <c r="G1574" s="18">
        <v>0</v>
      </c>
      <c r="H1574" s="18">
        <v>0</v>
      </c>
    </row>
    <row r="1575" spans="2:8">
      <c r="B1575" s="14" t="s">
        <v>7518</v>
      </c>
      <c r="C1575" s="245" t="s">
        <v>2144</v>
      </c>
      <c r="D1575" s="15">
        <v>0</v>
      </c>
      <c r="E1575" s="15">
        <v>0</v>
      </c>
      <c r="F1575" s="15">
        <v>0</v>
      </c>
      <c r="G1575" s="15">
        <v>0</v>
      </c>
      <c r="H1575" s="15">
        <v>0</v>
      </c>
    </row>
    <row r="1576" spans="2:8">
      <c r="B1576" s="17" t="s">
        <v>7519</v>
      </c>
      <c r="C1576" s="246" t="s">
        <v>2145</v>
      </c>
      <c r="D1576" s="18">
        <v>0</v>
      </c>
      <c r="E1576" s="18">
        <v>0</v>
      </c>
      <c r="F1576" s="18">
        <v>0</v>
      </c>
      <c r="G1576" s="18">
        <v>0</v>
      </c>
      <c r="H1576" s="18">
        <v>0</v>
      </c>
    </row>
    <row r="1577" spans="2:8">
      <c r="B1577" s="14" t="s">
        <v>7520</v>
      </c>
      <c r="C1577" s="245" t="s">
        <v>2146</v>
      </c>
      <c r="D1577" s="15">
        <v>0</v>
      </c>
      <c r="E1577" s="15">
        <v>0</v>
      </c>
      <c r="F1577" s="15">
        <v>0</v>
      </c>
      <c r="G1577" s="15">
        <v>0</v>
      </c>
      <c r="H1577" s="15">
        <v>0</v>
      </c>
    </row>
    <row r="1578" spans="2:8">
      <c r="B1578" s="17" t="s">
        <v>7521</v>
      </c>
      <c r="C1578" s="246" t="s">
        <v>2147</v>
      </c>
      <c r="D1578" s="18">
        <v>0</v>
      </c>
      <c r="E1578" s="18">
        <v>0</v>
      </c>
      <c r="F1578" s="18">
        <v>0</v>
      </c>
      <c r="G1578" s="18">
        <v>0</v>
      </c>
      <c r="H1578" s="18">
        <v>0</v>
      </c>
    </row>
    <row r="1579" spans="2:8">
      <c r="B1579" s="14" t="s">
        <v>7522</v>
      </c>
      <c r="C1579" s="245" t="s">
        <v>2148</v>
      </c>
      <c r="D1579" s="15">
        <v>0</v>
      </c>
      <c r="E1579" s="15">
        <v>0</v>
      </c>
      <c r="F1579" s="15">
        <v>0</v>
      </c>
      <c r="G1579" s="15">
        <v>0</v>
      </c>
      <c r="H1579" s="15">
        <v>0</v>
      </c>
    </row>
    <row r="1580" spans="2:8">
      <c r="B1580" s="17" t="s">
        <v>7523</v>
      </c>
      <c r="C1580" s="246" t="s">
        <v>2149</v>
      </c>
      <c r="D1580" s="18">
        <v>0</v>
      </c>
      <c r="E1580" s="18">
        <v>0</v>
      </c>
      <c r="F1580" s="18">
        <v>0</v>
      </c>
      <c r="G1580" s="18">
        <v>0</v>
      </c>
      <c r="H1580" s="18">
        <v>0</v>
      </c>
    </row>
    <row r="1581" spans="2:8">
      <c r="B1581" s="14" t="s">
        <v>7524</v>
      </c>
      <c r="C1581" s="245" t="s">
        <v>2149</v>
      </c>
      <c r="D1581" s="15">
        <v>0</v>
      </c>
      <c r="E1581" s="15">
        <v>0</v>
      </c>
      <c r="F1581" s="15">
        <v>0</v>
      </c>
      <c r="G1581" s="15">
        <v>0</v>
      </c>
      <c r="H1581" s="15">
        <v>0</v>
      </c>
    </row>
    <row r="1582" spans="2:8">
      <c r="B1582" s="17" t="s">
        <v>7525</v>
      </c>
      <c r="C1582" s="246" t="s">
        <v>2149</v>
      </c>
      <c r="D1582" s="18">
        <v>0</v>
      </c>
      <c r="E1582" s="18">
        <v>0</v>
      </c>
      <c r="F1582" s="18">
        <v>0</v>
      </c>
      <c r="G1582" s="18">
        <v>62</v>
      </c>
      <c r="H1582" s="18">
        <v>0</v>
      </c>
    </row>
    <row r="1583" spans="2:8">
      <c r="B1583" s="14" t="s">
        <v>7526</v>
      </c>
      <c r="C1583" s="245" t="s">
        <v>2150</v>
      </c>
      <c r="D1583" s="15">
        <v>0</v>
      </c>
      <c r="E1583" s="15">
        <v>0</v>
      </c>
      <c r="F1583" s="15">
        <v>0</v>
      </c>
      <c r="G1583" s="15">
        <v>0</v>
      </c>
      <c r="H1583" s="15">
        <v>0</v>
      </c>
    </row>
    <row r="1584" spans="2:8">
      <c r="B1584" s="17" t="s">
        <v>7527</v>
      </c>
      <c r="C1584" s="246" t="s">
        <v>2151</v>
      </c>
      <c r="D1584" s="18">
        <v>0</v>
      </c>
      <c r="E1584" s="18">
        <v>0</v>
      </c>
      <c r="F1584" s="18">
        <v>0</v>
      </c>
      <c r="G1584" s="18">
        <v>0</v>
      </c>
      <c r="H1584" s="18">
        <v>0</v>
      </c>
    </row>
    <row r="1585" spans="2:8">
      <c r="B1585" s="14" t="s">
        <v>7528</v>
      </c>
      <c r="C1585" s="245" t="s">
        <v>2152</v>
      </c>
      <c r="D1585" s="15">
        <v>0</v>
      </c>
      <c r="E1585" s="15">
        <v>0</v>
      </c>
      <c r="F1585" s="15">
        <v>0</v>
      </c>
      <c r="G1585" s="15">
        <v>0</v>
      </c>
      <c r="H1585" s="15">
        <v>0</v>
      </c>
    </row>
    <row r="1586" spans="2:8">
      <c r="B1586" s="17" t="s">
        <v>7529</v>
      </c>
      <c r="C1586" s="246" t="s">
        <v>2153</v>
      </c>
      <c r="D1586" s="18">
        <v>0</v>
      </c>
      <c r="E1586" s="18">
        <v>0</v>
      </c>
      <c r="F1586" s="18">
        <v>0</v>
      </c>
      <c r="G1586" s="18">
        <v>0</v>
      </c>
      <c r="H1586" s="18">
        <v>0</v>
      </c>
    </row>
    <row r="1587" spans="2:8">
      <c r="B1587" s="14" t="s">
        <v>7530</v>
      </c>
      <c r="C1587" s="245" t="s">
        <v>2154</v>
      </c>
      <c r="D1587" s="15">
        <v>0</v>
      </c>
      <c r="E1587" s="15">
        <v>0</v>
      </c>
      <c r="F1587" s="15">
        <v>0</v>
      </c>
      <c r="G1587" s="15">
        <v>0</v>
      </c>
      <c r="H1587" s="15">
        <v>0</v>
      </c>
    </row>
    <row r="1588" spans="2:8">
      <c r="B1588" s="17" t="s">
        <v>7531</v>
      </c>
      <c r="C1588" s="246" t="s">
        <v>2155</v>
      </c>
      <c r="D1588" s="18">
        <v>0</v>
      </c>
      <c r="E1588" s="18">
        <v>0</v>
      </c>
      <c r="F1588" s="18">
        <v>0</v>
      </c>
      <c r="G1588" s="18">
        <v>0</v>
      </c>
      <c r="H1588" s="18">
        <v>0</v>
      </c>
    </row>
    <row r="1589" spans="2:8">
      <c r="B1589" s="14" t="s">
        <v>7532</v>
      </c>
      <c r="C1589" s="245" t="s">
        <v>2156</v>
      </c>
      <c r="D1589" s="15">
        <v>0</v>
      </c>
      <c r="E1589" s="15">
        <v>0</v>
      </c>
      <c r="F1589" s="15">
        <v>0</v>
      </c>
      <c r="G1589" s="15">
        <v>0</v>
      </c>
      <c r="H1589" s="15">
        <v>0</v>
      </c>
    </row>
    <row r="1590" spans="2:8">
      <c r="B1590" s="17" t="s">
        <v>7533</v>
      </c>
      <c r="C1590" s="246" t="s">
        <v>2157</v>
      </c>
      <c r="D1590" s="18">
        <v>0</v>
      </c>
      <c r="E1590" s="18">
        <v>0</v>
      </c>
      <c r="F1590" s="18">
        <v>0</v>
      </c>
      <c r="G1590" s="18">
        <v>0</v>
      </c>
      <c r="H1590" s="18">
        <v>0</v>
      </c>
    </row>
    <row r="1591" spans="2:8">
      <c r="B1591" s="14" t="s">
        <v>7534</v>
      </c>
      <c r="C1591" s="245" t="s">
        <v>2158</v>
      </c>
      <c r="D1591" s="15">
        <v>0</v>
      </c>
      <c r="E1591" s="15">
        <v>0</v>
      </c>
      <c r="F1591" s="15">
        <v>0</v>
      </c>
      <c r="G1591" s="15">
        <v>0</v>
      </c>
      <c r="H1591" s="15">
        <v>0</v>
      </c>
    </row>
    <row r="1592" spans="2:8">
      <c r="B1592" s="17" t="s">
        <v>7535</v>
      </c>
      <c r="C1592" s="246" t="s">
        <v>2158</v>
      </c>
      <c r="D1592" s="18">
        <v>0</v>
      </c>
      <c r="E1592" s="18">
        <v>0</v>
      </c>
      <c r="F1592" s="18">
        <v>0</v>
      </c>
      <c r="G1592" s="18">
        <v>0</v>
      </c>
      <c r="H1592" s="18">
        <v>0</v>
      </c>
    </row>
    <row r="1593" spans="2:8">
      <c r="B1593" s="14" t="s">
        <v>7536</v>
      </c>
      <c r="C1593" s="245" t="s">
        <v>2159</v>
      </c>
      <c r="D1593" s="15">
        <v>0</v>
      </c>
      <c r="E1593" s="15">
        <v>0</v>
      </c>
      <c r="F1593" s="15">
        <v>0</v>
      </c>
      <c r="G1593" s="15">
        <v>0</v>
      </c>
      <c r="H1593" s="15">
        <v>0</v>
      </c>
    </row>
    <row r="1594" spans="2:8">
      <c r="B1594" s="17" t="s">
        <v>7537</v>
      </c>
      <c r="C1594" s="246" t="s">
        <v>2160</v>
      </c>
      <c r="D1594" s="18">
        <v>0</v>
      </c>
      <c r="E1594" s="18">
        <v>0</v>
      </c>
      <c r="F1594" s="18">
        <v>0</v>
      </c>
      <c r="G1594" s="18">
        <v>0</v>
      </c>
      <c r="H1594" s="18">
        <v>0</v>
      </c>
    </row>
    <row r="1595" spans="2:8">
      <c r="B1595" s="14" t="s">
        <v>7538</v>
      </c>
      <c r="C1595" s="245" t="s">
        <v>2161</v>
      </c>
      <c r="D1595" s="15">
        <v>0</v>
      </c>
      <c r="E1595" s="15">
        <v>0</v>
      </c>
      <c r="F1595" s="15">
        <v>0</v>
      </c>
      <c r="G1595" s="15">
        <v>0</v>
      </c>
      <c r="H1595" s="15">
        <v>0</v>
      </c>
    </row>
    <row r="1596" spans="2:8">
      <c r="B1596" s="17" t="s">
        <v>7539</v>
      </c>
      <c r="C1596" s="246" t="s">
        <v>2162</v>
      </c>
      <c r="D1596" s="18">
        <v>0</v>
      </c>
      <c r="E1596" s="18">
        <v>0</v>
      </c>
      <c r="F1596" s="18">
        <v>0</v>
      </c>
      <c r="G1596" s="18">
        <v>0</v>
      </c>
      <c r="H1596" s="18">
        <v>0</v>
      </c>
    </row>
    <row r="1597" spans="2:8">
      <c r="B1597" s="14" t="s">
        <v>7540</v>
      </c>
      <c r="C1597" s="245" t="s">
        <v>2163</v>
      </c>
      <c r="D1597" s="15">
        <v>0</v>
      </c>
      <c r="E1597" s="15">
        <v>0</v>
      </c>
      <c r="F1597" s="15">
        <v>0</v>
      </c>
      <c r="G1597" s="15">
        <v>0</v>
      </c>
      <c r="H1597" s="15">
        <v>0</v>
      </c>
    </row>
    <row r="1598" spans="2:8">
      <c r="B1598" s="17" t="s">
        <v>7541</v>
      </c>
      <c r="C1598" s="246" t="s">
        <v>2164</v>
      </c>
      <c r="D1598" s="18">
        <v>0</v>
      </c>
      <c r="E1598" s="18">
        <v>0</v>
      </c>
      <c r="F1598" s="18">
        <v>0</v>
      </c>
      <c r="G1598" s="18">
        <v>0</v>
      </c>
      <c r="H1598" s="18">
        <v>0</v>
      </c>
    </row>
    <row r="1599" spans="2:8">
      <c r="B1599" s="14" t="s">
        <v>7542</v>
      </c>
      <c r="C1599" s="245" t="s">
        <v>2165</v>
      </c>
      <c r="D1599" s="15">
        <v>0</v>
      </c>
      <c r="E1599" s="15">
        <v>0</v>
      </c>
      <c r="F1599" s="15">
        <v>0</v>
      </c>
      <c r="G1599" s="15">
        <v>0</v>
      </c>
      <c r="H1599" s="15">
        <v>0</v>
      </c>
    </row>
    <row r="1600" spans="2:8">
      <c r="B1600" s="17" t="s">
        <v>7543</v>
      </c>
      <c r="C1600" s="246" t="s">
        <v>2166</v>
      </c>
      <c r="D1600" s="18">
        <v>0</v>
      </c>
      <c r="E1600" s="18">
        <v>0</v>
      </c>
      <c r="F1600" s="18">
        <v>0</v>
      </c>
      <c r="G1600" s="18">
        <v>0</v>
      </c>
      <c r="H1600" s="18">
        <v>0</v>
      </c>
    </row>
    <row r="1601" spans="2:8">
      <c r="B1601" s="14" t="s">
        <v>7544</v>
      </c>
      <c r="C1601" s="245" t="s">
        <v>2167</v>
      </c>
      <c r="D1601" s="15">
        <v>0</v>
      </c>
      <c r="E1601" s="15">
        <v>0</v>
      </c>
      <c r="F1601" s="15">
        <v>0</v>
      </c>
      <c r="G1601" s="15">
        <v>0</v>
      </c>
      <c r="H1601" s="15">
        <v>0</v>
      </c>
    </row>
    <row r="1602" spans="2:8">
      <c r="B1602" s="17" t="s">
        <v>7545</v>
      </c>
      <c r="C1602" s="246" t="s">
        <v>2168</v>
      </c>
      <c r="D1602" s="18">
        <v>0</v>
      </c>
      <c r="E1602" s="18">
        <v>0</v>
      </c>
      <c r="F1602" s="18">
        <v>0</v>
      </c>
      <c r="G1602" s="18">
        <v>0</v>
      </c>
      <c r="H1602" s="18">
        <v>0</v>
      </c>
    </row>
    <row r="1603" spans="2:8">
      <c r="B1603" s="14" t="s">
        <v>7546</v>
      </c>
      <c r="C1603" s="245" t="s">
        <v>2169</v>
      </c>
      <c r="D1603" s="15">
        <v>0</v>
      </c>
      <c r="E1603" s="15">
        <v>0</v>
      </c>
      <c r="F1603" s="15">
        <v>0</v>
      </c>
      <c r="G1603" s="15">
        <v>0</v>
      </c>
      <c r="H1603" s="15">
        <v>0</v>
      </c>
    </row>
    <row r="1604" spans="2:8">
      <c r="B1604" s="17" t="s">
        <v>7547</v>
      </c>
      <c r="C1604" s="246" t="s">
        <v>2170</v>
      </c>
      <c r="D1604" s="18">
        <v>0</v>
      </c>
      <c r="E1604" s="18">
        <v>0</v>
      </c>
      <c r="F1604" s="18">
        <v>0</v>
      </c>
      <c r="G1604" s="18">
        <v>0</v>
      </c>
      <c r="H1604" s="18">
        <v>0</v>
      </c>
    </row>
    <row r="1605" spans="2:8">
      <c r="B1605" s="14" t="s">
        <v>7548</v>
      </c>
      <c r="C1605" s="245" t="s">
        <v>2171</v>
      </c>
      <c r="D1605" s="15">
        <v>0</v>
      </c>
      <c r="E1605" s="15">
        <v>0</v>
      </c>
      <c r="F1605" s="15">
        <v>0</v>
      </c>
      <c r="G1605" s="15">
        <v>0</v>
      </c>
      <c r="H1605" s="15">
        <v>0</v>
      </c>
    </row>
    <row r="1606" spans="2:8">
      <c r="B1606" s="17" t="s">
        <v>7549</v>
      </c>
      <c r="C1606" s="246" t="s">
        <v>2172</v>
      </c>
      <c r="D1606" s="18">
        <v>0</v>
      </c>
      <c r="E1606" s="18">
        <v>0</v>
      </c>
      <c r="F1606" s="18">
        <v>0</v>
      </c>
      <c r="G1606" s="18">
        <v>0</v>
      </c>
      <c r="H1606" s="18">
        <v>0</v>
      </c>
    </row>
    <row r="1607" spans="2:8">
      <c r="B1607" s="14" t="s">
        <v>7550</v>
      </c>
      <c r="C1607" s="245" t="s">
        <v>2173</v>
      </c>
      <c r="D1607" s="15">
        <v>0</v>
      </c>
      <c r="E1607" s="15">
        <v>0</v>
      </c>
      <c r="F1607" s="15">
        <v>21</v>
      </c>
      <c r="G1607" s="15">
        <v>248</v>
      </c>
      <c r="H1607" s="15">
        <v>0</v>
      </c>
    </row>
    <row r="1608" spans="2:8">
      <c r="B1608" s="17" t="s">
        <v>7551</v>
      </c>
      <c r="C1608" s="246" t="s">
        <v>2174</v>
      </c>
      <c r="D1608" s="18">
        <v>0</v>
      </c>
      <c r="E1608" s="18">
        <v>0</v>
      </c>
      <c r="F1608" s="18">
        <v>0</v>
      </c>
      <c r="G1608" s="18">
        <v>0</v>
      </c>
      <c r="H1608" s="18">
        <v>0</v>
      </c>
    </row>
    <row r="1609" spans="2:8">
      <c r="B1609" s="14" t="s">
        <v>7552</v>
      </c>
      <c r="C1609" s="245" t="s">
        <v>2175</v>
      </c>
      <c r="D1609" s="15">
        <v>0</v>
      </c>
      <c r="E1609" s="15">
        <v>0</v>
      </c>
      <c r="F1609" s="15">
        <v>0</v>
      </c>
      <c r="G1609" s="15">
        <v>0</v>
      </c>
      <c r="H1609" s="15">
        <v>0</v>
      </c>
    </row>
    <row r="1610" spans="2:8">
      <c r="B1610" s="17" t="s">
        <v>7553</v>
      </c>
      <c r="C1610" s="246" t="s">
        <v>2176</v>
      </c>
      <c r="D1610" s="18">
        <v>0</v>
      </c>
      <c r="E1610" s="18">
        <v>0</v>
      </c>
      <c r="F1610" s="18">
        <v>0</v>
      </c>
      <c r="G1610" s="18">
        <v>0</v>
      </c>
      <c r="H1610" s="18">
        <v>0</v>
      </c>
    </row>
    <row r="1611" spans="2:8">
      <c r="B1611" s="14" t="s">
        <v>7554</v>
      </c>
      <c r="C1611" s="245" t="s">
        <v>2177</v>
      </c>
      <c r="D1611" s="15">
        <v>0</v>
      </c>
      <c r="E1611" s="15">
        <v>0</v>
      </c>
      <c r="F1611" s="15">
        <v>0</v>
      </c>
      <c r="G1611" s="15">
        <v>0</v>
      </c>
      <c r="H1611" s="15">
        <v>0</v>
      </c>
    </row>
    <row r="1612" spans="2:8">
      <c r="B1612" s="17" t="s">
        <v>7555</v>
      </c>
      <c r="C1612" s="246" t="s">
        <v>2178</v>
      </c>
      <c r="D1612" s="18">
        <v>0</v>
      </c>
      <c r="E1612" s="18">
        <v>0</v>
      </c>
      <c r="F1612" s="18">
        <v>0</v>
      </c>
      <c r="G1612" s="18">
        <v>0</v>
      </c>
      <c r="H1612" s="18">
        <v>0</v>
      </c>
    </row>
    <row r="1613" spans="2:8">
      <c r="B1613" s="14" t="s">
        <v>7556</v>
      </c>
      <c r="C1613" s="245" t="s">
        <v>2179</v>
      </c>
      <c r="D1613" s="15">
        <v>0</v>
      </c>
      <c r="E1613" s="15">
        <v>0</v>
      </c>
      <c r="F1613" s="15">
        <v>0</v>
      </c>
      <c r="G1613" s="15">
        <v>6</v>
      </c>
      <c r="H1613" s="15">
        <v>0</v>
      </c>
    </row>
    <row r="1614" spans="2:8">
      <c r="B1614" s="17" t="s">
        <v>7557</v>
      </c>
      <c r="C1614" s="246" t="s">
        <v>2179</v>
      </c>
      <c r="D1614" s="18">
        <v>0</v>
      </c>
      <c r="E1614" s="18">
        <v>0</v>
      </c>
      <c r="F1614" s="18">
        <v>0</v>
      </c>
      <c r="G1614" s="18">
        <v>0</v>
      </c>
      <c r="H1614" s="18">
        <v>0</v>
      </c>
    </row>
    <row r="1615" spans="2:8">
      <c r="B1615" s="14" t="s">
        <v>7558</v>
      </c>
      <c r="C1615" s="245" t="s">
        <v>1823</v>
      </c>
      <c r="D1615" s="15">
        <v>0</v>
      </c>
      <c r="E1615" s="15">
        <v>0</v>
      </c>
      <c r="F1615" s="15">
        <v>0</v>
      </c>
      <c r="G1615" s="15">
        <v>0</v>
      </c>
      <c r="H1615" s="15">
        <v>0</v>
      </c>
    </row>
    <row r="1616" spans="2:8">
      <c r="B1616" s="17" t="s">
        <v>7559</v>
      </c>
      <c r="C1616" s="246" t="s">
        <v>1716</v>
      </c>
      <c r="D1616" s="18">
        <v>0</v>
      </c>
      <c r="E1616" s="18">
        <v>0</v>
      </c>
      <c r="F1616" s="18">
        <v>9</v>
      </c>
      <c r="G1616" s="18">
        <v>0</v>
      </c>
      <c r="H1616" s="18">
        <v>0</v>
      </c>
    </row>
    <row r="1617" spans="2:8">
      <c r="B1617" s="14" t="s">
        <v>7560</v>
      </c>
      <c r="C1617" s="245" t="s">
        <v>1716</v>
      </c>
      <c r="D1617" s="15">
        <v>0</v>
      </c>
      <c r="E1617" s="15">
        <v>0</v>
      </c>
      <c r="F1617" s="15">
        <v>0</v>
      </c>
      <c r="G1617" s="15">
        <v>0</v>
      </c>
      <c r="H1617" s="15">
        <v>0</v>
      </c>
    </row>
    <row r="1618" spans="2:8">
      <c r="B1618" s="17" t="s">
        <v>7561</v>
      </c>
      <c r="C1618" s="246" t="s">
        <v>1193</v>
      </c>
      <c r="D1618" s="18">
        <v>0</v>
      </c>
      <c r="E1618" s="18">
        <v>0</v>
      </c>
      <c r="F1618" s="18">
        <v>0</v>
      </c>
      <c r="G1618" s="18">
        <v>0</v>
      </c>
      <c r="H1618" s="18">
        <v>0</v>
      </c>
    </row>
    <row r="1619" spans="2:8">
      <c r="B1619" s="14" t="s">
        <v>7562</v>
      </c>
      <c r="C1619" s="245" t="s">
        <v>2180</v>
      </c>
      <c r="D1619" s="15">
        <v>24</v>
      </c>
      <c r="E1619" s="15">
        <v>20</v>
      </c>
      <c r="F1619" s="15">
        <v>0</v>
      </c>
      <c r="G1619" s="15">
        <v>2</v>
      </c>
      <c r="H1619" s="15">
        <v>0</v>
      </c>
    </row>
    <row r="1620" spans="2:8">
      <c r="B1620" s="17" t="s">
        <v>7563</v>
      </c>
      <c r="C1620" s="246" t="s">
        <v>2181</v>
      </c>
      <c r="D1620" s="18">
        <v>0</v>
      </c>
      <c r="E1620" s="18">
        <v>0</v>
      </c>
      <c r="F1620" s="18">
        <v>0</v>
      </c>
      <c r="G1620" s="18">
        <v>0</v>
      </c>
      <c r="H1620" s="18">
        <v>0</v>
      </c>
    </row>
    <row r="1621" spans="2:8">
      <c r="B1621" s="14" t="s">
        <v>7564</v>
      </c>
      <c r="C1621" s="245" t="s">
        <v>2182</v>
      </c>
      <c r="D1621" s="15">
        <v>0</v>
      </c>
      <c r="E1621" s="15">
        <v>0</v>
      </c>
      <c r="F1621" s="15">
        <v>0</v>
      </c>
      <c r="G1621" s="15">
        <v>0</v>
      </c>
      <c r="H1621" s="15">
        <v>0</v>
      </c>
    </row>
    <row r="1622" spans="2:8">
      <c r="B1622" s="17" t="s">
        <v>7565</v>
      </c>
      <c r="C1622" s="246" t="s">
        <v>1375</v>
      </c>
      <c r="D1622" s="18">
        <v>0</v>
      </c>
      <c r="E1622" s="18">
        <v>0</v>
      </c>
      <c r="F1622" s="18">
        <v>0</v>
      </c>
      <c r="G1622" s="18">
        <v>0</v>
      </c>
      <c r="H1622" s="18">
        <v>0</v>
      </c>
    </row>
    <row r="1623" spans="2:8">
      <c r="B1623" s="14" t="s">
        <v>7566</v>
      </c>
      <c r="C1623" s="245" t="s">
        <v>1375</v>
      </c>
      <c r="D1623" s="15">
        <v>0</v>
      </c>
      <c r="E1623" s="15">
        <v>0</v>
      </c>
      <c r="F1623" s="15">
        <v>0</v>
      </c>
      <c r="G1623" s="15">
        <v>0</v>
      </c>
      <c r="H1623" s="15">
        <v>0</v>
      </c>
    </row>
    <row r="1624" spans="2:8">
      <c r="B1624" s="17" t="s">
        <v>7567</v>
      </c>
      <c r="C1624" s="246" t="s">
        <v>1375</v>
      </c>
      <c r="D1624" s="18">
        <v>1</v>
      </c>
      <c r="E1624" s="18">
        <v>1</v>
      </c>
      <c r="F1624" s="18">
        <v>0</v>
      </c>
      <c r="G1624" s="18">
        <v>3</v>
      </c>
      <c r="H1624" s="18">
        <v>0</v>
      </c>
    </row>
    <row r="1625" spans="2:8">
      <c r="B1625" s="14" t="s">
        <v>7568</v>
      </c>
      <c r="C1625" s="245" t="s">
        <v>1375</v>
      </c>
      <c r="D1625" s="15">
        <v>0</v>
      </c>
      <c r="E1625" s="15">
        <v>0</v>
      </c>
      <c r="F1625" s="15">
        <v>0</v>
      </c>
      <c r="G1625" s="15">
        <v>0</v>
      </c>
      <c r="H1625" s="15">
        <v>0</v>
      </c>
    </row>
    <row r="1626" spans="2:8">
      <c r="B1626" s="17" t="s">
        <v>7569</v>
      </c>
      <c r="C1626" s="246" t="s">
        <v>2183</v>
      </c>
      <c r="D1626" s="18">
        <v>0</v>
      </c>
      <c r="E1626" s="18">
        <v>0</v>
      </c>
      <c r="F1626" s="18">
        <v>0</v>
      </c>
      <c r="G1626" s="18">
        <v>0</v>
      </c>
      <c r="H1626" s="18">
        <v>0</v>
      </c>
    </row>
    <row r="1627" spans="2:8">
      <c r="B1627" s="14" t="s">
        <v>7570</v>
      </c>
      <c r="C1627" s="245" t="s">
        <v>2184</v>
      </c>
      <c r="D1627" s="15">
        <v>0</v>
      </c>
      <c r="E1627" s="15">
        <v>0</v>
      </c>
      <c r="F1627" s="15">
        <v>0</v>
      </c>
      <c r="G1627" s="15">
        <v>0</v>
      </c>
      <c r="H1627" s="15">
        <v>0</v>
      </c>
    </row>
    <row r="1628" spans="2:8">
      <c r="B1628" s="17" t="s">
        <v>7571</v>
      </c>
      <c r="C1628" s="246" t="s">
        <v>2185</v>
      </c>
      <c r="D1628" s="18">
        <v>0</v>
      </c>
      <c r="E1628" s="18">
        <v>0</v>
      </c>
      <c r="F1628" s="18">
        <v>0</v>
      </c>
      <c r="G1628" s="18">
        <v>0</v>
      </c>
      <c r="H1628" s="18">
        <v>0</v>
      </c>
    </row>
    <row r="1629" spans="2:8">
      <c r="B1629" s="14" t="s">
        <v>7572</v>
      </c>
      <c r="C1629" s="245" t="s">
        <v>2186</v>
      </c>
      <c r="D1629" s="15">
        <v>0</v>
      </c>
      <c r="E1629" s="15">
        <v>0</v>
      </c>
      <c r="F1629" s="15">
        <v>11</v>
      </c>
      <c r="G1629" s="15">
        <v>54</v>
      </c>
      <c r="H1629" s="15">
        <v>0</v>
      </c>
    </row>
    <row r="1630" spans="2:8">
      <c r="B1630" s="17" t="s">
        <v>7573</v>
      </c>
      <c r="C1630" s="246" t="s">
        <v>2187</v>
      </c>
      <c r="D1630" s="18">
        <v>0</v>
      </c>
      <c r="E1630" s="18">
        <v>0</v>
      </c>
      <c r="F1630" s="18">
        <v>0</v>
      </c>
      <c r="G1630" s="18">
        <v>0</v>
      </c>
      <c r="H1630" s="18">
        <v>0</v>
      </c>
    </row>
    <row r="1631" spans="2:8">
      <c r="B1631" s="14" t="s">
        <v>7574</v>
      </c>
      <c r="C1631" s="245" t="s">
        <v>2188</v>
      </c>
      <c r="D1631" s="15">
        <v>0</v>
      </c>
      <c r="E1631" s="15">
        <v>0</v>
      </c>
      <c r="F1631" s="15">
        <v>0</v>
      </c>
      <c r="G1631" s="15">
        <v>0</v>
      </c>
      <c r="H1631" s="15">
        <v>0</v>
      </c>
    </row>
    <row r="1632" spans="2:8">
      <c r="B1632" s="17" t="s">
        <v>7575</v>
      </c>
      <c r="C1632" s="246" t="s">
        <v>2189</v>
      </c>
      <c r="D1632" s="18">
        <v>0</v>
      </c>
      <c r="E1632" s="18">
        <v>0</v>
      </c>
      <c r="F1632" s="18">
        <v>0</v>
      </c>
      <c r="G1632" s="18">
        <v>0</v>
      </c>
      <c r="H1632" s="18">
        <v>0</v>
      </c>
    </row>
    <row r="1633" spans="2:8">
      <c r="B1633" s="14" t="s">
        <v>7576</v>
      </c>
      <c r="C1633" s="245" t="s">
        <v>2190</v>
      </c>
      <c r="D1633" s="15">
        <v>0</v>
      </c>
      <c r="E1633" s="15">
        <v>0</v>
      </c>
      <c r="F1633" s="15">
        <v>0</v>
      </c>
      <c r="G1633" s="15">
        <v>0</v>
      </c>
      <c r="H1633" s="15">
        <v>0</v>
      </c>
    </row>
    <row r="1634" spans="2:8">
      <c r="B1634" s="17" t="s">
        <v>7577</v>
      </c>
      <c r="C1634" s="246" t="s">
        <v>2191</v>
      </c>
      <c r="D1634" s="18">
        <v>0</v>
      </c>
      <c r="E1634" s="18">
        <v>0</v>
      </c>
      <c r="F1634" s="18">
        <v>0</v>
      </c>
      <c r="G1634" s="18">
        <v>0</v>
      </c>
      <c r="H1634" s="18">
        <v>0</v>
      </c>
    </row>
    <row r="1635" spans="2:8">
      <c r="B1635" s="14" t="s">
        <v>7578</v>
      </c>
      <c r="C1635" s="245" t="s">
        <v>2192</v>
      </c>
      <c r="D1635" s="15">
        <v>0</v>
      </c>
      <c r="E1635" s="15">
        <v>0</v>
      </c>
      <c r="F1635" s="15">
        <v>0</v>
      </c>
      <c r="G1635" s="15">
        <v>0</v>
      </c>
      <c r="H1635" s="15">
        <v>0</v>
      </c>
    </row>
    <row r="1636" spans="2:8">
      <c r="B1636" s="17" t="s">
        <v>7579</v>
      </c>
      <c r="C1636" s="246" t="s">
        <v>2193</v>
      </c>
      <c r="D1636" s="18">
        <v>0</v>
      </c>
      <c r="E1636" s="18">
        <v>0</v>
      </c>
      <c r="F1636" s="18">
        <v>0</v>
      </c>
      <c r="G1636" s="18">
        <v>0</v>
      </c>
      <c r="H1636" s="18">
        <v>0</v>
      </c>
    </row>
    <row r="1637" spans="2:8">
      <c r="B1637" s="14" t="s">
        <v>7580</v>
      </c>
      <c r="C1637" s="245" t="s">
        <v>2194</v>
      </c>
      <c r="D1637" s="15">
        <v>0</v>
      </c>
      <c r="E1637" s="15">
        <v>0</v>
      </c>
      <c r="F1637" s="15">
        <v>0</v>
      </c>
      <c r="G1637" s="15">
        <v>0</v>
      </c>
      <c r="H1637" s="15">
        <v>0</v>
      </c>
    </row>
    <row r="1638" spans="2:8">
      <c r="B1638" s="17" t="s">
        <v>7581</v>
      </c>
      <c r="C1638" s="246" t="s">
        <v>2195</v>
      </c>
      <c r="D1638" s="18">
        <v>0</v>
      </c>
      <c r="E1638" s="18">
        <v>0</v>
      </c>
      <c r="F1638" s="18">
        <v>0</v>
      </c>
      <c r="G1638" s="18">
        <v>0</v>
      </c>
      <c r="H1638" s="18">
        <v>0</v>
      </c>
    </row>
    <row r="1639" spans="2:8">
      <c r="B1639" s="14" t="s">
        <v>7582</v>
      </c>
      <c r="C1639" s="245" t="s">
        <v>2196</v>
      </c>
      <c r="D1639" s="15">
        <v>0</v>
      </c>
      <c r="E1639" s="15">
        <v>0</v>
      </c>
      <c r="F1639" s="15">
        <v>0</v>
      </c>
      <c r="G1639" s="15">
        <v>0</v>
      </c>
      <c r="H1639" s="15">
        <v>0</v>
      </c>
    </row>
    <row r="1640" spans="2:8">
      <c r="B1640" s="17" t="s">
        <v>7583</v>
      </c>
      <c r="C1640" s="246" t="s">
        <v>2197</v>
      </c>
      <c r="D1640" s="18">
        <v>0</v>
      </c>
      <c r="E1640" s="18">
        <v>0</v>
      </c>
      <c r="F1640" s="18">
        <v>0</v>
      </c>
      <c r="G1640" s="18">
        <v>0</v>
      </c>
      <c r="H1640" s="18">
        <v>0</v>
      </c>
    </row>
    <row r="1641" spans="2:8">
      <c r="B1641" s="14" t="s">
        <v>7584</v>
      </c>
      <c r="C1641" s="245" t="s">
        <v>2198</v>
      </c>
      <c r="D1641" s="15">
        <v>0</v>
      </c>
      <c r="E1641" s="15">
        <v>0</v>
      </c>
      <c r="F1641" s="15">
        <v>0</v>
      </c>
      <c r="G1641" s="15">
        <v>0</v>
      </c>
      <c r="H1641" s="15">
        <v>0</v>
      </c>
    </row>
    <row r="1642" spans="2:8">
      <c r="B1642" s="17" t="s">
        <v>7585</v>
      </c>
      <c r="C1642" s="246" t="s">
        <v>2199</v>
      </c>
      <c r="D1642" s="18">
        <v>0</v>
      </c>
      <c r="E1642" s="18">
        <v>0</v>
      </c>
      <c r="F1642" s="18">
        <v>0</v>
      </c>
      <c r="G1642" s="18">
        <v>0</v>
      </c>
      <c r="H1642" s="18">
        <v>0</v>
      </c>
    </row>
    <row r="1643" spans="2:8">
      <c r="B1643" s="14" t="s">
        <v>7586</v>
      </c>
      <c r="C1643" s="245" t="s">
        <v>2200</v>
      </c>
      <c r="D1643" s="15">
        <v>0</v>
      </c>
      <c r="E1643" s="15">
        <v>0</v>
      </c>
      <c r="F1643" s="15">
        <v>0</v>
      </c>
      <c r="G1643" s="15">
        <v>0</v>
      </c>
      <c r="H1643" s="15">
        <v>0</v>
      </c>
    </row>
    <row r="1644" spans="2:8">
      <c r="B1644" s="17" t="s">
        <v>7587</v>
      </c>
      <c r="C1644" s="246" t="s">
        <v>1396</v>
      </c>
      <c r="D1644" s="18">
        <v>0</v>
      </c>
      <c r="E1644" s="18">
        <v>0</v>
      </c>
      <c r="F1644" s="18">
        <v>0</v>
      </c>
      <c r="G1644" s="18">
        <v>0</v>
      </c>
      <c r="H1644" s="18">
        <v>0</v>
      </c>
    </row>
    <row r="1645" spans="2:8">
      <c r="B1645" s="14" t="s">
        <v>7588</v>
      </c>
      <c r="C1645" s="245" t="s">
        <v>2201</v>
      </c>
      <c r="D1645" s="15">
        <v>0</v>
      </c>
      <c r="E1645" s="15">
        <v>0</v>
      </c>
      <c r="F1645" s="15">
        <v>0</v>
      </c>
      <c r="G1645" s="15">
        <v>0</v>
      </c>
      <c r="H1645" s="15">
        <v>0</v>
      </c>
    </row>
    <row r="1646" spans="2:8">
      <c r="B1646" s="17" t="s">
        <v>7589</v>
      </c>
      <c r="C1646" s="246" t="s">
        <v>2201</v>
      </c>
      <c r="D1646" s="18">
        <v>0</v>
      </c>
      <c r="E1646" s="18">
        <v>0</v>
      </c>
      <c r="F1646" s="18">
        <v>0</v>
      </c>
      <c r="G1646" s="18">
        <v>0</v>
      </c>
      <c r="H1646" s="18">
        <v>0</v>
      </c>
    </row>
    <row r="1647" spans="2:8">
      <c r="B1647" s="14" t="s">
        <v>7590</v>
      </c>
      <c r="C1647" s="245" t="s">
        <v>2200</v>
      </c>
      <c r="D1647" s="15">
        <v>0</v>
      </c>
      <c r="E1647" s="15">
        <v>0</v>
      </c>
      <c r="F1647" s="15">
        <v>0</v>
      </c>
      <c r="G1647" s="15">
        <v>0</v>
      </c>
      <c r="H1647" s="15">
        <v>0</v>
      </c>
    </row>
    <row r="1648" spans="2:8">
      <c r="B1648" s="17" t="s">
        <v>7591</v>
      </c>
      <c r="C1648" s="246" t="s">
        <v>2202</v>
      </c>
      <c r="D1648" s="18">
        <v>0</v>
      </c>
      <c r="E1648" s="18">
        <v>0</v>
      </c>
      <c r="F1648" s="18">
        <v>0</v>
      </c>
      <c r="G1648" s="18">
        <v>0</v>
      </c>
      <c r="H1648" s="18">
        <v>0</v>
      </c>
    </row>
    <row r="1649" spans="2:8">
      <c r="B1649" s="14" t="s">
        <v>7592</v>
      </c>
      <c r="C1649" s="245" t="s">
        <v>2203</v>
      </c>
      <c r="D1649" s="15">
        <v>0</v>
      </c>
      <c r="E1649" s="15">
        <v>0</v>
      </c>
      <c r="F1649" s="15">
        <v>0</v>
      </c>
      <c r="G1649" s="15">
        <v>0</v>
      </c>
      <c r="H1649" s="15">
        <v>0</v>
      </c>
    </row>
    <row r="1650" spans="2:8">
      <c r="B1650" s="17" t="s">
        <v>7593</v>
      </c>
      <c r="C1650" s="246" t="s">
        <v>2203</v>
      </c>
      <c r="D1650" s="18">
        <v>0</v>
      </c>
      <c r="E1650" s="18">
        <v>0</v>
      </c>
      <c r="F1650" s="18">
        <v>0</v>
      </c>
      <c r="G1650" s="18">
        <v>0</v>
      </c>
      <c r="H1650" s="18">
        <v>0</v>
      </c>
    </row>
    <row r="1651" spans="2:8">
      <c r="B1651" s="14" t="s">
        <v>7594</v>
      </c>
      <c r="C1651" s="245" t="s">
        <v>2204</v>
      </c>
      <c r="D1651" s="15">
        <v>0</v>
      </c>
      <c r="E1651" s="15">
        <v>0</v>
      </c>
      <c r="F1651" s="15">
        <v>0</v>
      </c>
      <c r="G1651" s="15">
        <v>0</v>
      </c>
      <c r="H1651" s="15">
        <v>0</v>
      </c>
    </row>
    <row r="1652" spans="2:8">
      <c r="B1652" s="17" t="s">
        <v>7595</v>
      </c>
      <c r="C1652" s="246" t="s">
        <v>2204</v>
      </c>
      <c r="D1652" s="18">
        <v>0</v>
      </c>
      <c r="E1652" s="18">
        <v>0</v>
      </c>
      <c r="F1652" s="18">
        <v>0</v>
      </c>
      <c r="G1652" s="18">
        <v>1</v>
      </c>
      <c r="H1652" s="18">
        <v>0</v>
      </c>
    </row>
    <row r="1653" spans="2:8">
      <c r="B1653" s="14" t="s">
        <v>7596</v>
      </c>
      <c r="C1653" s="245" t="s">
        <v>2205</v>
      </c>
      <c r="D1653" s="15">
        <v>0</v>
      </c>
      <c r="E1653" s="15">
        <v>0</v>
      </c>
      <c r="F1653" s="15">
        <v>0</v>
      </c>
      <c r="G1653" s="15">
        <v>0</v>
      </c>
      <c r="H1653" s="15">
        <v>0</v>
      </c>
    </row>
    <row r="1654" spans="2:8">
      <c r="B1654" s="17" t="s">
        <v>7597</v>
      </c>
      <c r="C1654" s="246" t="s">
        <v>2206</v>
      </c>
      <c r="D1654" s="18">
        <v>0</v>
      </c>
      <c r="E1654" s="18">
        <v>0</v>
      </c>
      <c r="F1654" s="18">
        <v>0</v>
      </c>
      <c r="G1654" s="18">
        <v>0</v>
      </c>
      <c r="H1654" s="18">
        <v>0</v>
      </c>
    </row>
    <row r="1655" spans="2:8">
      <c r="B1655" s="14" t="s">
        <v>7598</v>
      </c>
      <c r="C1655" s="245" t="s">
        <v>2207</v>
      </c>
      <c r="D1655" s="15">
        <v>0</v>
      </c>
      <c r="E1655" s="15">
        <v>0</v>
      </c>
      <c r="F1655" s="15">
        <v>0</v>
      </c>
      <c r="G1655" s="15">
        <v>0</v>
      </c>
      <c r="H1655" s="15">
        <v>0</v>
      </c>
    </row>
    <row r="1656" spans="2:8">
      <c r="B1656" s="17" t="s">
        <v>7599</v>
      </c>
      <c r="C1656" s="246" t="s">
        <v>2208</v>
      </c>
      <c r="D1656" s="18">
        <v>0</v>
      </c>
      <c r="E1656" s="18">
        <v>0</v>
      </c>
      <c r="F1656" s="18">
        <v>0</v>
      </c>
      <c r="G1656" s="18">
        <v>0</v>
      </c>
      <c r="H1656" s="18">
        <v>0</v>
      </c>
    </row>
    <row r="1657" spans="2:8">
      <c r="B1657" s="14" t="s">
        <v>7600</v>
      </c>
      <c r="C1657" s="245" t="s">
        <v>2209</v>
      </c>
      <c r="D1657" s="15">
        <v>0</v>
      </c>
      <c r="E1657" s="15">
        <v>1</v>
      </c>
      <c r="F1657" s="15">
        <v>0</v>
      </c>
      <c r="G1657" s="15">
        <v>0</v>
      </c>
      <c r="H1657" s="15">
        <v>0</v>
      </c>
    </row>
    <row r="1658" spans="2:8">
      <c r="B1658" s="17" t="s">
        <v>7601</v>
      </c>
      <c r="C1658" s="246" t="s">
        <v>2210</v>
      </c>
      <c r="D1658" s="18">
        <v>0</v>
      </c>
      <c r="E1658" s="18">
        <v>0</v>
      </c>
      <c r="F1658" s="18">
        <v>0</v>
      </c>
      <c r="G1658" s="18">
        <v>0</v>
      </c>
      <c r="H1658" s="18">
        <v>0</v>
      </c>
    </row>
    <row r="1659" spans="2:8">
      <c r="B1659" s="14" t="s">
        <v>7602</v>
      </c>
      <c r="C1659" s="245" t="s">
        <v>2211</v>
      </c>
      <c r="D1659" s="15">
        <v>0</v>
      </c>
      <c r="E1659" s="15">
        <v>0</v>
      </c>
      <c r="F1659" s="15">
        <v>0</v>
      </c>
      <c r="G1659" s="15">
        <v>0</v>
      </c>
      <c r="H1659" s="15">
        <v>0</v>
      </c>
    </row>
    <row r="1660" spans="2:8">
      <c r="B1660" s="17" t="s">
        <v>7603</v>
      </c>
      <c r="C1660" s="246" t="s">
        <v>1800</v>
      </c>
      <c r="D1660" s="18">
        <v>0</v>
      </c>
      <c r="E1660" s="18">
        <v>0</v>
      </c>
      <c r="F1660" s="18">
        <v>0</v>
      </c>
      <c r="G1660" s="18">
        <v>0</v>
      </c>
      <c r="H1660" s="18">
        <v>0</v>
      </c>
    </row>
    <row r="1661" spans="2:8">
      <c r="B1661" s="14" t="s">
        <v>7604</v>
      </c>
      <c r="C1661" s="245" t="s">
        <v>1800</v>
      </c>
      <c r="D1661" s="15">
        <v>0</v>
      </c>
      <c r="E1661" s="15">
        <v>0</v>
      </c>
      <c r="F1661" s="15">
        <v>0</v>
      </c>
      <c r="G1661" s="15">
        <v>15</v>
      </c>
      <c r="H1661" s="15">
        <v>0</v>
      </c>
    </row>
    <row r="1662" spans="2:8">
      <c r="B1662" s="17" t="s">
        <v>7605</v>
      </c>
      <c r="C1662" s="246" t="s">
        <v>2212</v>
      </c>
      <c r="D1662" s="18">
        <v>0</v>
      </c>
      <c r="E1662" s="18">
        <v>0</v>
      </c>
      <c r="F1662" s="18">
        <v>0</v>
      </c>
      <c r="G1662" s="18">
        <v>0</v>
      </c>
      <c r="H1662" s="18">
        <v>0</v>
      </c>
    </row>
    <row r="1663" spans="2:8">
      <c r="B1663" s="14" t="s">
        <v>7606</v>
      </c>
      <c r="C1663" s="245" t="s">
        <v>2213</v>
      </c>
      <c r="D1663" s="15">
        <v>0</v>
      </c>
      <c r="E1663" s="15">
        <v>0</v>
      </c>
      <c r="F1663" s="15">
        <v>0</v>
      </c>
      <c r="G1663" s="15">
        <v>87</v>
      </c>
      <c r="H1663" s="15">
        <v>0</v>
      </c>
    </row>
    <row r="1664" spans="2:8">
      <c r="B1664" s="17" t="s">
        <v>7607</v>
      </c>
      <c r="C1664" s="246" t="s">
        <v>2214</v>
      </c>
      <c r="D1664" s="18">
        <v>0</v>
      </c>
      <c r="E1664" s="18">
        <v>0</v>
      </c>
      <c r="F1664" s="18">
        <v>0</v>
      </c>
      <c r="G1664" s="18">
        <v>0</v>
      </c>
      <c r="H1664" s="18">
        <v>0</v>
      </c>
    </row>
    <row r="1665" spans="2:8">
      <c r="B1665" s="14" t="s">
        <v>7608</v>
      </c>
      <c r="C1665" s="245" t="s">
        <v>2215</v>
      </c>
      <c r="D1665" s="15">
        <v>0</v>
      </c>
      <c r="E1665" s="15">
        <v>0</v>
      </c>
      <c r="F1665" s="15">
        <v>0</v>
      </c>
      <c r="G1665" s="15">
        <v>0</v>
      </c>
      <c r="H1665" s="15">
        <v>0</v>
      </c>
    </row>
    <row r="1666" spans="2:8">
      <c r="B1666" s="17" t="s">
        <v>7609</v>
      </c>
      <c r="C1666" s="246" t="s">
        <v>2216</v>
      </c>
      <c r="D1666" s="18">
        <v>0</v>
      </c>
      <c r="E1666" s="18">
        <v>0</v>
      </c>
      <c r="F1666" s="18">
        <v>3</v>
      </c>
      <c r="G1666" s="18">
        <v>0</v>
      </c>
      <c r="H1666" s="18">
        <v>0</v>
      </c>
    </row>
    <row r="1667" spans="2:8">
      <c r="B1667" s="14" t="s">
        <v>7610</v>
      </c>
      <c r="C1667" s="245" t="s">
        <v>2217</v>
      </c>
      <c r="D1667" s="15">
        <v>0</v>
      </c>
      <c r="E1667" s="15">
        <v>0</v>
      </c>
      <c r="F1667" s="15">
        <v>0</v>
      </c>
      <c r="G1667" s="15">
        <v>0</v>
      </c>
      <c r="H1667" s="15">
        <v>0</v>
      </c>
    </row>
    <row r="1668" spans="2:8">
      <c r="B1668" s="17" t="s">
        <v>7611</v>
      </c>
      <c r="C1668" s="246" t="s">
        <v>2218</v>
      </c>
      <c r="D1668" s="18">
        <v>15</v>
      </c>
      <c r="E1668" s="18">
        <v>0</v>
      </c>
      <c r="F1668" s="18">
        <v>0</v>
      </c>
      <c r="G1668" s="18">
        <v>2</v>
      </c>
      <c r="H1668" s="18">
        <v>0</v>
      </c>
    </row>
    <row r="1669" spans="2:8">
      <c r="B1669" s="14" t="s">
        <v>7612</v>
      </c>
      <c r="C1669" s="245" t="s">
        <v>2219</v>
      </c>
      <c r="D1669" s="15">
        <v>0</v>
      </c>
      <c r="E1669" s="15">
        <v>0</v>
      </c>
      <c r="F1669" s="15">
        <v>0</v>
      </c>
      <c r="G1669" s="15">
        <v>0</v>
      </c>
      <c r="H1669" s="15">
        <v>0</v>
      </c>
    </row>
    <row r="1670" spans="2:8">
      <c r="B1670" s="17" t="s">
        <v>7613</v>
      </c>
      <c r="C1670" s="246" t="s">
        <v>2220</v>
      </c>
      <c r="D1670" s="18">
        <v>0</v>
      </c>
      <c r="E1670" s="18">
        <v>0</v>
      </c>
      <c r="F1670" s="18">
        <v>0</v>
      </c>
      <c r="G1670" s="18">
        <v>0</v>
      </c>
      <c r="H1670" s="18">
        <v>0</v>
      </c>
    </row>
    <row r="1671" spans="2:8">
      <c r="B1671" s="14" t="s">
        <v>7614</v>
      </c>
      <c r="C1671" s="245" t="s">
        <v>2221</v>
      </c>
      <c r="D1671" s="15">
        <v>0</v>
      </c>
      <c r="E1671" s="15">
        <v>0</v>
      </c>
      <c r="F1671" s="15">
        <v>0</v>
      </c>
      <c r="G1671" s="15">
        <v>0</v>
      </c>
      <c r="H1671" s="15">
        <v>0</v>
      </c>
    </row>
    <row r="1672" spans="2:8">
      <c r="B1672" s="17" t="s">
        <v>7615</v>
      </c>
      <c r="C1672" s="246" t="s">
        <v>2222</v>
      </c>
      <c r="D1672" s="18">
        <v>0</v>
      </c>
      <c r="E1672" s="18">
        <v>0</v>
      </c>
      <c r="F1672" s="18">
        <v>0</v>
      </c>
      <c r="G1672" s="18">
        <v>0</v>
      </c>
      <c r="H1672" s="18">
        <v>0</v>
      </c>
    </row>
    <row r="1673" spans="2:8">
      <c r="B1673" s="14" t="s">
        <v>7616</v>
      </c>
      <c r="C1673" s="245" t="s">
        <v>2223</v>
      </c>
      <c r="D1673" s="15">
        <v>0</v>
      </c>
      <c r="E1673" s="15">
        <v>0</v>
      </c>
      <c r="F1673" s="15">
        <v>0</v>
      </c>
      <c r="G1673" s="15">
        <v>0</v>
      </c>
      <c r="H1673" s="15">
        <v>0</v>
      </c>
    </row>
    <row r="1674" spans="2:8">
      <c r="B1674" s="17" t="s">
        <v>7617</v>
      </c>
      <c r="C1674" s="246" t="s">
        <v>2224</v>
      </c>
      <c r="D1674" s="18">
        <v>0</v>
      </c>
      <c r="E1674" s="18">
        <v>0</v>
      </c>
      <c r="F1674" s="18">
        <v>0</v>
      </c>
      <c r="G1674" s="18">
        <v>0</v>
      </c>
      <c r="H1674" s="18">
        <v>0</v>
      </c>
    </row>
    <row r="1675" spans="2:8">
      <c r="B1675" s="14" t="s">
        <v>7618</v>
      </c>
      <c r="C1675" s="245" t="s">
        <v>2225</v>
      </c>
      <c r="D1675" s="15">
        <v>0</v>
      </c>
      <c r="E1675" s="15">
        <v>0</v>
      </c>
      <c r="F1675" s="15">
        <v>0</v>
      </c>
      <c r="G1675" s="15">
        <v>0</v>
      </c>
      <c r="H1675" s="15">
        <v>0</v>
      </c>
    </row>
    <row r="1676" spans="2:8">
      <c r="B1676" s="17" t="s">
        <v>7619</v>
      </c>
      <c r="C1676" s="246" t="s">
        <v>2226</v>
      </c>
      <c r="D1676" s="18">
        <v>0</v>
      </c>
      <c r="E1676" s="18">
        <v>0</v>
      </c>
      <c r="F1676" s="18">
        <v>0</v>
      </c>
      <c r="G1676" s="18">
        <v>0</v>
      </c>
      <c r="H1676" s="18">
        <v>0</v>
      </c>
    </row>
    <row r="1677" spans="2:8">
      <c r="B1677" s="14" t="s">
        <v>7620</v>
      </c>
      <c r="C1677" s="245" t="s">
        <v>2227</v>
      </c>
      <c r="D1677" s="15">
        <v>0</v>
      </c>
      <c r="E1677" s="15">
        <v>0</v>
      </c>
      <c r="F1677" s="15">
        <v>0</v>
      </c>
      <c r="G1677" s="15">
        <v>0</v>
      </c>
      <c r="H1677" s="15">
        <v>0</v>
      </c>
    </row>
    <row r="1678" spans="2:8">
      <c r="B1678" s="17" t="s">
        <v>7621</v>
      </c>
      <c r="C1678" s="246" t="s">
        <v>2228</v>
      </c>
      <c r="D1678" s="18">
        <v>0</v>
      </c>
      <c r="E1678" s="18">
        <v>0</v>
      </c>
      <c r="F1678" s="18">
        <v>0</v>
      </c>
      <c r="G1678" s="18">
        <v>0</v>
      </c>
      <c r="H1678" s="18">
        <v>0</v>
      </c>
    </row>
    <row r="1679" spans="2:8">
      <c r="B1679" s="14" t="s">
        <v>7622</v>
      </c>
      <c r="C1679" s="245" t="s">
        <v>2229</v>
      </c>
      <c r="D1679" s="15">
        <v>0</v>
      </c>
      <c r="E1679" s="15">
        <v>0</v>
      </c>
      <c r="F1679" s="15">
        <v>0</v>
      </c>
      <c r="G1679" s="15">
        <v>0</v>
      </c>
      <c r="H1679" s="15">
        <v>0</v>
      </c>
    </row>
    <row r="1680" spans="2:8">
      <c r="B1680" s="17" t="s">
        <v>7623</v>
      </c>
      <c r="C1680" s="246" t="s">
        <v>2230</v>
      </c>
      <c r="D1680" s="18">
        <v>0</v>
      </c>
      <c r="E1680" s="18">
        <v>0</v>
      </c>
      <c r="F1680" s="18">
        <v>0</v>
      </c>
      <c r="G1680" s="18">
        <v>0</v>
      </c>
      <c r="H1680" s="18">
        <v>0</v>
      </c>
    </row>
    <row r="1681" spans="2:8">
      <c r="B1681" s="14" t="s">
        <v>7624</v>
      </c>
      <c r="C1681" s="245" t="s">
        <v>2231</v>
      </c>
      <c r="D1681" s="15">
        <v>0</v>
      </c>
      <c r="E1681" s="15">
        <v>3</v>
      </c>
      <c r="F1681" s="15">
        <v>0</v>
      </c>
      <c r="G1681" s="15">
        <v>0</v>
      </c>
      <c r="H1681" s="15">
        <v>0</v>
      </c>
    </row>
    <row r="1682" spans="2:8">
      <c r="B1682" s="17" t="s">
        <v>7625</v>
      </c>
      <c r="C1682" s="246" t="s">
        <v>2232</v>
      </c>
      <c r="D1682" s="18">
        <v>0</v>
      </c>
      <c r="E1682" s="18">
        <v>0</v>
      </c>
      <c r="F1682" s="18">
        <v>0</v>
      </c>
      <c r="G1682" s="18">
        <v>0</v>
      </c>
      <c r="H1682" s="18">
        <v>0</v>
      </c>
    </row>
    <row r="1683" spans="2:8">
      <c r="B1683" s="14" t="s">
        <v>7626</v>
      </c>
      <c r="C1683" s="245" t="s">
        <v>2233</v>
      </c>
      <c r="D1683" s="15">
        <v>0</v>
      </c>
      <c r="E1683" s="15">
        <v>0</v>
      </c>
      <c r="F1683" s="15">
        <v>4</v>
      </c>
      <c r="G1683" s="15">
        <v>0</v>
      </c>
      <c r="H1683" s="15">
        <v>0</v>
      </c>
    </row>
    <row r="1684" spans="2:8">
      <c r="B1684" s="17" t="s">
        <v>7627</v>
      </c>
      <c r="C1684" s="246" t="s">
        <v>2234</v>
      </c>
      <c r="D1684" s="18">
        <v>2</v>
      </c>
      <c r="E1684" s="18">
        <v>0</v>
      </c>
      <c r="F1684" s="18">
        <v>0</v>
      </c>
      <c r="G1684" s="18">
        <v>0</v>
      </c>
      <c r="H1684" s="18">
        <v>0</v>
      </c>
    </row>
    <row r="1685" spans="2:8">
      <c r="B1685" s="14" t="s">
        <v>7628</v>
      </c>
      <c r="C1685" s="245" t="s">
        <v>2235</v>
      </c>
      <c r="D1685" s="15">
        <v>0</v>
      </c>
      <c r="E1685" s="15">
        <v>0</v>
      </c>
      <c r="F1685" s="15">
        <v>0</v>
      </c>
      <c r="G1685" s="15">
        <v>0</v>
      </c>
      <c r="H1685" s="15">
        <v>0</v>
      </c>
    </row>
    <row r="1686" spans="2:8">
      <c r="B1686" s="17" t="s">
        <v>7629</v>
      </c>
      <c r="C1686" s="246" t="s">
        <v>2236</v>
      </c>
      <c r="D1686" s="18">
        <v>0</v>
      </c>
      <c r="E1686" s="18">
        <v>0</v>
      </c>
      <c r="F1686" s="18">
        <v>0</v>
      </c>
      <c r="G1686" s="18">
        <v>0</v>
      </c>
      <c r="H1686" s="18">
        <v>0</v>
      </c>
    </row>
    <row r="1687" spans="2:8">
      <c r="B1687" s="14" t="s">
        <v>7630</v>
      </c>
      <c r="C1687" s="245" t="s">
        <v>2237</v>
      </c>
      <c r="D1687" s="15">
        <v>0</v>
      </c>
      <c r="E1687" s="15">
        <v>0</v>
      </c>
      <c r="F1687" s="15">
        <v>0</v>
      </c>
      <c r="G1687" s="15">
        <v>0</v>
      </c>
      <c r="H1687" s="15">
        <v>0</v>
      </c>
    </row>
    <row r="1688" spans="2:8">
      <c r="B1688" s="17" t="s">
        <v>7631</v>
      </c>
      <c r="C1688" s="246" t="s">
        <v>2238</v>
      </c>
      <c r="D1688" s="18">
        <v>4</v>
      </c>
      <c r="E1688" s="18">
        <v>0</v>
      </c>
      <c r="F1688" s="18">
        <v>0</v>
      </c>
      <c r="G1688" s="18">
        <v>0</v>
      </c>
      <c r="H1688" s="18">
        <v>0</v>
      </c>
    </row>
    <row r="1689" spans="2:8">
      <c r="B1689" s="14" t="s">
        <v>7632</v>
      </c>
      <c r="C1689" s="245" t="s">
        <v>2239</v>
      </c>
      <c r="D1689" s="15">
        <v>0</v>
      </c>
      <c r="E1689" s="15">
        <v>0</v>
      </c>
      <c r="F1689" s="15">
        <v>0</v>
      </c>
      <c r="G1689" s="15">
        <v>0</v>
      </c>
      <c r="H1689" s="15">
        <v>0</v>
      </c>
    </row>
    <row r="1690" spans="2:8">
      <c r="B1690" s="17" t="s">
        <v>7633</v>
      </c>
      <c r="C1690" s="246" t="s">
        <v>2240</v>
      </c>
      <c r="D1690" s="18">
        <v>0</v>
      </c>
      <c r="E1690" s="18">
        <v>0</v>
      </c>
      <c r="F1690" s="18">
        <v>0</v>
      </c>
      <c r="G1690" s="18">
        <v>0</v>
      </c>
      <c r="H1690" s="18">
        <v>0</v>
      </c>
    </row>
    <row r="1691" spans="2:8">
      <c r="B1691" s="14" t="s">
        <v>7634</v>
      </c>
      <c r="C1691" s="245" t="s">
        <v>2241</v>
      </c>
      <c r="D1691" s="15">
        <v>0</v>
      </c>
      <c r="E1691" s="15">
        <v>0</v>
      </c>
      <c r="F1691" s="15">
        <v>0</v>
      </c>
      <c r="G1691" s="15">
        <v>0</v>
      </c>
      <c r="H1691" s="15">
        <v>0</v>
      </c>
    </row>
    <row r="1692" spans="2:8">
      <c r="B1692" s="17" t="s">
        <v>7635</v>
      </c>
      <c r="C1692" s="246" t="s">
        <v>2242</v>
      </c>
      <c r="D1692" s="18">
        <v>0</v>
      </c>
      <c r="E1692" s="18">
        <v>0</v>
      </c>
      <c r="F1692" s="18">
        <v>0</v>
      </c>
      <c r="G1692" s="18">
        <v>0</v>
      </c>
      <c r="H1692" s="18">
        <v>0</v>
      </c>
    </row>
    <row r="1693" spans="2:8">
      <c r="B1693" s="14" t="s">
        <v>7636</v>
      </c>
      <c r="C1693" s="245" t="s">
        <v>2243</v>
      </c>
      <c r="D1693" s="15">
        <v>0</v>
      </c>
      <c r="E1693" s="15">
        <v>0</v>
      </c>
      <c r="F1693" s="15">
        <v>0</v>
      </c>
      <c r="G1693" s="15">
        <v>0</v>
      </c>
      <c r="H1693" s="15">
        <v>0</v>
      </c>
    </row>
    <row r="1694" spans="2:8">
      <c r="B1694" s="17" t="s">
        <v>7637</v>
      </c>
      <c r="C1694" s="246" t="s">
        <v>2244</v>
      </c>
      <c r="D1694" s="18">
        <v>0</v>
      </c>
      <c r="E1694" s="18">
        <v>0</v>
      </c>
      <c r="F1694" s="18">
        <v>0</v>
      </c>
      <c r="G1694" s="18">
        <v>0</v>
      </c>
      <c r="H1694" s="18">
        <v>0</v>
      </c>
    </row>
    <row r="1695" spans="2:8">
      <c r="B1695" s="14" t="s">
        <v>7638</v>
      </c>
      <c r="C1695" s="245" t="s">
        <v>2245</v>
      </c>
      <c r="D1695" s="15">
        <v>0</v>
      </c>
      <c r="E1695" s="15">
        <v>0</v>
      </c>
      <c r="F1695" s="15">
        <v>0</v>
      </c>
      <c r="G1695" s="15">
        <v>0</v>
      </c>
      <c r="H1695" s="15">
        <v>0</v>
      </c>
    </row>
    <row r="1696" spans="2:8">
      <c r="B1696" s="17" t="s">
        <v>7639</v>
      </c>
      <c r="C1696" s="246" t="s">
        <v>2246</v>
      </c>
      <c r="D1696" s="18">
        <v>0</v>
      </c>
      <c r="E1696" s="18">
        <v>0</v>
      </c>
      <c r="F1696" s="18">
        <v>0</v>
      </c>
      <c r="G1696" s="18">
        <v>0</v>
      </c>
      <c r="H1696" s="18">
        <v>0</v>
      </c>
    </row>
    <row r="1697" spans="2:8">
      <c r="B1697" s="14" t="s">
        <v>7640</v>
      </c>
      <c r="C1697" s="245" t="s">
        <v>2247</v>
      </c>
      <c r="D1697" s="15">
        <v>0</v>
      </c>
      <c r="E1697" s="15">
        <v>0</v>
      </c>
      <c r="F1697" s="15">
        <v>0</v>
      </c>
      <c r="G1697" s="15">
        <v>0</v>
      </c>
      <c r="H1697" s="15">
        <v>0</v>
      </c>
    </row>
    <row r="1698" spans="2:8">
      <c r="B1698" s="17" t="s">
        <v>7641</v>
      </c>
      <c r="C1698" s="246" t="s">
        <v>2248</v>
      </c>
      <c r="D1698" s="18">
        <v>0</v>
      </c>
      <c r="E1698" s="18">
        <v>0</v>
      </c>
      <c r="F1698" s="18">
        <v>0</v>
      </c>
      <c r="G1698" s="18">
        <v>0</v>
      </c>
      <c r="H1698" s="18">
        <v>0</v>
      </c>
    </row>
    <row r="1699" spans="2:8">
      <c r="B1699" s="14" t="s">
        <v>7642</v>
      </c>
      <c r="C1699" s="245" t="s">
        <v>2249</v>
      </c>
      <c r="D1699" s="15">
        <v>0</v>
      </c>
      <c r="E1699" s="15">
        <v>0</v>
      </c>
      <c r="F1699" s="15">
        <v>0</v>
      </c>
      <c r="G1699" s="15">
        <v>0</v>
      </c>
      <c r="H1699" s="15">
        <v>0</v>
      </c>
    </row>
    <row r="1700" spans="2:8">
      <c r="B1700" s="17" t="s">
        <v>7643</v>
      </c>
      <c r="C1700" s="246" t="s">
        <v>2250</v>
      </c>
      <c r="D1700" s="18">
        <v>0</v>
      </c>
      <c r="E1700" s="18">
        <v>0</v>
      </c>
      <c r="F1700" s="18">
        <v>0</v>
      </c>
      <c r="G1700" s="18">
        <v>0</v>
      </c>
      <c r="H1700" s="18">
        <v>0</v>
      </c>
    </row>
    <row r="1701" spans="2:8">
      <c r="B1701" s="14" t="s">
        <v>7644</v>
      </c>
      <c r="C1701" s="245" t="s">
        <v>2251</v>
      </c>
      <c r="D1701" s="15">
        <v>0</v>
      </c>
      <c r="E1701" s="15">
        <v>0</v>
      </c>
      <c r="F1701" s="15">
        <v>0</v>
      </c>
      <c r="G1701" s="15">
        <v>0</v>
      </c>
      <c r="H1701" s="15">
        <v>0</v>
      </c>
    </row>
    <row r="1702" spans="2:8">
      <c r="B1702" s="17" t="s">
        <v>7645</v>
      </c>
      <c r="C1702" s="246" t="s">
        <v>2252</v>
      </c>
      <c r="D1702" s="18">
        <v>0</v>
      </c>
      <c r="E1702" s="18">
        <v>0</v>
      </c>
      <c r="F1702" s="18">
        <v>0</v>
      </c>
      <c r="G1702" s="18">
        <v>0</v>
      </c>
      <c r="H1702" s="18">
        <v>0</v>
      </c>
    </row>
    <row r="1703" spans="2:8">
      <c r="B1703" s="14" t="s">
        <v>7646</v>
      </c>
      <c r="C1703" s="245" t="s">
        <v>2253</v>
      </c>
      <c r="D1703" s="15">
        <v>0</v>
      </c>
      <c r="E1703" s="15">
        <v>0</v>
      </c>
      <c r="F1703" s="15">
        <v>0</v>
      </c>
      <c r="G1703" s="15">
        <v>0</v>
      </c>
      <c r="H1703" s="15">
        <v>0</v>
      </c>
    </row>
    <row r="1704" spans="2:8">
      <c r="B1704" s="17" t="s">
        <v>7647</v>
      </c>
      <c r="C1704" s="246" t="s">
        <v>2254</v>
      </c>
      <c r="D1704" s="18">
        <v>25</v>
      </c>
      <c r="E1704" s="18">
        <v>53</v>
      </c>
      <c r="F1704" s="18">
        <v>5</v>
      </c>
      <c r="G1704" s="18">
        <v>19</v>
      </c>
      <c r="H1704" s="18">
        <v>0</v>
      </c>
    </row>
    <row r="1705" spans="2:8">
      <c r="B1705" s="14" t="s">
        <v>7648</v>
      </c>
      <c r="C1705" s="245" t="s">
        <v>2255</v>
      </c>
      <c r="D1705" s="15">
        <v>0</v>
      </c>
      <c r="E1705" s="15">
        <v>0</v>
      </c>
      <c r="F1705" s="15">
        <v>0</v>
      </c>
      <c r="G1705" s="15">
        <v>0</v>
      </c>
      <c r="H1705" s="15">
        <v>0</v>
      </c>
    </row>
    <row r="1706" spans="2:8">
      <c r="B1706" s="17" t="s">
        <v>7649</v>
      </c>
      <c r="C1706" s="246" t="s">
        <v>2256</v>
      </c>
      <c r="D1706" s="18">
        <v>0</v>
      </c>
      <c r="E1706" s="18">
        <v>0</v>
      </c>
      <c r="F1706" s="18">
        <v>0</v>
      </c>
      <c r="G1706" s="18">
        <v>0</v>
      </c>
      <c r="H1706" s="18">
        <v>0</v>
      </c>
    </row>
    <row r="1707" spans="2:8">
      <c r="B1707" s="14" t="s">
        <v>7650</v>
      </c>
      <c r="C1707" s="245" t="s">
        <v>2257</v>
      </c>
      <c r="D1707" s="15">
        <v>21</v>
      </c>
      <c r="E1707" s="15">
        <v>67</v>
      </c>
      <c r="F1707" s="15">
        <v>3</v>
      </c>
      <c r="G1707" s="15">
        <v>56</v>
      </c>
      <c r="H1707" s="15">
        <v>0</v>
      </c>
    </row>
    <row r="1708" spans="2:8">
      <c r="B1708" s="17" t="s">
        <v>7651</v>
      </c>
      <c r="C1708" s="246" t="s">
        <v>2258</v>
      </c>
      <c r="D1708" s="18">
        <v>0</v>
      </c>
      <c r="E1708" s="18">
        <v>0</v>
      </c>
      <c r="F1708" s="18">
        <v>0</v>
      </c>
      <c r="G1708" s="18">
        <v>0</v>
      </c>
      <c r="H1708" s="18">
        <v>0</v>
      </c>
    </row>
    <row r="1709" spans="2:8">
      <c r="B1709" s="14" t="s">
        <v>7652</v>
      </c>
      <c r="C1709" s="245" t="s">
        <v>2259</v>
      </c>
      <c r="D1709" s="15">
        <v>0</v>
      </c>
      <c r="E1709" s="15">
        <v>0</v>
      </c>
      <c r="F1709" s="15">
        <v>0</v>
      </c>
      <c r="G1709" s="15">
        <v>0</v>
      </c>
      <c r="H1709" s="15">
        <v>0</v>
      </c>
    </row>
    <row r="1710" spans="2:8">
      <c r="B1710" s="17" t="s">
        <v>7653</v>
      </c>
      <c r="C1710" s="246" t="s">
        <v>2260</v>
      </c>
      <c r="D1710" s="18">
        <v>0</v>
      </c>
      <c r="E1710" s="18">
        <v>0</v>
      </c>
      <c r="F1710" s="18">
        <v>0</v>
      </c>
      <c r="G1710" s="18">
        <v>0</v>
      </c>
      <c r="H1710" s="18">
        <v>0</v>
      </c>
    </row>
    <row r="1711" spans="2:8">
      <c r="B1711" s="14" t="s">
        <v>7654</v>
      </c>
      <c r="C1711" s="245" t="s">
        <v>2261</v>
      </c>
      <c r="D1711" s="15">
        <v>15</v>
      </c>
      <c r="E1711" s="15">
        <v>6</v>
      </c>
      <c r="F1711" s="15">
        <v>0</v>
      </c>
      <c r="G1711" s="15">
        <v>17</v>
      </c>
      <c r="H1711" s="15">
        <v>0</v>
      </c>
    </row>
    <row r="1712" spans="2:8">
      <c r="B1712" s="17" t="s">
        <v>7655</v>
      </c>
      <c r="C1712" s="246" t="s">
        <v>2262</v>
      </c>
      <c r="D1712" s="18">
        <v>0</v>
      </c>
      <c r="E1712" s="18">
        <v>0</v>
      </c>
      <c r="F1712" s="18">
        <v>0</v>
      </c>
      <c r="G1712" s="18">
        <v>0</v>
      </c>
      <c r="H1712" s="18">
        <v>0</v>
      </c>
    </row>
    <row r="1713" spans="2:8">
      <c r="B1713" s="14" t="s">
        <v>7656</v>
      </c>
      <c r="C1713" s="245" t="s">
        <v>2263</v>
      </c>
      <c r="D1713" s="15">
        <v>0</v>
      </c>
      <c r="E1713" s="15">
        <v>9</v>
      </c>
      <c r="F1713" s="15">
        <v>5</v>
      </c>
      <c r="G1713" s="15">
        <v>0</v>
      </c>
      <c r="H1713" s="15">
        <v>0</v>
      </c>
    </row>
    <row r="1714" spans="2:8">
      <c r="B1714" s="17" t="s">
        <v>7657</v>
      </c>
      <c r="C1714" s="246" t="s">
        <v>2264</v>
      </c>
      <c r="D1714" s="18">
        <v>0</v>
      </c>
      <c r="E1714" s="18">
        <v>0</v>
      </c>
      <c r="F1714" s="18">
        <v>0</v>
      </c>
      <c r="G1714" s="18">
        <v>0</v>
      </c>
      <c r="H1714" s="18">
        <v>0</v>
      </c>
    </row>
    <row r="1715" spans="2:8">
      <c r="B1715" s="14" t="s">
        <v>7658</v>
      </c>
      <c r="C1715" s="245" t="s">
        <v>2265</v>
      </c>
      <c r="D1715" s="15">
        <v>0</v>
      </c>
      <c r="E1715" s="15">
        <v>0</v>
      </c>
      <c r="F1715" s="15">
        <v>0</v>
      </c>
      <c r="G1715" s="15">
        <v>0</v>
      </c>
      <c r="H1715" s="15">
        <v>0</v>
      </c>
    </row>
    <row r="1716" spans="2:8">
      <c r="B1716" s="17" t="s">
        <v>7659</v>
      </c>
      <c r="C1716" s="246" t="s">
        <v>2266</v>
      </c>
      <c r="D1716" s="18">
        <v>0</v>
      </c>
      <c r="E1716" s="18">
        <v>0</v>
      </c>
      <c r="F1716" s="18">
        <v>0</v>
      </c>
      <c r="G1716" s="18">
        <v>0</v>
      </c>
      <c r="H1716" s="18">
        <v>0</v>
      </c>
    </row>
    <row r="1717" spans="2:8">
      <c r="B1717" s="14" t="s">
        <v>7660</v>
      </c>
      <c r="C1717" s="245" t="s">
        <v>2267</v>
      </c>
      <c r="D1717" s="15">
        <v>0</v>
      </c>
      <c r="E1717" s="15">
        <v>0</v>
      </c>
      <c r="F1717" s="15">
        <v>27</v>
      </c>
      <c r="G1717" s="15">
        <v>0</v>
      </c>
      <c r="H1717" s="15">
        <v>0</v>
      </c>
    </row>
    <row r="1718" spans="2:8">
      <c r="B1718" s="17" t="s">
        <v>7661</v>
      </c>
      <c r="C1718" s="246" t="s">
        <v>2268</v>
      </c>
      <c r="D1718" s="18">
        <v>0</v>
      </c>
      <c r="E1718" s="18">
        <v>0</v>
      </c>
      <c r="F1718" s="18">
        <v>11</v>
      </c>
      <c r="G1718" s="18">
        <v>0</v>
      </c>
      <c r="H1718" s="18">
        <v>0</v>
      </c>
    </row>
    <row r="1719" spans="2:8">
      <c r="B1719" s="14" t="s">
        <v>7662</v>
      </c>
      <c r="C1719" s="245" t="s">
        <v>2269</v>
      </c>
      <c r="D1719" s="15">
        <v>0</v>
      </c>
      <c r="E1719" s="15">
        <v>0</v>
      </c>
      <c r="F1719" s="15">
        <v>0</v>
      </c>
      <c r="G1719" s="15">
        <v>0</v>
      </c>
      <c r="H1719" s="15">
        <v>0</v>
      </c>
    </row>
    <row r="1720" spans="2:8">
      <c r="B1720" s="17" t="s">
        <v>7663</v>
      </c>
      <c r="C1720" s="246" t="s">
        <v>2270</v>
      </c>
      <c r="D1720" s="18">
        <v>0</v>
      </c>
      <c r="E1720" s="18">
        <v>0</v>
      </c>
      <c r="F1720" s="18">
        <v>0</v>
      </c>
      <c r="G1720" s="18">
        <v>0</v>
      </c>
      <c r="H1720" s="18">
        <v>0</v>
      </c>
    </row>
    <row r="1721" spans="2:8">
      <c r="B1721" s="14" t="s">
        <v>7664</v>
      </c>
      <c r="C1721" s="245" t="s">
        <v>2271</v>
      </c>
      <c r="D1721" s="15">
        <v>0</v>
      </c>
      <c r="E1721" s="15">
        <v>0</v>
      </c>
      <c r="F1721" s="15">
        <v>0</v>
      </c>
      <c r="G1721" s="15">
        <v>0</v>
      </c>
      <c r="H1721" s="15">
        <v>0</v>
      </c>
    </row>
    <row r="1722" spans="2:8">
      <c r="B1722" s="17" t="s">
        <v>7665</v>
      </c>
      <c r="C1722" s="246" t="s">
        <v>2272</v>
      </c>
      <c r="D1722" s="18">
        <v>0</v>
      </c>
      <c r="E1722" s="18">
        <v>0</v>
      </c>
      <c r="F1722" s="18">
        <v>0</v>
      </c>
      <c r="G1722" s="18">
        <v>0</v>
      </c>
      <c r="H1722" s="18">
        <v>0</v>
      </c>
    </row>
    <row r="1723" spans="2:8">
      <c r="B1723" s="14" t="s">
        <v>7666</v>
      </c>
      <c r="C1723" s="245" t="s">
        <v>2273</v>
      </c>
      <c r="D1723" s="15">
        <v>0</v>
      </c>
      <c r="E1723" s="15">
        <v>0</v>
      </c>
      <c r="F1723" s="15">
        <v>0</v>
      </c>
      <c r="G1723" s="15">
        <v>0</v>
      </c>
      <c r="H1723" s="15">
        <v>0</v>
      </c>
    </row>
    <row r="1724" spans="2:8">
      <c r="B1724" s="17" t="s">
        <v>7667</v>
      </c>
      <c r="C1724" s="246" t="s">
        <v>2274</v>
      </c>
      <c r="D1724" s="18">
        <v>0</v>
      </c>
      <c r="E1724" s="18">
        <v>0</v>
      </c>
      <c r="F1724" s="18">
        <v>0</v>
      </c>
      <c r="G1724" s="18">
        <v>0</v>
      </c>
      <c r="H1724" s="18">
        <v>0</v>
      </c>
    </row>
    <row r="1725" spans="2:8">
      <c r="B1725" s="14" t="s">
        <v>7668</v>
      </c>
      <c r="C1725" s="245" t="s">
        <v>2275</v>
      </c>
      <c r="D1725" s="15">
        <v>0</v>
      </c>
      <c r="E1725" s="15">
        <v>0</v>
      </c>
      <c r="F1725" s="15">
        <v>0</v>
      </c>
      <c r="G1725" s="15">
        <v>0</v>
      </c>
      <c r="H1725" s="15">
        <v>0</v>
      </c>
    </row>
    <row r="1726" spans="2:8">
      <c r="B1726" s="17" t="s">
        <v>7669</v>
      </c>
      <c r="C1726" s="246" t="s">
        <v>2276</v>
      </c>
      <c r="D1726" s="18">
        <v>0</v>
      </c>
      <c r="E1726" s="18">
        <v>0</v>
      </c>
      <c r="F1726" s="18">
        <v>0</v>
      </c>
      <c r="G1726" s="18">
        <v>0</v>
      </c>
      <c r="H1726" s="18">
        <v>0</v>
      </c>
    </row>
    <row r="1727" spans="2:8">
      <c r="B1727" s="14" t="s">
        <v>7670</v>
      </c>
      <c r="C1727" s="245" t="s">
        <v>2277</v>
      </c>
      <c r="D1727" s="15">
        <v>0</v>
      </c>
      <c r="E1727" s="15">
        <v>0</v>
      </c>
      <c r="F1727" s="15">
        <v>0</v>
      </c>
      <c r="G1727" s="15">
        <v>0</v>
      </c>
      <c r="H1727" s="15">
        <v>0</v>
      </c>
    </row>
    <row r="1728" spans="2:8">
      <c r="B1728" s="17" t="s">
        <v>7671</v>
      </c>
      <c r="C1728" s="246" t="s">
        <v>2278</v>
      </c>
      <c r="D1728" s="18">
        <v>0</v>
      </c>
      <c r="E1728" s="18">
        <v>0</v>
      </c>
      <c r="F1728" s="18">
        <v>0</v>
      </c>
      <c r="G1728" s="18">
        <v>0</v>
      </c>
      <c r="H1728" s="18">
        <v>0</v>
      </c>
    </row>
    <row r="1729" spans="2:8">
      <c r="B1729" s="14" t="s">
        <v>7672</v>
      </c>
      <c r="C1729" s="245" t="s">
        <v>2279</v>
      </c>
      <c r="D1729" s="15">
        <v>0</v>
      </c>
      <c r="E1729" s="15">
        <v>0</v>
      </c>
      <c r="F1729" s="15">
        <v>0</v>
      </c>
      <c r="G1729" s="15">
        <v>0</v>
      </c>
      <c r="H1729" s="15">
        <v>0</v>
      </c>
    </row>
    <row r="1730" spans="2:8">
      <c r="B1730" s="17" t="s">
        <v>7673</v>
      </c>
      <c r="C1730" s="246" t="s">
        <v>2280</v>
      </c>
      <c r="D1730" s="18">
        <v>0</v>
      </c>
      <c r="E1730" s="18">
        <v>0</v>
      </c>
      <c r="F1730" s="18">
        <v>0</v>
      </c>
      <c r="G1730" s="18">
        <v>0</v>
      </c>
      <c r="H1730" s="18">
        <v>0</v>
      </c>
    </row>
    <row r="1731" spans="2:8">
      <c r="B1731" s="14" t="s">
        <v>7674</v>
      </c>
      <c r="C1731" s="245" t="s">
        <v>2281</v>
      </c>
      <c r="D1731" s="15">
        <v>0</v>
      </c>
      <c r="E1731" s="15">
        <v>0</v>
      </c>
      <c r="F1731" s="15">
        <v>0</v>
      </c>
      <c r="G1731" s="15">
        <v>0</v>
      </c>
      <c r="H1731" s="15">
        <v>0</v>
      </c>
    </row>
    <row r="1732" spans="2:8">
      <c r="B1732" s="17" t="s">
        <v>7675</v>
      </c>
      <c r="C1732" s="246" t="s">
        <v>2282</v>
      </c>
      <c r="D1732" s="18">
        <v>0</v>
      </c>
      <c r="E1732" s="18">
        <v>0</v>
      </c>
      <c r="F1732" s="18">
        <v>0</v>
      </c>
      <c r="G1732" s="18">
        <v>0</v>
      </c>
      <c r="H1732" s="18">
        <v>0</v>
      </c>
    </row>
    <row r="1733" spans="2:8">
      <c r="B1733" s="14" t="s">
        <v>7676</v>
      </c>
      <c r="C1733" s="245" t="s">
        <v>2283</v>
      </c>
      <c r="D1733" s="15">
        <v>0</v>
      </c>
      <c r="E1733" s="15">
        <v>0</v>
      </c>
      <c r="F1733" s="15">
        <v>0</v>
      </c>
      <c r="G1733" s="15">
        <v>0</v>
      </c>
      <c r="H1733" s="15">
        <v>0</v>
      </c>
    </row>
    <row r="1734" spans="2:8">
      <c r="B1734" s="17" t="s">
        <v>7677</v>
      </c>
      <c r="C1734" s="246" t="s">
        <v>2284</v>
      </c>
      <c r="D1734" s="18">
        <v>0</v>
      </c>
      <c r="E1734" s="18">
        <v>0</v>
      </c>
      <c r="F1734" s="18">
        <v>0</v>
      </c>
      <c r="G1734" s="18">
        <v>0</v>
      </c>
      <c r="H1734" s="18">
        <v>0</v>
      </c>
    </row>
    <row r="1735" spans="2:8">
      <c r="B1735" s="14" t="s">
        <v>7678</v>
      </c>
      <c r="C1735" s="245" t="s">
        <v>2285</v>
      </c>
      <c r="D1735" s="15">
        <v>0</v>
      </c>
      <c r="E1735" s="15">
        <v>0</v>
      </c>
      <c r="F1735" s="15">
        <v>0</v>
      </c>
      <c r="G1735" s="15">
        <v>0</v>
      </c>
      <c r="H1735" s="15">
        <v>0</v>
      </c>
    </row>
    <row r="1736" spans="2:8">
      <c r="B1736" s="17" t="s">
        <v>7679</v>
      </c>
      <c r="C1736" s="246" t="s">
        <v>2286</v>
      </c>
      <c r="D1736" s="18">
        <v>0</v>
      </c>
      <c r="E1736" s="18">
        <v>0</v>
      </c>
      <c r="F1736" s="18">
        <v>0</v>
      </c>
      <c r="G1736" s="18">
        <v>0</v>
      </c>
      <c r="H1736" s="18">
        <v>0</v>
      </c>
    </row>
    <row r="1737" spans="2:8">
      <c r="B1737" s="14" t="s">
        <v>7680</v>
      </c>
      <c r="C1737" s="245" t="s">
        <v>2287</v>
      </c>
      <c r="D1737" s="15">
        <v>0</v>
      </c>
      <c r="E1737" s="15">
        <v>0</v>
      </c>
      <c r="F1737" s="15">
        <v>0</v>
      </c>
      <c r="G1737" s="15">
        <v>0</v>
      </c>
      <c r="H1737" s="15">
        <v>0</v>
      </c>
    </row>
    <row r="1738" spans="2:8">
      <c r="B1738" s="17" t="s">
        <v>7681</v>
      </c>
      <c r="C1738" s="246" t="s">
        <v>2288</v>
      </c>
      <c r="D1738" s="18">
        <v>0</v>
      </c>
      <c r="E1738" s="18">
        <v>0</v>
      </c>
      <c r="F1738" s="18">
        <v>0</v>
      </c>
      <c r="G1738" s="18">
        <v>0</v>
      </c>
      <c r="H1738" s="18">
        <v>0</v>
      </c>
    </row>
    <row r="1739" spans="2:8">
      <c r="B1739" s="14" t="s">
        <v>7682</v>
      </c>
      <c r="C1739" s="245" t="s">
        <v>2289</v>
      </c>
      <c r="D1739" s="15">
        <v>0</v>
      </c>
      <c r="E1739" s="15">
        <v>0</v>
      </c>
      <c r="F1739" s="15">
        <v>0</v>
      </c>
      <c r="G1739" s="15">
        <v>0</v>
      </c>
      <c r="H1739" s="15">
        <v>0</v>
      </c>
    </row>
    <row r="1740" spans="2:8">
      <c r="B1740" s="17" t="s">
        <v>7683</v>
      </c>
      <c r="C1740" s="246" t="s">
        <v>2290</v>
      </c>
      <c r="D1740" s="18">
        <v>0</v>
      </c>
      <c r="E1740" s="18">
        <v>0</v>
      </c>
      <c r="F1740" s="18">
        <v>0</v>
      </c>
      <c r="G1740" s="18">
        <v>0</v>
      </c>
      <c r="H1740" s="18">
        <v>0</v>
      </c>
    </row>
    <row r="1741" spans="2:8">
      <c r="B1741" s="14" t="s">
        <v>7684</v>
      </c>
      <c r="C1741" s="245" t="s">
        <v>2291</v>
      </c>
      <c r="D1741" s="15">
        <v>0</v>
      </c>
      <c r="E1741" s="15">
        <v>0</v>
      </c>
      <c r="F1741" s="15">
        <v>0</v>
      </c>
      <c r="G1741" s="15">
        <v>0</v>
      </c>
      <c r="H1741" s="15">
        <v>0</v>
      </c>
    </row>
    <row r="1742" spans="2:8">
      <c r="B1742" s="17" t="s">
        <v>7685</v>
      </c>
      <c r="C1742" s="246" t="s">
        <v>2292</v>
      </c>
      <c r="D1742" s="18">
        <v>0</v>
      </c>
      <c r="E1742" s="18">
        <v>0</v>
      </c>
      <c r="F1742" s="18">
        <v>0</v>
      </c>
      <c r="G1742" s="18">
        <v>0</v>
      </c>
      <c r="H1742" s="18">
        <v>0</v>
      </c>
    </row>
    <row r="1743" spans="2:8">
      <c r="B1743" s="14" t="s">
        <v>7686</v>
      </c>
      <c r="C1743" s="245" t="s">
        <v>2293</v>
      </c>
      <c r="D1743" s="15">
        <v>0</v>
      </c>
      <c r="E1743" s="15">
        <v>0</v>
      </c>
      <c r="F1743" s="15">
        <v>0</v>
      </c>
      <c r="G1743" s="15">
        <v>0</v>
      </c>
      <c r="H1743" s="15">
        <v>0</v>
      </c>
    </row>
    <row r="1744" spans="2:8">
      <c r="B1744" s="17" t="s">
        <v>7687</v>
      </c>
      <c r="C1744" s="246" t="s">
        <v>2294</v>
      </c>
      <c r="D1744" s="18">
        <v>0</v>
      </c>
      <c r="E1744" s="18">
        <v>0</v>
      </c>
      <c r="F1744" s="18">
        <v>0</v>
      </c>
      <c r="G1744" s="18">
        <v>0</v>
      </c>
      <c r="H1744" s="18">
        <v>0</v>
      </c>
    </row>
    <row r="1745" spans="2:8">
      <c r="B1745" s="14" t="s">
        <v>7688</v>
      </c>
      <c r="C1745" s="245" t="s">
        <v>2295</v>
      </c>
      <c r="D1745" s="15">
        <v>0</v>
      </c>
      <c r="E1745" s="15">
        <v>0</v>
      </c>
      <c r="F1745" s="15">
        <v>0</v>
      </c>
      <c r="G1745" s="15">
        <v>0</v>
      </c>
      <c r="H1745" s="15">
        <v>0</v>
      </c>
    </row>
    <row r="1746" spans="2:8">
      <c r="B1746" s="17" t="s">
        <v>7689</v>
      </c>
      <c r="C1746" s="246" t="s">
        <v>2296</v>
      </c>
      <c r="D1746" s="18">
        <v>0</v>
      </c>
      <c r="E1746" s="18">
        <v>0</v>
      </c>
      <c r="F1746" s="18">
        <v>0</v>
      </c>
      <c r="G1746" s="18">
        <v>0</v>
      </c>
      <c r="H1746" s="18">
        <v>0</v>
      </c>
    </row>
    <row r="1747" spans="2:8">
      <c r="B1747" s="14" t="s">
        <v>7690</v>
      </c>
      <c r="C1747" s="245" t="s">
        <v>2297</v>
      </c>
      <c r="D1747" s="15">
        <v>0</v>
      </c>
      <c r="E1747" s="15">
        <v>0</v>
      </c>
      <c r="F1747" s="15">
        <v>0</v>
      </c>
      <c r="G1747" s="15">
        <v>0</v>
      </c>
      <c r="H1747" s="15">
        <v>0</v>
      </c>
    </row>
    <row r="1748" spans="2:8">
      <c r="B1748" s="17" t="s">
        <v>7691</v>
      </c>
      <c r="C1748" s="246" t="s">
        <v>2298</v>
      </c>
      <c r="D1748" s="18">
        <v>0</v>
      </c>
      <c r="E1748" s="18">
        <v>0</v>
      </c>
      <c r="F1748" s="18">
        <v>0</v>
      </c>
      <c r="G1748" s="18">
        <v>0</v>
      </c>
      <c r="H1748" s="18">
        <v>0</v>
      </c>
    </row>
    <row r="1749" spans="2:8">
      <c r="B1749" s="14" t="s">
        <v>7692</v>
      </c>
      <c r="C1749" s="245" t="s">
        <v>2299</v>
      </c>
      <c r="D1749" s="15">
        <v>0</v>
      </c>
      <c r="E1749" s="15">
        <v>0</v>
      </c>
      <c r="F1749" s="15">
        <v>0</v>
      </c>
      <c r="G1749" s="15">
        <v>0</v>
      </c>
      <c r="H1749" s="15">
        <v>0</v>
      </c>
    </row>
    <row r="1750" spans="2:8">
      <c r="B1750" s="17" t="s">
        <v>7693</v>
      </c>
      <c r="C1750" s="246" t="s">
        <v>2300</v>
      </c>
      <c r="D1750" s="18">
        <v>0</v>
      </c>
      <c r="E1750" s="18">
        <v>0</v>
      </c>
      <c r="F1750" s="18">
        <v>0</v>
      </c>
      <c r="G1750" s="18">
        <v>0</v>
      </c>
      <c r="H1750" s="18">
        <v>0</v>
      </c>
    </row>
    <row r="1751" spans="2:8">
      <c r="B1751" s="14" t="s">
        <v>7694</v>
      </c>
      <c r="C1751" s="245" t="s">
        <v>2301</v>
      </c>
      <c r="D1751" s="15">
        <v>0</v>
      </c>
      <c r="E1751" s="15">
        <v>0</v>
      </c>
      <c r="F1751" s="15">
        <v>0</v>
      </c>
      <c r="G1751" s="15">
        <v>0</v>
      </c>
      <c r="H1751" s="15">
        <v>0</v>
      </c>
    </row>
    <row r="1752" spans="2:8">
      <c r="B1752" s="17" t="s">
        <v>7695</v>
      </c>
      <c r="C1752" s="246" t="s">
        <v>2302</v>
      </c>
      <c r="D1752" s="18">
        <v>0</v>
      </c>
      <c r="E1752" s="18">
        <v>0</v>
      </c>
      <c r="F1752" s="18">
        <v>0</v>
      </c>
      <c r="G1752" s="18">
        <v>0</v>
      </c>
      <c r="H1752" s="18">
        <v>0</v>
      </c>
    </row>
    <row r="1753" spans="2:8">
      <c r="B1753" s="14" t="s">
        <v>7696</v>
      </c>
      <c r="C1753" s="245" t="s">
        <v>2303</v>
      </c>
      <c r="D1753" s="15">
        <v>0</v>
      </c>
      <c r="E1753" s="15">
        <v>0</v>
      </c>
      <c r="F1753" s="15">
        <v>0</v>
      </c>
      <c r="G1753" s="15">
        <v>0</v>
      </c>
      <c r="H1753" s="15">
        <v>0</v>
      </c>
    </row>
    <row r="1754" spans="2:8">
      <c r="B1754" s="17" t="s">
        <v>7697</v>
      </c>
      <c r="C1754" s="246" t="s">
        <v>2304</v>
      </c>
      <c r="D1754" s="18">
        <v>0</v>
      </c>
      <c r="E1754" s="18">
        <v>0</v>
      </c>
      <c r="F1754" s="18">
        <v>0</v>
      </c>
      <c r="G1754" s="18">
        <v>0</v>
      </c>
      <c r="H1754" s="18">
        <v>0</v>
      </c>
    </row>
    <row r="1755" spans="2:8">
      <c r="B1755" s="14" t="s">
        <v>7698</v>
      </c>
      <c r="C1755" s="245" t="s">
        <v>2305</v>
      </c>
      <c r="D1755" s="15">
        <v>0</v>
      </c>
      <c r="E1755" s="15">
        <v>0</v>
      </c>
      <c r="F1755" s="15">
        <v>0</v>
      </c>
      <c r="G1755" s="15">
        <v>0</v>
      </c>
      <c r="H1755" s="15">
        <v>0</v>
      </c>
    </row>
    <row r="1756" spans="2:8">
      <c r="B1756" s="17" t="s">
        <v>7699</v>
      </c>
      <c r="C1756" s="246" t="s">
        <v>2306</v>
      </c>
      <c r="D1756" s="18">
        <v>0</v>
      </c>
      <c r="E1756" s="18">
        <v>0</v>
      </c>
      <c r="F1756" s="18">
        <v>0</v>
      </c>
      <c r="G1756" s="18">
        <v>0</v>
      </c>
      <c r="H1756" s="18">
        <v>0</v>
      </c>
    </row>
    <row r="1757" spans="2:8">
      <c r="B1757" s="14" t="s">
        <v>7700</v>
      </c>
      <c r="C1757" s="245" t="s">
        <v>2307</v>
      </c>
      <c r="D1757" s="15">
        <v>0</v>
      </c>
      <c r="E1757" s="15">
        <v>0</v>
      </c>
      <c r="F1757" s="15">
        <v>0</v>
      </c>
      <c r="G1757" s="15">
        <v>0</v>
      </c>
      <c r="H1757" s="15">
        <v>0</v>
      </c>
    </row>
    <row r="1758" spans="2:8">
      <c r="B1758" s="17" t="s">
        <v>7701</v>
      </c>
      <c r="C1758" s="246" t="s">
        <v>2308</v>
      </c>
      <c r="D1758" s="18">
        <v>0</v>
      </c>
      <c r="E1758" s="18">
        <v>0</v>
      </c>
      <c r="F1758" s="18">
        <v>0</v>
      </c>
      <c r="G1758" s="18">
        <v>0</v>
      </c>
      <c r="H1758" s="18">
        <v>0</v>
      </c>
    </row>
    <row r="1759" spans="2:8">
      <c r="B1759" s="14" t="s">
        <v>7702</v>
      </c>
      <c r="C1759" s="245" t="s">
        <v>2309</v>
      </c>
      <c r="D1759" s="15">
        <v>0</v>
      </c>
      <c r="E1759" s="15">
        <v>0</v>
      </c>
      <c r="F1759" s="15">
        <v>0</v>
      </c>
      <c r="G1759" s="15">
        <v>0</v>
      </c>
      <c r="H1759" s="15">
        <v>0</v>
      </c>
    </row>
    <row r="1760" spans="2:8">
      <c r="B1760" s="17" t="s">
        <v>7703</v>
      </c>
      <c r="C1760" s="246" t="s">
        <v>2310</v>
      </c>
      <c r="D1760" s="18">
        <v>0</v>
      </c>
      <c r="E1760" s="18">
        <v>0</v>
      </c>
      <c r="F1760" s="18">
        <v>0</v>
      </c>
      <c r="G1760" s="18">
        <v>0</v>
      </c>
      <c r="H1760" s="18">
        <v>0</v>
      </c>
    </row>
    <row r="1761" spans="2:8">
      <c r="B1761" s="14" t="s">
        <v>7704</v>
      </c>
      <c r="C1761" s="245" t="s">
        <v>2311</v>
      </c>
      <c r="D1761" s="15">
        <v>0</v>
      </c>
      <c r="E1761" s="15">
        <v>0</v>
      </c>
      <c r="F1761" s="15">
        <v>0</v>
      </c>
      <c r="G1761" s="15">
        <v>0</v>
      </c>
      <c r="H1761" s="15">
        <v>0</v>
      </c>
    </row>
    <row r="1762" spans="2:8">
      <c r="B1762" s="17" t="s">
        <v>7705</v>
      </c>
      <c r="C1762" s="246" t="s">
        <v>2312</v>
      </c>
      <c r="D1762" s="18">
        <v>0</v>
      </c>
      <c r="E1762" s="18">
        <v>0</v>
      </c>
      <c r="F1762" s="18">
        <v>0</v>
      </c>
      <c r="G1762" s="18">
        <v>0</v>
      </c>
      <c r="H1762" s="18">
        <v>0</v>
      </c>
    </row>
    <row r="1763" spans="2:8">
      <c r="B1763" s="14" t="s">
        <v>7706</v>
      </c>
      <c r="C1763" s="245" t="s">
        <v>2313</v>
      </c>
      <c r="D1763" s="15">
        <v>0</v>
      </c>
      <c r="E1763" s="15">
        <v>0</v>
      </c>
      <c r="F1763" s="15">
        <v>0</v>
      </c>
      <c r="G1763" s="15">
        <v>0</v>
      </c>
      <c r="H1763" s="15">
        <v>0</v>
      </c>
    </row>
    <row r="1764" spans="2:8">
      <c r="B1764" s="17" t="s">
        <v>7707</v>
      </c>
      <c r="C1764" s="246" t="s">
        <v>2314</v>
      </c>
      <c r="D1764" s="18">
        <v>0</v>
      </c>
      <c r="E1764" s="18">
        <v>0</v>
      </c>
      <c r="F1764" s="18">
        <v>0</v>
      </c>
      <c r="G1764" s="18">
        <v>0</v>
      </c>
      <c r="H1764" s="18">
        <v>0</v>
      </c>
    </row>
    <row r="1765" spans="2:8">
      <c r="B1765" s="14" t="s">
        <v>7708</v>
      </c>
      <c r="C1765" s="245" t="s">
        <v>2315</v>
      </c>
      <c r="D1765" s="15">
        <v>166</v>
      </c>
      <c r="E1765" s="15">
        <v>111</v>
      </c>
      <c r="F1765" s="15">
        <v>84</v>
      </c>
      <c r="G1765" s="15">
        <v>51</v>
      </c>
      <c r="H1765" s="15">
        <v>0</v>
      </c>
    </row>
    <row r="1766" spans="2:8">
      <c r="B1766" s="17" t="s">
        <v>7709</v>
      </c>
      <c r="C1766" s="246" t="s">
        <v>2316</v>
      </c>
      <c r="D1766" s="18">
        <v>0</v>
      </c>
      <c r="E1766" s="18">
        <v>0</v>
      </c>
      <c r="F1766" s="18">
        <v>0</v>
      </c>
      <c r="G1766" s="18">
        <v>0</v>
      </c>
      <c r="H1766" s="18">
        <v>0</v>
      </c>
    </row>
    <row r="1767" spans="2:8">
      <c r="B1767" s="14" t="s">
        <v>7710</v>
      </c>
      <c r="C1767" s="245" t="s">
        <v>2317</v>
      </c>
      <c r="D1767" s="15">
        <v>0</v>
      </c>
      <c r="E1767" s="15">
        <v>0</v>
      </c>
      <c r="F1767" s="15">
        <v>0</v>
      </c>
      <c r="G1767" s="15">
        <v>0</v>
      </c>
      <c r="H1767" s="15">
        <v>0</v>
      </c>
    </row>
    <row r="1768" spans="2:8">
      <c r="B1768" s="17" t="s">
        <v>7711</v>
      </c>
      <c r="C1768" s="246" t="s">
        <v>2318</v>
      </c>
      <c r="D1768" s="18">
        <v>0</v>
      </c>
      <c r="E1768" s="18">
        <v>0</v>
      </c>
      <c r="F1768" s="18">
        <v>0</v>
      </c>
      <c r="G1768" s="18">
        <v>0</v>
      </c>
      <c r="H1768" s="18">
        <v>0</v>
      </c>
    </row>
    <row r="1769" spans="2:8">
      <c r="B1769" s="14" t="s">
        <v>7712</v>
      </c>
      <c r="C1769" s="245" t="s">
        <v>2319</v>
      </c>
      <c r="D1769" s="15">
        <v>0</v>
      </c>
      <c r="E1769" s="15">
        <v>0</v>
      </c>
      <c r="F1769" s="15">
        <v>0</v>
      </c>
      <c r="G1769" s="15">
        <v>0</v>
      </c>
      <c r="H1769" s="15">
        <v>0</v>
      </c>
    </row>
    <row r="1770" spans="2:8">
      <c r="B1770" s="17" t="s">
        <v>7713</v>
      </c>
      <c r="C1770" s="246" t="s">
        <v>2320</v>
      </c>
      <c r="D1770" s="18">
        <v>0</v>
      </c>
      <c r="E1770" s="18">
        <v>0</v>
      </c>
      <c r="F1770" s="18">
        <v>0</v>
      </c>
      <c r="G1770" s="18">
        <v>0</v>
      </c>
      <c r="H1770" s="18">
        <v>0</v>
      </c>
    </row>
    <row r="1771" spans="2:8">
      <c r="B1771" s="14" t="s">
        <v>7714</v>
      </c>
      <c r="C1771" s="245" t="s">
        <v>2321</v>
      </c>
      <c r="D1771" s="15">
        <v>0</v>
      </c>
      <c r="E1771" s="15">
        <v>0</v>
      </c>
      <c r="F1771" s="15">
        <v>0</v>
      </c>
      <c r="G1771" s="15">
        <v>0</v>
      </c>
      <c r="H1771" s="15">
        <v>0</v>
      </c>
    </row>
    <row r="1772" spans="2:8">
      <c r="B1772" s="17" t="s">
        <v>7715</v>
      </c>
      <c r="C1772" s="246" t="s">
        <v>2322</v>
      </c>
      <c r="D1772" s="18">
        <v>0</v>
      </c>
      <c r="E1772" s="18">
        <v>0</v>
      </c>
      <c r="F1772" s="18">
        <v>0</v>
      </c>
      <c r="G1772" s="18">
        <v>0</v>
      </c>
      <c r="H1772" s="18">
        <v>0</v>
      </c>
    </row>
    <row r="1773" spans="2:8">
      <c r="B1773" s="14" t="s">
        <v>7716</v>
      </c>
      <c r="C1773" s="245" t="s">
        <v>2323</v>
      </c>
      <c r="D1773" s="15">
        <v>0</v>
      </c>
      <c r="E1773" s="15">
        <v>0</v>
      </c>
      <c r="F1773" s="15">
        <v>0</v>
      </c>
      <c r="G1773" s="15">
        <v>0</v>
      </c>
      <c r="H1773" s="15">
        <v>0</v>
      </c>
    </row>
    <row r="1774" spans="2:8">
      <c r="B1774" s="17" t="s">
        <v>7717</v>
      </c>
      <c r="C1774" s="246" t="s">
        <v>2324</v>
      </c>
      <c r="D1774" s="18">
        <v>0</v>
      </c>
      <c r="E1774" s="18">
        <v>0</v>
      </c>
      <c r="F1774" s="18">
        <v>0</v>
      </c>
      <c r="G1774" s="18">
        <v>0</v>
      </c>
      <c r="H1774" s="18">
        <v>0</v>
      </c>
    </row>
    <row r="1775" spans="2:8">
      <c r="B1775" s="14" t="s">
        <v>7718</v>
      </c>
      <c r="C1775" s="245" t="s">
        <v>2325</v>
      </c>
      <c r="D1775" s="15">
        <v>0</v>
      </c>
      <c r="E1775" s="15">
        <v>0</v>
      </c>
      <c r="F1775" s="15">
        <v>0</v>
      </c>
      <c r="G1775" s="15">
        <v>0</v>
      </c>
      <c r="H1775" s="15">
        <v>0</v>
      </c>
    </row>
    <row r="1776" spans="2:8">
      <c r="B1776" s="17" t="s">
        <v>7719</v>
      </c>
      <c r="C1776" s="246" t="s">
        <v>2326</v>
      </c>
      <c r="D1776" s="18">
        <v>2</v>
      </c>
      <c r="E1776" s="18">
        <v>0</v>
      </c>
      <c r="F1776" s="18">
        <v>0</v>
      </c>
      <c r="G1776" s="18">
        <v>0</v>
      </c>
      <c r="H1776" s="18">
        <v>0</v>
      </c>
    </row>
    <row r="1777" spans="2:8">
      <c r="B1777" s="14" t="s">
        <v>7720</v>
      </c>
      <c r="C1777" s="245" t="s">
        <v>2327</v>
      </c>
      <c r="D1777" s="15">
        <v>0</v>
      </c>
      <c r="E1777" s="15">
        <v>0</v>
      </c>
      <c r="F1777" s="15">
        <v>0</v>
      </c>
      <c r="G1777" s="15">
        <v>0</v>
      </c>
      <c r="H1777" s="15">
        <v>0</v>
      </c>
    </row>
    <row r="1778" spans="2:8">
      <c r="B1778" s="17" t="s">
        <v>7721</v>
      </c>
      <c r="C1778" s="246" t="s">
        <v>2328</v>
      </c>
      <c r="D1778" s="18">
        <v>324</v>
      </c>
      <c r="E1778" s="18">
        <v>133</v>
      </c>
      <c r="F1778" s="18">
        <v>81</v>
      </c>
      <c r="G1778" s="18">
        <v>36</v>
      </c>
      <c r="H1778" s="18">
        <v>0</v>
      </c>
    </row>
    <row r="1779" spans="2:8">
      <c r="B1779" s="14" t="s">
        <v>7722</v>
      </c>
      <c r="C1779" s="245" t="s">
        <v>2329</v>
      </c>
      <c r="D1779" s="15">
        <v>0</v>
      </c>
      <c r="E1779" s="15">
        <v>0</v>
      </c>
      <c r="F1779" s="15">
        <v>0</v>
      </c>
      <c r="G1779" s="15">
        <v>0</v>
      </c>
      <c r="H1779" s="15">
        <v>0</v>
      </c>
    </row>
    <row r="1780" spans="2:8">
      <c r="B1780" s="17" t="s">
        <v>7723</v>
      </c>
      <c r="C1780" s="246" t="s">
        <v>2330</v>
      </c>
      <c r="D1780" s="18">
        <v>0</v>
      </c>
      <c r="E1780" s="18">
        <v>0</v>
      </c>
      <c r="F1780" s="18">
        <v>0</v>
      </c>
      <c r="G1780" s="18">
        <v>0</v>
      </c>
      <c r="H1780" s="18">
        <v>0</v>
      </c>
    </row>
    <row r="1781" spans="2:8">
      <c r="B1781" s="14" t="s">
        <v>7724</v>
      </c>
      <c r="C1781" s="245" t="s">
        <v>2331</v>
      </c>
      <c r="D1781" s="15">
        <v>0</v>
      </c>
      <c r="E1781" s="15">
        <v>0</v>
      </c>
      <c r="F1781" s="15">
        <v>0</v>
      </c>
      <c r="G1781" s="15">
        <v>0</v>
      </c>
      <c r="H1781" s="15">
        <v>0</v>
      </c>
    </row>
    <row r="1782" spans="2:8">
      <c r="B1782" s="17" t="s">
        <v>7725</v>
      </c>
      <c r="C1782" s="246" t="s">
        <v>1667</v>
      </c>
      <c r="D1782" s="18">
        <v>0</v>
      </c>
      <c r="E1782" s="18">
        <v>0</v>
      </c>
      <c r="F1782" s="18">
        <v>0</v>
      </c>
      <c r="G1782" s="18">
        <v>0</v>
      </c>
      <c r="H1782" s="18">
        <v>0</v>
      </c>
    </row>
    <row r="1783" spans="2:8">
      <c r="B1783" s="14" t="s">
        <v>7726</v>
      </c>
      <c r="C1783" s="245" t="s">
        <v>2332</v>
      </c>
      <c r="D1783" s="15">
        <v>0</v>
      </c>
      <c r="E1783" s="15">
        <v>0</v>
      </c>
      <c r="F1783" s="15">
        <v>0</v>
      </c>
      <c r="G1783" s="15">
        <v>0</v>
      </c>
      <c r="H1783" s="15">
        <v>0</v>
      </c>
    </row>
    <row r="1784" spans="2:8">
      <c r="B1784" s="17" t="s">
        <v>7727</v>
      </c>
      <c r="C1784" s="246" t="s">
        <v>2333</v>
      </c>
      <c r="D1784" s="18">
        <v>0</v>
      </c>
      <c r="E1784" s="18">
        <v>0</v>
      </c>
      <c r="F1784" s="18">
        <v>0</v>
      </c>
      <c r="G1784" s="18">
        <v>0</v>
      </c>
      <c r="H1784" s="18">
        <v>0</v>
      </c>
    </row>
    <row r="1785" spans="2:8">
      <c r="B1785" s="14" t="s">
        <v>7728</v>
      </c>
      <c r="C1785" s="245" t="s">
        <v>2334</v>
      </c>
      <c r="D1785" s="15">
        <v>0</v>
      </c>
      <c r="E1785" s="15">
        <v>0</v>
      </c>
      <c r="F1785" s="15">
        <v>0</v>
      </c>
      <c r="G1785" s="15">
        <v>0</v>
      </c>
      <c r="H1785" s="15">
        <v>0</v>
      </c>
    </row>
    <row r="1786" spans="2:8">
      <c r="B1786" s="17" t="s">
        <v>7729</v>
      </c>
      <c r="C1786" s="246" t="s">
        <v>2335</v>
      </c>
      <c r="D1786" s="18">
        <v>0</v>
      </c>
      <c r="E1786" s="18">
        <v>0</v>
      </c>
      <c r="F1786" s="18">
        <v>0</v>
      </c>
      <c r="G1786" s="18">
        <v>0</v>
      </c>
      <c r="H1786" s="18">
        <v>0</v>
      </c>
    </row>
    <row r="1787" spans="2:8">
      <c r="B1787" s="14" t="s">
        <v>7730</v>
      </c>
      <c r="C1787" s="245" t="s">
        <v>2336</v>
      </c>
      <c r="D1787" s="15">
        <v>0</v>
      </c>
      <c r="E1787" s="15">
        <v>0</v>
      </c>
      <c r="F1787" s="15">
        <v>0</v>
      </c>
      <c r="G1787" s="15">
        <v>0</v>
      </c>
      <c r="H1787" s="15">
        <v>0</v>
      </c>
    </row>
    <row r="1788" spans="2:8">
      <c r="B1788" s="17" t="s">
        <v>7731</v>
      </c>
      <c r="C1788" s="246" t="s">
        <v>2337</v>
      </c>
      <c r="D1788" s="18">
        <v>0</v>
      </c>
      <c r="E1788" s="18">
        <v>0</v>
      </c>
      <c r="F1788" s="18">
        <v>0</v>
      </c>
      <c r="G1788" s="18">
        <v>0</v>
      </c>
      <c r="H1788" s="18">
        <v>0</v>
      </c>
    </row>
    <row r="1789" spans="2:8">
      <c r="B1789" s="14" t="s">
        <v>7732</v>
      </c>
      <c r="C1789" s="245" t="s">
        <v>1805</v>
      </c>
      <c r="D1789" s="15">
        <v>0</v>
      </c>
      <c r="E1789" s="15">
        <v>0</v>
      </c>
      <c r="F1789" s="15">
        <v>0</v>
      </c>
      <c r="G1789" s="15">
        <v>0</v>
      </c>
      <c r="H1789" s="15">
        <v>0</v>
      </c>
    </row>
    <row r="1790" spans="2:8">
      <c r="B1790" s="17" t="s">
        <v>7733</v>
      </c>
      <c r="C1790" s="246" t="s">
        <v>2338</v>
      </c>
      <c r="D1790" s="18">
        <v>0</v>
      </c>
      <c r="E1790" s="18">
        <v>0</v>
      </c>
      <c r="F1790" s="18">
        <v>0</v>
      </c>
      <c r="G1790" s="18">
        <v>0</v>
      </c>
      <c r="H1790" s="18">
        <v>0</v>
      </c>
    </row>
    <row r="1791" spans="2:8">
      <c r="B1791" s="14" t="s">
        <v>7734</v>
      </c>
      <c r="C1791" s="245" t="s">
        <v>2339</v>
      </c>
      <c r="D1791" s="15">
        <v>0</v>
      </c>
      <c r="E1791" s="15">
        <v>5</v>
      </c>
      <c r="F1791" s="15">
        <v>0</v>
      </c>
      <c r="G1791" s="15">
        <v>0</v>
      </c>
      <c r="H1791" s="15">
        <v>0</v>
      </c>
    </row>
    <row r="1792" spans="2:8">
      <c r="B1792" s="17" t="s">
        <v>7735</v>
      </c>
      <c r="C1792" s="246" t="s">
        <v>2340</v>
      </c>
      <c r="D1792" s="18">
        <v>0</v>
      </c>
      <c r="E1792" s="18">
        <v>0</v>
      </c>
      <c r="F1792" s="18">
        <v>0</v>
      </c>
      <c r="G1792" s="18">
        <v>0</v>
      </c>
      <c r="H1792" s="18">
        <v>0</v>
      </c>
    </row>
    <row r="1793" spans="2:8">
      <c r="B1793" s="14" t="s">
        <v>7736</v>
      </c>
      <c r="C1793" s="245" t="s">
        <v>2341</v>
      </c>
      <c r="D1793" s="15">
        <v>0</v>
      </c>
      <c r="E1793" s="15">
        <v>0</v>
      </c>
      <c r="F1793" s="15">
        <v>0</v>
      </c>
      <c r="G1793" s="15">
        <v>0</v>
      </c>
      <c r="H1793" s="15">
        <v>0</v>
      </c>
    </row>
    <row r="1794" spans="2:8">
      <c r="B1794" s="17" t="s">
        <v>7737</v>
      </c>
      <c r="C1794" s="246" t="s">
        <v>2342</v>
      </c>
      <c r="D1794" s="18">
        <v>0</v>
      </c>
      <c r="E1794" s="18">
        <v>0</v>
      </c>
      <c r="F1794" s="18">
        <v>0</v>
      </c>
      <c r="G1794" s="18">
        <v>0</v>
      </c>
      <c r="H1794" s="18">
        <v>0</v>
      </c>
    </row>
    <row r="1795" spans="2:8">
      <c r="B1795" s="14" t="s">
        <v>7738</v>
      </c>
      <c r="C1795" s="245" t="s">
        <v>2343</v>
      </c>
      <c r="D1795" s="15">
        <v>0</v>
      </c>
      <c r="E1795" s="15">
        <v>0</v>
      </c>
      <c r="F1795" s="15">
        <v>0</v>
      </c>
      <c r="G1795" s="15">
        <v>0</v>
      </c>
      <c r="H1795" s="15">
        <v>0</v>
      </c>
    </row>
    <row r="1796" spans="2:8">
      <c r="B1796" s="17" t="s">
        <v>7739</v>
      </c>
      <c r="C1796" s="246" t="s">
        <v>2344</v>
      </c>
      <c r="D1796" s="18">
        <v>0</v>
      </c>
      <c r="E1796" s="18">
        <v>0</v>
      </c>
      <c r="F1796" s="18">
        <v>0</v>
      </c>
      <c r="G1796" s="18">
        <v>0</v>
      </c>
      <c r="H1796" s="18">
        <v>0</v>
      </c>
    </row>
    <row r="1797" spans="2:8">
      <c r="B1797" s="14" t="s">
        <v>7740</v>
      </c>
      <c r="C1797" s="245" t="s">
        <v>2345</v>
      </c>
      <c r="D1797" s="15">
        <v>0</v>
      </c>
      <c r="E1797" s="15">
        <v>0</v>
      </c>
      <c r="F1797" s="15">
        <v>0</v>
      </c>
      <c r="G1797" s="15">
        <v>0</v>
      </c>
      <c r="H1797" s="15">
        <v>0</v>
      </c>
    </row>
    <row r="1798" spans="2:8">
      <c r="B1798" s="17" t="s">
        <v>7741</v>
      </c>
      <c r="C1798" s="246" t="s">
        <v>2346</v>
      </c>
      <c r="D1798" s="18">
        <v>6</v>
      </c>
      <c r="E1798" s="18">
        <v>0</v>
      </c>
      <c r="F1798" s="18">
        <v>0</v>
      </c>
      <c r="G1798" s="18">
        <v>42</v>
      </c>
      <c r="H1798" s="18">
        <v>0</v>
      </c>
    </row>
    <row r="1799" spans="2:8">
      <c r="B1799" s="14" t="s">
        <v>7742</v>
      </c>
      <c r="C1799" s="245" t="s">
        <v>2347</v>
      </c>
      <c r="D1799" s="15">
        <v>0</v>
      </c>
      <c r="E1799" s="15">
        <v>0</v>
      </c>
      <c r="F1799" s="15">
        <v>0</v>
      </c>
      <c r="G1799" s="15">
        <v>0</v>
      </c>
      <c r="H1799" s="15">
        <v>0</v>
      </c>
    </row>
    <row r="1800" spans="2:8">
      <c r="B1800" s="17" t="s">
        <v>7743</v>
      </c>
      <c r="C1800" s="246" t="s">
        <v>2348</v>
      </c>
      <c r="D1800" s="18">
        <v>0</v>
      </c>
      <c r="E1800" s="18">
        <v>0</v>
      </c>
      <c r="F1800" s="18">
        <v>0</v>
      </c>
      <c r="G1800" s="18">
        <v>0</v>
      </c>
      <c r="H1800" s="18">
        <v>0</v>
      </c>
    </row>
    <row r="1801" spans="2:8">
      <c r="B1801" s="14" t="s">
        <v>7744</v>
      </c>
      <c r="C1801" s="245" t="s">
        <v>2349</v>
      </c>
      <c r="D1801" s="15">
        <v>0</v>
      </c>
      <c r="E1801" s="15">
        <v>0</v>
      </c>
      <c r="F1801" s="15">
        <v>0</v>
      </c>
      <c r="G1801" s="15">
        <v>0</v>
      </c>
      <c r="H1801" s="15">
        <v>0</v>
      </c>
    </row>
    <row r="1802" spans="2:8">
      <c r="B1802" s="17" t="s">
        <v>7745</v>
      </c>
      <c r="C1802" s="246" t="s">
        <v>2350</v>
      </c>
      <c r="D1802" s="18">
        <v>0</v>
      </c>
      <c r="E1802" s="18">
        <v>0</v>
      </c>
      <c r="F1802" s="18">
        <v>0</v>
      </c>
      <c r="G1802" s="18">
        <v>0</v>
      </c>
      <c r="H1802" s="18">
        <v>0</v>
      </c>
    </row>
    <row r="1803" spans="2:8">
      <c r="B1803" s="14" t="s">
        <v>7746</v>
      </c>
      <c r="C1803" s="245" t="s">
        <v>2351</v>
      </c>
      <c r="D1803" s="15">
        <v>0</v>
      </c>
      <c r="E1803" s="15">
        <v>0</v>
      </c>
      <c r="F1803" s="15">
        <v>0</v>
      </c>
      <c r="G1803" s="15">
        <v>0</v>
      </c>
      <c r="H1803" s="15">
        <v>0</v>
      </c>
    </row>
    <row r="1804" spans="2:8">
      <c r="B1804" s="17" t="s">
        <v>7747</v>
      </c>
      <c r="C1804" s="246" t="s">
        <v>2352</v>
      </c>
      <c r="D1804" s="18">
        <v>0</v>
      </c>
      <c r="E1804" s="18">
        <v>0</v>
      </c>
      <c r="F1804" s="18">
        <v>0</v>
      </c>
      <c r="G1804" s="18">
        <v>0</v>
      </c>
      <c r="H1804" s="18">
        <v>0</v>
      </c>
    </row>
    <row r="1805" spans="2:8">
      <c r="B1805" s="14" t="s">
        <v>7748</v>
      </c>
      <c r="C1805" s="245" t="s">
        <v>2353</v>
      </c>
      <c r="D1805" s="15">
        <v>0</v>
      </c>
      <c r="E1805" s="15">
        <v>0</v>
      </c>
      <c r="F1805" s="15">
        <v>0</v>
      </c>
      <c r="G1805" s="15">
        <v>0</v>
      </c>
      <c r="H1805" s="15">
        <v>0</v>
      </c>
    </row>
    <row r="1806" spans="2:8">
      <c r="B1806" s="17" t="s">
        <v>7749</v>
      </c>
      <c r="C1806" s="246" t="s">
        <v>2354</v>
      </c>
      <c r="D1806" s="18">
        <v>0</v>
      </c>
      <c r="E1806" s="18">
        <v>5</v>
      </c>
      <c r="F1806" s="18">
        <v>0</v>
      </c>
      <c r="G1806" s="18">
        <v>17</v>
      </c>
      <c r="H1806" s="18">
        <v>0</v>
      </c>
    </row>
    <row r="1807" spans="2:8">
      <c r="B1807" s="14" t="s">
        <v>7750</v>
      </c>
      <c r="C1807" s="245" t="s">
        <v>2355</v>
      </c>
      <c r="D1807" s="15">
        <v>0</v>
      </c>
      <c r="E1807" s="15">
        <v>0</v>
      </c>
      <c r="F1807" s="15">
        <v>0</v>
      </c>
      <c r="G1807" s="15">
        <v>0</v>
      </c>
      <c r="H1807" s="15">
        <v>0</v>
      </c>
    </row>
    <row r="1808" spans="2:8">
      <c r="B1808" s="17" t="s">
        <v>7751</v>
      </c>
      <c r="C1808" s="246" t="s">
        <v>2356</v>
      </c>
      <c r="D1808" s="18">
        <v>31</v>
      </c>
      <c r="E1808" s="18">
        <v>0</v>
      </c>
      <c r="F1808" s="18">
        <v>0</v>
      </c>
      <c r="G1808" s="18">
        <v>3</v>
      </c>
      <c r="H1808" s="18">
        <v>0</v>
      </c>
    </row>
    <row r="1809" spans="2:8">
      <c r="B1809" s="14" t="s">
        <v>7752</v>
      </c>
      <c r="C1809" s="245" t="s">
        <v>2357</v>
      </c>
      <c r="D1809" s="15">
        <v>0</v>
      </c>
      <c r="E1809" s="15">
        <v>0</v>
      </c>
      <c r="F1809" s="15">
        <v>0</v>
      </c>
      <c r="G1809" s="15">
        <v>0</v>
      </c>
      <c r="H1809" s="15">
        <v>0</v>
      </c>
    </row>
    <row r="1810" spans="2:8">
      <c r="B1810" s="17" t="s">
        <v>7753</v>
      </c>
      <c r="C1810" s="246" t="s">
        <v>2358</v>
      </c>
      <c r="D1810" s="18">
        <v>0</v>
      </c>
      <c r="E1810" s="18">
        <v>0</v>
      </c>
      <c r="F1810" s="18">
        <v>0</v>
      </c>
      <c r="G1810" s="18">
        <v>0</v>
      </c>
      <c r="H1810" s="18">
        <v>0</v>
      </c>
    </row>
    <row r="1811" spans="2:8">
      <c r="B1811" s="14" t="s">
        <v>7754</v>
      </c>
      <c r="C1811" s="245" t="s">
        <v>2359</v>
      </c>
      <c r="D1811" s="15">
        <v>0</v>
      </c>
      <c r="E1811" s="15">
        <v>0</v>
      </c>
      <c r="F1811" s="15">
        <v>0</v>
      </c>
      <c r="G1811" s="15">
        <v>0</v>
      </c>
      <c r="H1811" s="15">
        <v>0</v>
      </c>
    </row>
    <row r="1812" spans="2:8">
      <c r="B1812" s="17" t="s">
        <v>7755</v>
      </c>
      <c r="C1812" s="246" t="s">
        <v>2360</v>
      </c>
      <c r="D1812" s="18">
        <v>0</v>
      </c>
      <c r="E1812" s="18">
        <v>0</v>
      </c>
      <c r="F1812" s="18">
        <v>0</v>
      </c>
      <c r="G1812" s="18">
        <v>0</v>
      </c>
      <c r="H1812" s="18">
        <v>0</v>
      </c>
    </row>
    <row r="1813" spans="2:8">
      <c r="B1813" s="14" t="s">
        <v>7756</v>
      </c>
      <c r="C1813" s="245" t="s">
        <v>2361</v>
      </c>
      <c r="D1813" s="15">
        <v>0</v>
      </c>
      <c r="E1813" s="15">
        <v>0</v>
      </c>
      <c r="F1813" s="15">
        <v>0</v>
      </c>
      <c r="G1813" s="15">
        <v>0</v>
      </c>
      <c r="H1813" s="15">
        <v>0</v>
      </c>
    </row>
    <row r="1814" spans="2:8">
      <c r="B1814" s="17" t="s">
        <v>7757</v>
      </c>
      <c r="C1814" s="246" t="s">
        <v>2362</v>
      </c>
      <c r="D1814" s="18">
        <v>0</v>
      </c>
      <c r="E1814" s="18">
        <v>0</v>
      </c>
      <c r="F1814" s="18">
        <v>0</v>
      </c>
      <c r="G1814" s="18">
        <v>0</v>
      </c>
      <c r="H1814" s="18">
        <v>0</v>
      </c>
    </row>
    <row r="1815" spans="2:8">
      <c r="B1815" s="14" t="s">
        <v>7758</v>
      </c>
      <c r="C1815" s="245" t="s">
        <v>2363</v>
      </c>
      <c r="D1815" s="15">
        <v>0</v>
      </c>
      <c r="E1815" s="15">
        <v>0</v>
      </c>
      <c r="F1815" s="15">
        <v>0</v>
      </c>
      <c r="G1815" s="15">
        <v>0</v>
      </c>
      <c r="H1815" s="15">
        <v>0</v>
      </c>
    </row>
    <row r="1816" spans="2:8">
      <c r="B1816" s="17" t="s">
        <v>7759</v>
      </c>
      <c r="C1816" s="246" t="s">
        <v>2364</v>
      </c>
      <c r="D1816" s="18">
        <v>0</v>
      </c>
      <c r="E1816" s="18">
        <v>0</v>
      </c>
      <c r="F1816" s="18">
        <v>0</v>
      </c>
      <c r="G1816" s="18">
        <v>0</v>
      </c>
      <c r="H1816" s="18">
        <v>0</v>
      </c>
    </row>
    <row r="1817" spans="2:8">
      <c r="B1817" s="14" t="s">
        <v>7760</v>
      </c>
      <c r="C1817" s="245" t="s">
        <v>2365</v>
      </c>
      <c r="D1817" s="15">
        <v>0</v>
      </c>
      <c r="E1817" s="15">
        <v>0</v>
      </c>
      <c r="F1817" s="15">
        <v>0</v>
      </c>
      <c r="G1817" s="15">
        <v>0</v>
      </c>
      <c r="H1817" s="15">
        <v>0</v>
      </c>
    </row>
    <row r="1818" spans="2:8">
      <c r="B1818" s="17" t="s">
        <v>7761</v>
      </c>
      <c r="C1818" s="246" t="s">
        <v>2366</v>
      </c>
      <c r="D1818" s="18">
        <v>8</v>
      </c>
      <c r="E1818" s="18">
        <v>0</v>
      </c>
      <c r="F1818" s="18">
        <v>4</v>
      </c>
      <c r="G1818" s="18">
        <v>3</v>
      </c>
      <c r="H1818" s="18">
        <v>0</v>
      </c>
    </row>
    <row r="1819" spans="2:8">
      <c r="B1819" s="14" t="s">
        <v>7762</v>
      </c>
      <c r="C1819" s="245" t="s">
        <v>2367</v>
      </c>
      <c r="D1819" s="15">
        <v>0</v>
      </c>
      <c r="E1819" s="15">
        <v>0</v>
      </c>
      <c r="F1819" s="15">
        <v>0</v>
      </c>
      <c r="G1819" s="15">
        <v>0</v>
      </c>
      <c r="H1819" s="15">
        <v>0</v>
      </c>
    </row>
    <row r="1820" spans="2:8">
      <c r="B1820" s="17" t="s">
        <v>7763</v>
      </c>
      <c r="C1820" s="246" t="s">
        <v>2368</v>
      </c>
      <c r="D1820" s="18">
        <v>3</v>
      </c>
      <c r="E1820" s="18">
        <v>0</v>
      </c>
      <c r="F1820" s="18">
        <v>0</v>
      </c>
      <c r="G1820" s="18">
        <v>0</v>
      </c>
      <c r="H1820" s="18">
        <v>0</v>
      </c>
    </row>
    <row r="1821" spans="2:8">
      <c r="B1821" s="14" t="s">
        <v>7764</v>
      </c>
      <c r="C1821" s="245" t="s">
        <v>2369</v>
      </c>
      <c r="D1821" s="15">
        <v>0</v>
      </c>
      <c r="E1821" s="15">
        <v>0</v>
      </c>
      <c r="F1821" s="15">
        <v>0</v>
      </c>
      <c r="G1821" s="15">
        <v>0</v>
      </c>
      <c r="H1821" s="15">
        <v>0</v>
      </c>
    </row>
    <row r="1822" spans="2:8">
      <c r="B1822" s="17" t="s">
        <v>7765</v>
      </c>
      <c r="C1822" s="246" t="s">
        <v>2370</v>
      </c>
      <c r="D1822" s="18">
        <v>6</v>
      </c>
      <c r="E1822" s="18">
        <v>0</v>
      </c>
      <c r="F1822" s="18">
        <v>0</v>
      </c>
      <c r="G1822" s="18">
        <v>0</v>
      </c>
      <c r="H1822" s="18">
        <v>0</v>
      </c>
    </row>
    <row r="1823" spans="2:8">
      <c r="B1823" s="14" t="s">
        <v>7766</v>
      </c>
      <c r="C1823" s="245" t="s">
        <v>2371</v>
      </c>
      <c r="D1823" s="15">
        <v>0</v>
      </c>
      <c r="E1823" s="15">
        <v>0</v>
      </c>
      <c r="F1823" s="15">
        <v>0</v>
      </c>
      <c r="G1823" s="15">
        <v>0</v>
      </c>
      <c r="H1823" s="15">
        <v>0</v>
      </c>
    </row>
    <row r="1824" spans="2:8">
      <c r="B1824" s="17" t="s">
        <v>7767</v>
      </c>
      <c r="C1824" s="246" t="s">
        <v>2372</v>
      </c>
      <c r="D1824" s="18">
        <v>0</v>
      </c>
      <c r="E1824" s="18">
        <v>3</v>
      </c>
      <c r="F1824" s="18">
        <v>0</v>
      </c>
      <c r="G1824" s="18">
        <v>0</v>
      </c>
      <c r="H1824" s="18">
        <v>0</v>
      </c>
    </row>
    <row r="1825" spans="2:8">
      <c r="B1825" s="14" t="s">
        <v>7768</v>
      </c>
      <c r="C1825" s="245" t="s">
        <v>2373</v>
      </c>
      <c r="D1825" s="15">
        <v>0</v>
      </c>
      <c r="E1825" s="15">
        <v>0</v>
      </c>
      <c r="F1825" s="15">
        <v>0</v>
      </c>
      <c r="G1825" s="15">
        <v>0</v>
      </c>
      <c r="H1825" s="15">
        <v>0</v>
      </c>
    </row>
    <row r="1826" spans="2:8">
      <c r="B1826" s="17" t="s">
        <v>7769</v>
      </c>
      <c r="C1826" s="246" t="s">
        <v>2374</v>
      </c>
      <c r="D1826" s="18">
        <v>0</v>
      </c>
      <c r="E1826" s="18">
        <v>0</v>
      </c>
      <c r="F1826" s="18">
        <v>0</v>
      </c>
      <c r="G1826" s="18">
        <v>0</v>
      </c>
      <c r="H1826" s="18">
        <v>0</v>
      </c>
    </row>
    <row r="1827" spans="2:8">
      <c r="B1827" s="14" t="s">
        <v>7770</v>
      </c>
      <c r="C1827" s="245" t="s">
        <v>2375</v>
      </c>
      <c r="D1827" s="15">
        <v>0</v>
      </c>
      <c r="E1827" s="15">
        <v>0</v>
      </c>
      <c r="F1827" s="15">
        <v>0</v>
      </c>
      <c r="G1827" s="15">
        <v>0</v>
      </c>
      <c r="H1827" s="15">
        <v>0</v>
      </c>
    </row>
    <row r="1828" spans="2:8">
      <c r="B1828" s="17" t="s">
        <v>7771</v>
      </c>
      <c r="C1828" s="246" t="s">
        <v>2376</v>
      </c>
      <c r="D1828" s="18">
        <v>1771</v>
      </c>
      <c r="E1828" s="18">
        <v>1758</v>
      </c>
      <c r="F1828" s="18">
        <v>2439</v>
      </c>
      <c r="G1828" s="18">
        <v>3178</v>
      </c>
      <c r="H1828" s="18">
        <v>0</v>
      </c>
    </row>
    <row r="1829" spans="2:8">
      <c r="B1829" s="14" t="s">
        <v>7772</v>
      </c>
      <c r="C1829" s="245" t="s">
        <v>2377</v>
      </c>
      <c r="D1829" s="15">
        <v>0</v>
      </c>
      <c r="E1829" s="15">
        <v>0</v>
      </c>
      <c r="F1829" s="15">
        <v>0</v>
      </c>
      <c r="G1829" s="15">
        <v>0</v>
      </c>
      <c r="H1829" s="15">
        <v>0</v>
      </c>
    </row>
    <row r="1830" spans="2:8">
      <c r="B1830" s="17" t="s">
        <v>7773</v>
      </c>
      <c r="C1830" s="246" t="s">
        <v>1532</v>
      </c>
      <c r="D1830" s="18">
        <v>0</v>
      </c>
      <c r="E1830" s="18">
        <v>0</v>
      </c>
      <c r="F1830" s="18">
        <v>0</v>
      </c>
      <c r="G1830" s="18">
        <v>0</v>
      </c>
      <c r="H1830" s="18">
        <v>0</v>
      </c>
    </row>
    <row r="1831" spans="2:8">
      <c r="B1831" s="14" t="s">
        <v>7774</v>
      </c>
      <c r="C1831" s="245" t="s">
        <v>2378</v>
      </c>
      <c r="D1831" s="15">
        <v>0</v>
      </c>
      <c r="E1831" s="15">
        <v>0</v>
      </c>
      <c r="F1831" s="15">
        <v>0</v>
      </c>
      <c r="G1831" s="15">
        <v>0</v>
      </c>
      <c r="H1831" s="15">
        <v>0</v>
      </c>
    </row>
    <row r="1832" spans="2:8">
      <c r="B1832" s="17" t="s">
        <v>7775</v>
      </c>
      <c r="C1832" s="246" t="s">
        <v>2379</v>
      </c>
      <c r="D1832" s="18">
        <v>0</v>
      </c>
      <c r="E1832" s="18">
        <v>0</v>
      </c>
      <c r="F1832" s="18">
        <v>0</v>
      </c>
      <c r="G1832" s="18">
        <v>0</v>
      </c>
      <c r="H1832" s="18">
        <v>0</v>
      </c>
    </row>
    <row r="1833" spans="2:8">
      <c r="B1833" s="14" t="s">
        <v>7776</v>
      </c>
      <c r="C1833" s="245" t="s">
        <v>2380</v>
      </c>
      <c r="D1833" s="15">
        <v>0</v>
      </c>
      <c r="E1833" s="15">
        <v>0</v>
      </c>
      <c r="F1833" s="15">
        <v>0</v>
      </c>
      <c r="G1833" s="15">
        <v>0</v>
      </c>
      <c r="H1833" s="15">
        <v>0</v>
      </c>
    </row>
    <row r="1834" spans="2:8">
      <c r="B1834" s="17" t="s">
        <v>7777</v>
      </c>
      <c r="C1834" s="246" t="s">
        <v>2381</v>
      </c>
      <c r="D1834" s="18">
        <v>0</v>
      </c>
      <c r="E1834" s="18">
        <v>0</v>
      </c>
      <c r="F1834" s="18">
        <v>0</v>
      </c>
      <c r="G1834" s="18">
        <v>0</v>
      </c>
      <c r="H1834" s="18">
        <v>0</v>
      </c>
    </row>
    <row r="1835" spans="2:8">
      <c r="B1835" s="14" t="s">
        <v>7778</v>
      </c>
      <c r="C1835" s="245" t="s">
        <v>2382</v>
      </c>
      <c r="D1835" s="15">
        <v>0</v>
      </c>
      <c r="E1835" s="15">
        <v>0</v>
      </c>
      <c r="F1835" s="15">
        <v>0</v>
      </c>
      <c r="G1835" s="15">
        <v>0</v>
      </c>
      <c r="H1835" s="15">
        <v>0</v>
      </c>
    </row>
    <row r="1836" spans="2:8">
      <c r="B1836" s="17" t="s">
        <v>7779</v>
      </c>
      <c r="C1836" s="246" t="s">
        <v>2383</v>
      </c>
      <c r="D1836" s="18">
        <v>0</v>
      </c>
      <c r="E1836" s="18">
        <v>0</v>
      </c>
      <c r="F1836" s="18">
        <v>0</v>
      </c>
      <c r="G1836" s="18">
        <v>0</v>
      </c>
      <c r="H1836" s="18">
        <v>0</v>
      </c>
    </row>
    <row r="1837" spans="2:8">
      <c r="B1837" s="14" t="s">
        <v>7780</v>
      </c>
      <c r="C1837" s="245" t="s">
        <v>2384</v>
      </c>
      <c r="D1837" s="15">
        <v>0</v>
      </c>
      <c r="E1837" s="15">
        <v>0</v>
      </c>
      <c r="F1837" s="15">
        <v>0</v>
      </c>
      <c r="G1837" s="15">
        <v>0</v>
      </c>
      <c r="H1837" s="15">
        <v>0</v>
      </c>
    </row>
    <row r="1838" spans="2:8">
      <c r="B1838" s="17" t="s">
        <v>7781</v>
      </c>
      <c r="C1838" s="246" t="s">
        <v>2385</v>
      </c>
      <c r="D1838" s="18">
        <v>0</v>
      </c>
      <c r="E1838" s="18">
        <v>0</v>
      </c>
      <c r="F1838" s="18">
        <v>0</v>
      </c>
      <c r="G1838" s="18">
        <v>3</v>
      </c>
      <c r="H1838" s="18">
        <v>0</v>
      </c>
    </row>
    <row r="1839" spans="2:8">
      <c r="B1839" s="14" t="s">
        <v>7782</v>
      </c>
      <c r="C1839" s="245" t="s">
        <v>2386</v>
      </c>
      <c r="D1839" s="15">
        <v>0</v>
      </c>
      <c r="E1839" s="15">
        <v>0</v>
      </c>
      <c r="F1839" s="15">
        <v>0</v>
      </c>
      <c r="G1839" s="15">
        <v>0</v>
      </c>
      <c r="H1839" s="15">
        <v>0</v>
      </c>
    </row>
    <row r="1840" spans="2:8">
      <c r="B1840" s="17" t="s">
        <v>7783</v>
      </c>
      <c r="C1840" s="246" t="s">
        <v>2387</v>
      </c>
      <c r="D1840" s="18">
        <v>0</v>
      </c>
      <c r="E1840" s="18">
        <v>0</v>
      </c>
      <c r="F1840" s="18">
        <v>0</v>
      </c>
      <c r="G1840" s="18">
        <v>0</v>
      </c>
      <c r="H1840" s="18">
        <v>0</v>
      </c>
    </row>
    <row r="1841" spans="2:8">
      <c r="B1841" s="14" t="s">
        <v>7784</v>
      </c>
      <c r="C1841" s="245" t="s">
        <v>2388</v>
      </c>
      <c r="D1841" s="15">
        <v>0</v>
      </c>
      <c r="E1841" s="15">
        <v>0</v>
      </c>
      <c r="F1841" s="15">
        <v>0</v>
      </c>
      <c r="G1841" s="15">
        <v>0</v>
      </c>
      <c r="H1841" s="15">
        <v>0</v>
      </c>
    </row>
    <row r="1842" spans="2:8">
      <c r="B1842" s="17" t="s">
        <v>7785</v>
      </c>
      <c r="C1842" s="246" t="s">
        <v>2389</v>
      </c>
      <c r="D1842" s="18">
        <v>0</v>
      </c>
      <c r="E1842" s="18">
        <v>0</v>
      </c>
      <c r="F1842" s="18">
        <v>0</v>
      </c>
      <c r="G1842" s="18">
        <v>0</v>
      </c>
      <c r="H1842" s="18">
        <v>0</v>
      </c>
    </row>
    <row r="1843" spans="2:8">
      <c r="B1843" s="14" t="s">
        <v>7786</v>
      </c>
      <c r="C1843" s="245" t="s">
        <v>2390</v>
      </c>
      <c r="D1843" s="15">
        <v>625</v>
      </c>
      <c r="E1843" s="15">
        <v>184</v>
      </c>
      <c r="F1843" s="15">
        <v>44</v>
      </c>
      <c r="G1843" s="15">
        <v>591</v>
      </c>
      <c r="H1843" s="15">
        <v>0</v>
      </c>
    </row>
    <row r="1844" spans="2:8">
      <c r="B1844" s="17" t="s">
        <v>7787</v>
      </c>
      <c r="C1844" s="246" t="s">
        <v>2391</v>
      </c>
      <c r="D1844" s="18">
        <v>0</v>
      </c>
      <c r="E1844" s="18">
        <v>0</v>
      </c>
      <c r="F1844" s="18">
        <v>0</v>
      </c>
      <c r="G1844" s="18">
        <v>0</v>
      </c>
      <c r="H1844" s="18">
        <v>0</v>
      </c>
    </row>
    <row r="1845" spans="2:8">
      <c r="B1845" s="14" t="s">
        <v>7788</v>
      </c>
      <c r="C1845" s="245" t="s">
        <v>2392</v>
      </c>
      <c r="D1845" s="15">
        <v>0</v>
      </c>
      <c r="E1845" s="15">
        <v>5</v>
      </c>
      <c r="F1845" s="15">
        <v>52</v>
      </c>
      <c r="G1845" s="15">
        <v>18</v>
      </c>
      <c r="H1845" s="15">
        <v>0</v>
      </c>
    </row>
    <row r="1846" spans="2:8">
      <c r="B1846" s="17" t="s">
        <v>7789</v>
      </c>
      <c r="C1846" s="246" t="s">
        <v>2393</v>
      </c>
      <c r="D1846" s="18">
        <v>0</v>
      </c>
      <c r="E1846" s="18">
        <v>24</v>
      </c>
      <c r="F1846" s="18">
        <v>0</v>
      </c>
      <c r="G1846" s="18">
        <v>0</v>
      </c>
      <c r="H1846" s="18">
        <v>0</v>
      </c>
    </row>
    <row r="1847" spans="2:8">
      <c r="B1847" s="14" t="s">
        <v>7790</v>
      </c>
      <c r="C1847" s="245" t="s">
        <v>2394</v>
      </c>
      <c r="D1847" s="15">
        <v>0</v>
      </c>
      <c r="E1847" s="15">
        <v>0</v>
      </c>
      <c r="F1847" s="15">
        <v>0</v>
      </c>
      <c r="G1847" s="15">
        <v>0</v>
      </c>
      <c r="H1847" s="15">
        <v>0</v>
      </c>
    </row>
    <row r="1848" spans="2:8">
      <c r="B1848" s="17" t="s">
        <v>7791</v>
      </c>
      <c r="C1848" s="246" t="s">
        <v>2395</v>
      </c>
      <c r="D1848" s="18">
        <v>0</v>
      </c>
      <c r="E1848" s="18">
        <v>0</v>
      </c>
      <c r="F1848" s="18">
        <v>0</v>
      </c>
      <c r="G1848" s="18">
        <v>0</v>
      </c>
      <c r="H1848" s="18">
        <v>0</v>
      </c>
    </row>
    <row r="1849" spans="2:8">
      <c r="B1849" s="14" t="s">
        <v>7792</v>
      </c>
      <c r="C1849" s="245" t="s">
        <v>2396</v>
      </c>
      <c r="D1849" s="15">
        <v>0</v>
      </c>
      <c r="E1849" s="15">
        <v>0</v>
      </c>
      <c r="F1849" s="15">
        <v>0</v>
      </c>
      <c r="G1849" s="15">
        <v>0</v>
      </c>
      <c r="H1849" s="15">
        <v>0</v>
      </c>
    </row>
    <row r="1850" spans="2:8">
      <c r="B1850" s="17" t="s">
        <v>7793</v>
      </c>
      <c r="C1850" s="246" t="s">
        <v>2397</v>
      </c>
      <c r="D1850" s="18">
        <v>0</v>
      </c>
      <c r="E1850" s="18">
        <v>0</v>
      </c>
      <c r="F1850" s="18">
        <v>0</v>
      </c>
      <c r="G1850" s="18">
        <v>0</v>
      </c>
      <c r="H1850" s="18">
        <v>0</v>
      </c>
    </row>
    <row r="1851" spans="2:8">
      <c r="B1851" s="14" t="s">
        <v>7794</v>
      </c>
      <c r="C1851" s="245" t="s">
        <v>2398</v>
      </c>
      <c r="D1851" s="15">
        <v>0</v>
      </c>
      <c r="E1851" s="15">
        <v>0</v>
      </c>
      <c r="F1851" s="15">
        <v>0</v>
      </c>
      <c r="G1851" s="15">
        <v>0</v>
      </c>
      <c r="H1851" s="15">
        <v>0</v>
      </c>
    </row>
    <row r="1852" spans="2:8">
      <c r="B1852" s="17" t="s">
        <v>7795</v>
      </c>
      <c r="C1852" s="246" t="s">
        <v>2399</v>
      </c>
      <c r="D1852" s="18">
        <v>0</v>
      </c>
      <c r="E1852" s="18">
        <v>0</v>
      </c>
      <c r="F1852" s="18">
        <v>0</v>
      </c>
      <c r="G1852" s="18">
        <v>0</v>
      </c>
      <c r="H1852" s="18">
        <v>0</v>
      </c>
    </row>
    <row r="1853" spans="2:8">
      <c r="B1853" s="14" t="s">
        <v>7796</v>
      </c>
      <c r="C1853" s="245" t="s">
        <v>2400</v>
      </c>
      <c r="D1853" s="15">
        <v>0</v>
      </c>
      <c r="E1853" s="15">
        <v>0</v>
      </c>
      <c r="F1853" s="15">
        <v>0</v>
      </c>
      <c r="G1853" s="15">
        <v>0</v>
      </c>
      <c r="H1853" s="15">
        <v>0</v>
      </c>
    </row>
    <row r="1854" spans="2:8">
      <c r="B1854" s="17" t="s">
        <v>7797</v>
      </c>
      <c r="C1854" s="246" t="s">
        <v>2401</v>
      </c>
      <c r="D1854" s="18">
        <v>0</v>
      </c>
      <c r="E1854" s="18">
        <v>0</v>
      </c>
      <c r="F1854" s="18">
        <v>0</v>
      </c>
      <c r="G1854" s="18">
        <v>0</v>
      </c>
      <c r="H1854" s="18">
        <v>0</v>
      </c>
    </row>
    <row r="1855" spans="2:8">
      <c r="B1855" s="14" t="s">
        <v>7798</v>
      </c>
      <c r="C1855" s="245" t="s">
        <v>2402</v>
      </c>
      <c r="D1855" s="15">
        <v>0</v>
      </c>
      <c r="E1855" s="15">
        <v>0</v>
      </c>
      <c r="F1855" s="15">
        <v>0</v>
      </c>
      <c r="G1855" s="15">
        <v>0</v>
      </c>
      <c r="H1855" s="15">
        <v>0</v>
      </c>
    </row>
    <row r="1856" spans="2:8">
      <c r="B1856" s="17" t="s">
        <v>7799</v>
      </c>
      <c r="C1856" s="246" t="s">
        <v>2403</v>
      </c>
      <c r="D1856" s="18">
        <v>0</v>
      </c>
      <c r="E1856" s="18">
        <v>0</v>
      </c>
      <c r="F1856" s="18">
        <v>0</v>
      </c>
      <c r="G1856" s="18">
        <v>0</v>
      </c>
      <c r="H1856" s="18">
        <v>0</v>
      </c>
    </row>
    <row r="1857" spans="2:8">
      <c r="B1857" s="14" t="s">
        <v>7800</v>
      </c>
      <c r="C1857" s="245" t="s">
        <v>2404</v>
      </c>
      <c r="D1857" s="15">
        <v>0</v>
      </c>
      <c r="E1857" s="15">
        <v>0</v>
      </c>
      <c r="F1857" s="15">
        <v>0</v>
      </c>
      <c r="G1857" s="15">
        <v>0</v>
      </c>
      <c r="H1857" s="15">
        <v>0</v>
      </c>
    </row>
    <row r="1858" spans="2:8">
      <c r="B1858" s="17" t="s">
        <v>7801</v>
      </c>
      <c r="C1858" s="246" t="s">
        <v>2405</v>
      </c>
      <c r="D1858" s="18">
        <v>0</v>
      </c>
      <c r="E1858" s="18">
        <v>0</v>
      </c>
      <c r="F1858" s="18">
        <v>0</v>
      </c>
      <c r="G1858" s="18">
        <v>0</v>
      </c>
      <c r="H1858" s="18">
        <v>0</v>
      </c>
    </row>
    <row r="1859" spans="2:8">
      <c r="B1859" s="14" t="s">
        <v>7802</v>
      </c>
      <c r="C1859" s="245" t="s">
        <v>2406</v>
      </c>
      <c r="D1859" s="15">
        <v>0</v>
      </c>
      <c r="E1859" s="15">
        <v>0</v>
      </c>
      <c r="F1859" s="15">
        <v>0</v>
      </c>
      <c r="G1859" s="15">
        <v>0</v>
      </c>
      <c r="H1859" s="15">
        <v>0</v>
      </c>
    </row>
    <row r="1860" spans="2:8">
      <c r="B1860" s="17" t="s">
        <v>7803</v>
      </c>
      <c r="C1860" s="246" t="s">
        <v>2407</v>
      </c>
      <c r="D1860" s="18">
        <v>0</v>
      </c>
      <c r="E1860" s="18">
        <v>0</v>
      </c>
      <c r="F1860" s="18">
        <v>0</v>
      </c>
      <c r="G1860" s="18">
        <v>0</v>
      </c>
      <c r="H1860" s="18">
        <v>0</v>
      </c>
    </row>
    <row r="1861" spans="2:8">
      <c r="B1861" s="14" t="s">
        <v>7804</v>
      </c>
      <c r="C1861" s="245" t="s">
        <v>2408</v>
      </c>
      <c r="D1861" s="15">
        <v>0</v>
      </c>
      <c r="E1861" s="15">
        <v>0</v>
      </c>
      <c r="F1861" s="15">
        <v>3</v>
      </c>
      <c r="G1861" s="15">
        <v>0</v>
      </c>
      <c r="H1861" s="15">
        <v>0</v>
      </c>
    </row>
    <row r="1862" spans="2:8">
      <c r="B1862" s="17" t="s">
        <v>7805</v>
      </c>
      <c r="C1862" s="246" t="s">
        <v>2409</v>
      </c>
      <c r="D1862" s="18">
        <v>0</v>
      </c>
      <c r="E1862" s="18">
        <v>0</v>
      </c>
      <c r="F1862" s="18">
        <v>0</v>
      </c>
      <c r="G1862" s="18">
        <v>0</v>
      </c>
      <c r="H1862" s="18">
        <v>0</v>
      </c>
    </row>
    <row r="1863" spans="2:8">
      <c r="B1863" s="14" t="s">
        <v>7806</v>
      </c>
      <c r="C1863" s="245" t="s">
        <v>2410</v>
      </c>
      <c r="D1863" s="15">
        <v>0</v>
      </c>
      <c r="E1863" s="15">
        <v>0</v>
      </c>
      <c r="F1863" s="15">
        <v>0</v>
      </c>
      <c r="G1863" s="15">
        <v>0</v>
      </c>
      <c r="H1863" s="15">
        <v>0</v>
      </c>
    </row>
    <row r="1864" spans="2:8">
      <c r="B1864" s="17" t="s">
        <v>7807</v>
      </c>
      <c r="C1864" s="246" t="s">
        <v>2411</v>
      </c>
      <c r="D1864" s="18">
        <v>0</v>
      </c>
      <c r="E1864" s="18">
        <v>0</v>
      </c>
      <c r="F1864" s="18">
        <v>0</v>
      </c>
      <c r="G1864" s="18">
        <v>0</v>
      </c>
      <c r="H1864" s="18">
        <v>0</v>
      </c>
    </row>
    <row r="1865" spans="2:8">
      <c r="B1865" s="14" t="s">
        <v>7808</v>
      </c>
      <c r="C1865" s="245" t="s">
        <v>2412</v>
      </c>
      <c r="D1865" s="15">
        <v>0</v>
      </c>
      <c r="E1865" s="15">
        <v>0</v>
      </c>
      <c r="F1865" s="15">
        <v>0</v>
      </c>
      <c r="G1865" s="15">
        <v>0</v>
      </c>
      <c r="H1865" s="15">
        <v>0</v>
      </c>
    </row>
    <row r="1866" spans="2:8">
      <c r="B1866" s="17" t="s">
        <v>7809</v>
      </c>
      <c r="C1866" s="246" t="s">
        <v>2413</v>
      </c>
      <c r="D1866" s="18">
        <v>0</v>
      </c>
      <c r="E1866" s="18">
        <v>0</v>
      </c>
      <c r="F1866" s="18">
        <v>0</v>
      </c>
      <c r="G1866" s="18">
        <v>0</v>
      </c>
      <c r="H1866" s="18">
        <v>0</v>
      </c>
    </row>
    <row r="1867" spans="2:8">
      <c r="B1867" s="14" t="s">
        <v>7810</v>
      </c>
      <c r="C1867" s="245" t="s">
        <v>2414</v>
      </c>
      <c r="D1867" s="15">
        <v>0</v>
      </c>
      <c r="E1867" s="15">
        <v>0</v>
      </c>
      <c r="F1867" s="15">
        <v>0</v>
      </c>
      <c r="G1867" s="15">
        <v>0</v>
      </c>
      <c r="H1867" s="15">
        <v>0</v>
      </c>
    </row>
    <row r="1868" spans="2:8">
      <c r="B1868" s="17" t="s">
        <v>7811</v>
      </c>
      <c r="C1868" s="246" t="s">
        <v>2415</v>
      </c>
      <c r="D1868" s="18">
        <v>0</v>
      </c>
      <c r="E1868" s="18">
        <v>0</v>
      </c>
      <c r="F1868" s="18">
        <v>0</v>
      </c>
      <c r="G1868" s="18">
        <v>0</v>
      </c>
      <c r="H1868" s="18">
        <v>0</v>
      </c>
    </row>
    <row r="1869" spans="2:8">
      <c r="B1869" s="14" t="s">
        <v>7812</v>
      </c>
      <c r="C1869" s="245" t="s">
        <v>2416</v>
      </c>
      <c r="D1869" s="15">
        <v>346</v>
      </c>
      <c r="E1869" s="15">
        <v>178</v>
      </c>
      <c r="F1869" s="15">
        <v>180</v>
      </c>
      <c r="G1869" s="15">
        <v>663</v>
      </c>
      <c r="H1869" s="15">
        <v>0</v>
      </c>
    </row>
    <row r="1870" spans="2:8">
      <c r="B1870" s="17" t="s">
        <v>7813</v>
      </c>
      <c r="C1870" s="246" t="s">
        <v>2417</v>
      </c>
      <c r="D1870" s="18">
        <v>0</v>
      </c>
      <c r="E1870" s="18">
        <v>0</v>
      </c>
      <c r="F1870" s="18">
        <v>0</v>
      </c>
      <c r="G1870" s="18">
        <v>0</v>
      </c>
      <c r="H1870" s="18">
        <v>0</v>
      </c>
    </row>
    <row r="1871" spans="2:8">
      <c r="B1871" s="14" t="s">
        <v>7814</v>
      </c>
      <c r="C1871" s="245" t="s">
        <v>2418</v>
      </c>
      <c r="D1871" s="15">
        <v>0</v>
      </c>
      <c r="E1871" s="15">
        <v>0</v>
      </c>
      <c r="F1871" s="15">
        <v>0</v>
      </c>
      <c r="G1871" s="15">
        <v>0</v>
      </c>
      <c r="H1871" s="15">
        <v>0</v>
      </c>
    </row>
    <row r="1872" spans="2:8">
      <c r="B1872" s="17" t="s">
        <v>7815</v>
      </c>
      <c r="C1872" s="246" t="s">
        <v>2419</v>
      </c>
      <c r="D1872" s="18">
        <v>18</v>
      </c>
      <c r="E1872" s="18">
        <v>0</v>
      </c>
      <c r="F1872" s="18">
        <v>0</v>
      </c>
      <c r="G1872" s="18">
        <v>0</v>
      </c>
      <c r="H1872" s="18">
        <v>0</v>
      </c>
    </row>
    <row r="1873" spans="2:8">
      <c r="B1873" s="14" t="s">
        <v>7816</v>
      </c>
      <c r="C1873" s="245" t="s">
        <v>2420</v>
      </c>
      <c r="D1873" s="15">
        <v>0</v>
      </c>
      <c r="E1873" s="15">
        <v>0</v>
      </c>
      <c r="F1873" s="15">
        <v>0</v>
      </c>
      <c r="G1873" s="15">
        <v>0</v>
      </c>
      <c r="H1873" s="15">
        <v>0</v>
      </c>
    </row>
    <row r="1874" spans="2:8">
      <c r="B1874" s="17" t="s">
        <v>7817</v>
      </c>
      <c r="C1874" s="246" t="s">
        <v>2421</v>
      </c>
      <c r="D1874" s="18">
        <v>0</v>
      </c>
      <c r="E1874" s="18">
        <v>0</v>
      </c>
      <c r="F1874" s="18">
        <v>0</v>
      </c>
      <c r="G1874" s="18">
        <v>0</v>
      </c>
      <c r="H1874" s="18">
        <v>0</v>
      </c>
    </row>
    <row r="1875" spans="2:8">
      <c r="B1875" s="14" t="s">
        <v>7818</v>
      </c>
      <c r="C1875" s="245" t="s">
        <v>2422</v>
      </c>
      <c r="D1875" s="15">
        <v>0</v>
      </c>
      <c r="E1875" s="15">
        <v>0</v>
      </c>
      <c r="F1875" s="15">
        <v>0</v>
      </c>
      <c r="G1875" s="15">
        <v>0</v>
      </c>
      <c r="H1875" s="15">
        <v>0</v>
      </c>
    </row>
    <row r="1876" spans="2:8">
      <c r="B1876" s="17" t="s">
        <v>7819</v>
      </c>
      <c r="C1876" s="246" t="s">
        <v>2423</v>
      </c>
      <c r="D1876" s="18">
        <v>0</v>
      </c>
      <c r="E1876" s="18">
        <v>0</v>
      </c>
      <c r="F1876" s="18">
        <v>0</v>
      </c>
      <c r="G1876" s="18">
        <v>0</v>
      </c>
      <c r="H1876" s="18">
        <v>0</v>
      </c>
    </row>
    <row r="1877" spans="2:8">
      <c r="B1877" s="14" t="s">
        <v>7820</v>
      </c>
      <c r="C1877" s="245" t="s">
        <v>2424</v>
      </c>
      <c r="D1877" s="15">
        <v>0</v>
      </c>
      <c r="E1877" s="15">
        <v>0</v>
      </c>
      <c r="F1877" s="15">
        <v>0</v>
      </c>
      <c r="G1877" s="15">
        <v>0</v>
      </c>
      <c r="H1877" s="15">
        <v>0</v>
      </c>
    </row>
    <row r="1878" spans="2:8">
      <c r="B1878" s="17" t="s">
        <v>7821</v>
      </c>
      <c r="C1878" s="246" t="s">
        <v>2425</v>
      </c>
      <c r="D1878" s="18">
        <v>0</v>
      </c>
      <c r="E1878" s="18">
        <v>0</v>
      </c>
      <c r="F1878" s="18">
        <v>0</v>
      </c>
      <c r="G1878" s="18">
        <v>0</v>
      </c>
      <c r="H1878" s="18">
        <v>0</v>
      </c>
    </row>
    <row r="1879" spans="2:8">
      <c r="B1879" s="14" t="s">
        <v>7822</v>
      </c>
      <c r="C1879" s="245" t="s">
        <v>2426</v>
      </c>
      <c r="D1879" s="15">
        <v>0</v>
      </c>
      <c r="E1879" s="15">
        <v>0</v>
      </c>
      <c r="F1879" s="15">
        <v>0</v>
      </c>
      <c r="G1879" s="15">
        <v>0</v>
      </c>
      <c r="H1879" s="15">
        <v>0</v>
      </c>
    </row>
    <row r="1880" spans="2:8">
      <c r="B1880" s="17" t="s">
        <v>7823</v>
      </c>
      <c r="C1880" s="246" t="s">
        <v>2427</v>
      </c>
      <c r="D1880" s="18">
        <v>0</v>
      </c>
      <c r="E1880" s="18">
        <v>0</v>
      </c>
      <c r="F1880" s="18">
        <v>0</v>
      </c>
      <c r="G1880" s="18">
        <v>0</v>
      </c>
      <c r="H1880" s="18">
        <v>0</v>
      </c>
    </row>
    <row r="1881" spans="2:8">
      <c r="B1881" s="14" t="s">
        <v>7824</v>
      </c>
      <c r="C1881" s="245" t="s">
        <v>2428</v>
      </c>
      <c r="D1881" s="15">
        <v>0</v>
      </c>
      <c r="E1881" s="15">
        <v>0</v>
      </c>
      <c r="F1881" s="15">
        <v>0</v>
      </c>
      <c r="G1881" s="15">
        <v>0</v>
      </c>
      <c r="H1881" s="15">
        <v>0</v>
      </c>
    </row>
    <row r="1882" spans="2:8">
      <c r="B1882" s="17" t="s">
        <v>7825</v>
      </c>
      <c r="C1882" s="246" t="s">
        <v>2429</v>
      </c>
      <c r="D1882" s="18">
        <v>0</v>
      </c>
      <c r="E1882" s="18">
        <v>0</v>
      </c>
      <c r="F1882" s="18">
        <v>0</v>
      </c>
      <c r="G1882" s="18">
        <v>0</v>
      </c>
      <c r="H1882" s="18">
        <v>0</v>
      </c>
    </row>
    <row r="1883" spans="2:8">
      <c r="B1883" s="14" t="s">
        <v>7826</v>
      </c>
      <c r="C1883" s="245" t="s">
        <v>2430</v>
      </c>
      <c r="D1883" s="15">
        <v>0</v>
      </c>
      <c r="E1883" s="15">
        <v>0</v>
      </c>
      <c r="F1883" s="15">
        <v>0</v>
      </c>
      <c r="G1883" s="15">
        <v>0</v>
      </c>
      <c r="H1883" s="15">
        <v>0</v>
      </c>
    </row>
    <row r="1884" spans="2:8">
      <c r="B1884" s="17" t="s">
        <v>7827</v>
      </c>
      <c r="C1884" s="246" t="s">
        <v>2431</v>
      </c>
      <c r="D1884" s="18">
        <v>0</v>
      </c>
      <c r="E1884" s="18">
        <v>0</v>
      </c>
      <c r="F1884" s="18">
        <v>0</v>
      </c>
      <c r="G1884" s="18">
        <v>0</v>
      </c>
      <c r="H1884" s="18">
        <v>0</v>
      </c>
    </row>
    <row r="1885" spans="2:8">
      <c r="B1885" s="14" t="s">
        <v>7828</v>
      </c>
      <c r="C1885" s="245" t="s">
        <v>2432</v>
      </c>
      <c r="D1885" s="15">
        <v>0</v>
      </c>
      <c r="E1885" s="15">
        <v>0</v>
      </c>
      <c r="F1885" s="15">
        <v>0</v>
      </c>
      <c r="G1885" s="15">
        <v>0</v>
      </c>
      <c r="H1885" s="15">
        <v>0</v>
      </c>
    </row>
    <row r="1886" spans="2:8">
      <c r="B1886" s="17" t="s">
        <v>7829</v>
      </c>
      <c r="C1886" s="246" t="s">
        <v>2433</v>
      </c>
      <c r="D1886" s="18">
        <v>0</v>
      </c>
      <c r="E1886" s="18">
        <v>0</v>
      </c>
      <c r="F1886" s="18">
        <v>0</v>
      </c>
      <c r="G1886" s="18">
        <v>0</v>
      </c>
      <c r="H1886" s="18">
        <v>0</v>
      </c>
    </row>
    <row r="1887" spans="2:8">
      <c r="B1887" s="14" t="s">
        <v>7830</v>
      </c>
      <c r="C1887" s="245" t="s">
        <v>2434</v>
      </c>
      <c r="D1887" s="15">
        <v>0</v>
      </c>
      <c r="E1887" s="15">
        <v>0</v>
      </c>
      <c r="F1887" s="15">
        <v>0</v>
      </c>
      <c r="G1887" s="15">
        <v>0</v>
      </c>
      <c r="H1887" s="15">
        <v>0</v>
      </c>
    </row>
    <row r="1888" spans="2:8">
      <c r="B1888" s="17" t="s">
        <v>7831</v>
      </c>
      <c r="C1888" s="246" t="s">
        <v>2435</v>
      </c>
      <c r="D1888" s="18">
        <v>0</v>
      </c>
      <c r="E1888" s="18">
        <v>0</v>
      </c>
      <c r="F1888" s="18">
        <v>0</v>
      </c>
      <c r="G1888" s="18">
        <v>0</v>
      </c>
      <c r="H1888" s="18">
        <v>0</v>
      </c>
    </row>
    <row r="1889" spans="2:8">
      <c r="B1889" s="14" t="s">
        <v>7832</v>
      </c>
      <c r="C1889" s="245" t="s">
        <v>2436</v>
      </c>
      <c r="D1889" s="15">
        <v>13</v>
      </c>
      <c r="E1889" s="15">
        <v>19</v>
      </c>
      <c r="F1889" s="15">
        <v>0</v>
      </c>
      <c r="G1889" s="15">
        <v>0</v>
      </c>
      <c r="H1889" s="15">
        <v>0</v>
      </c>
    </row>
    <row r="1890" spans="2:8">
      <c r="B1890" s="17" t="s">
        <v>7833</v>
      </c>
      <c r="C1890" s="246" t="s">
        <v>2437</v>
      </c>
      <c r="D1890" s="18">
        <v>0</v>
      </c>
      <c r="E1890" s="18">
        <v>0</v>
      </c>
      <c r="F1890" s="18">
        <v>2</v>
      </c>
      <c r="G1890" s="18">
        <v>0</v>
      </c>
      <c r="H1890" s="18">
        <v>0</v>
      </c>
    </row>
    <row r="1891" spans="2:8">
      <c r="B1891" s="14" t="s">
        <v>7834</v>
      </c>
      <c r="C1891" s="245" t="s">
        <v>2438</v>
      </c>
      <c r="D1891" s="15">
        <v>0</v>
      </c>
      <c r="E1891" s="15">
        <v>0</v>
      </c>
      <c r="F1891" s="15">
        <v>0</v>
      </c>
      <c r="G1891" s="15">
        <v>0</v>
      </c>
      <c r="H1891" s="15">
        <v>0</v>
      </c>
    </row>
    <row r="1892" spans="2:8">
      <c r="B1892" s="17" t="s">
        <v>7835</v>
      </c>
      <c r="C1892" s="246" t="s">
        <v>2439</v>
      </c>
      <c r="D1892" s="18">
        <v>0</v>
      </c>
      <c r="E1892" s="18">
        <v>0</v>
      </c>
      <c r="F1892" s="18">
        <v>0</v>
      </c>
      <c r="G1892" s="18">
        <v>0</v>
      </c>
      <c r="H1892" s="18">
        <v>0</v>
      </c>
    </row>
    <row r="1893" spans="2:8">
      <c r="B1893" s="14" t="s">
        <v>7836</v>
      </c>
      <c r="C1893" s="245" t="s">
        <v>2440</v>
      </c>
      <c r="D1893" s="15">
        <v>0</v>
      </c>
      <c r="E1893" s="15">
        <v>0</v>
      </c>
      <c r="F1893" s="15">
        <v>0</v>
      </c>
      <c r="G1893" s="15">
        <v>0</v>
      </c>
      <c r="H1893" s="15">
        <v>0</v>
      </c>
    </row>
    <row r="1894" spans="2:8">
      <c r="B1894" s="17" t="s">
        <v>7837</v>
      </c>
      <c r="C1894" s="246" t="s">
        <v>2441</v>
      </c>
      <c r="D1894" s="18">
        <v>0</v>
      </c>
      <c r="E1894" s="18">
        <v>0</v>
      </c>
      <c r="F1894" s="18">
        <v>0</v>
      </c>
      <c r="G1894" s="18">
        <v>0</v>
      </c>
      <c r="H1894" s="18">
        <v>0</v>
      </c>
    </row>
    <row r="1895" spans="2:8">
      <c r="B1895" s="14" t="s">
        <v>7838</v>
      </c>
      <c r="C1895" s="245" t="s">
        <v>2442</v>
      </c>
      <c r="D1895" s="15">
        <v>0</v>
      </c>
      <c r="E1895" s="15">
        <v>0</v>
      </c>
      <c r="F1895" s="15">
        <v>0</v>
      </c>
      <c r="G1895" s="15">
        <v>0</v>
      </c>
      <c r="H1895" s="15">
        <v>0</v>
      </c>
    </row>
    <row r="1896" spans="2:8">
      <c r="B1896" s="17" t="s">
        <v>7839</v>
      </c>
      <c r="C1896" s="246" t="s">
        <v>2443</v>
      </c>
      <c r="D1896" s="18">
        <v>4</v>
      </c>
      <c r="E1896" s="18">
        <v>6</v>
      </c>
      <c r="F1896" s="18">
        <v>0</v>
      </c>
      <c r="G1896" s="18">
        <v>0</v>
      </c>
      <c r="H1896" s="18">
        <v>0</v>
      </c>
    </row>
    <row r="1897" spans="2:8">
      <c r="B1897" s="14" t="s">
        <v>7840</v>
      </c>
      <c r="C1897" s="245" t="s">
        <v>2444</v>
      </c>
      <c r="D1897" s="15">
        <v>0</v>
      </c>
      <c r="E1897" s="15">
        <v>0</v>
      </c>
      <c r="F1897" s="15">
        <v>0</v>
      </c>
      <c r="G1897" s="15">
        <v>0</v>
      </c>
      <c r="H1897" s="15">
        <v>0</v>
      </c>
    </row>
    <row r="1898" spans="2:8">
      <c r="B1898" s="17" t="s">
        <v>7841</v>
      </c>
      <c r="C1898" s="246" t="s">
        <v>2445</v>
      </c>
      <c r="D1898" s="18">
        <v>0</v>
      </c>
      <c r="E1898" s="18">
        <v>0</v>
      </c>
      <c r="F1898" s="18">
        <v>0</v>
      </c>
      <c r="G1898" s="18">
        <v>0</v>
      </c>
      <c r="H1898" s="18">
        <v>0</v>
      </c>
    </row>
    <row r="1899" spans="2:8">
      <c r="B1899" s="14" t="s">
        <v>7842</v>
      </c>
      <c r="C1899" s="245" t="s">
        <v>2446</v>
      </c>
      <c r="D1899" s="15">
        <v>0</v>
      </c>
      <c r="E1899" s="15">
        <v>0</v>
      </c>
      <c r="F1899" s="15">
        <v>0</v>
      </c>
      <c r="G1899" s="15">
        <v>0</v>
      </c>
      <c r="H1899" s="15">
        <v>0</v>
      </c>
    </row>
    <row r="1900" spans="2:8">
      <c r="B1900" s="17" t="s">
        <v>7843</v>
      </c>
      <c r="C1900" s="246" t="s">
        <v>2447</v>
      </c>
      <c r="D1900" s="18">
        <v>0</v>
      </c>
      <c r="E1900" s="18">
        <v>0</v>
      </c>
      <c r="F1900" s="18">
        <v>0</v>
      </c>
      <c r="G1900" s="18">
        <v>0</v>
      </c>
      <c r="H1900" s="18">
        <v>0</v>
      </c>
    </row>
    <row r="1901" spans="2:8">
      <c r="B1901" s="14" t="s">
        <v>7844</v>
      </c>
      <c r="C1901" s="245" t="s">
        <v>2448</v>
      </c>
      <c r="D1901" s="15">
        <v>0</v>
      </c>
      <c r="E1901" s="15">
        <v>0</v>
      </c>
      <c r="F1901" s="15">
        <v>8</v>
      </c>
      <c r="G1901" s="15">
        <v>0</v>
      </c>
      <c r="H1901" s="15">
        <v>0</v>
      </c>
    </row>
    <row r="1902" spans="2:8">
      <c r="B1902" s="17" t="s">
        <v>7845</v>
      </c>
      <c r="C1902" s="246" t="s">
        <v>2449</v>
      </c>
      <c r="D1902" s="18">
        <v>0</v>
      </c>
      <c r="E1902" s="18">
        <v>0</v>
      </c>
      <c r="F1902" s="18">
        <v>0</v>
      </c>
      <c r="G1902" s="18">
        <v>0</v>
      </c>
      <c r="H1902" s="18">
        <v>0</v>
      </c>
    </row>
    <row r="1903" spans="2:8">
      <c r="B1903" s="14" t="s">
        <v>7846</v>
      </c>
      <c r="C1903" s="245" t="s">
        <v>2450</v>
      </c>
      <c r="D1903" s="15">
        <v>0</v>
      </c>
      <c r="E1903" s="15">
        <v>0</v>
      </c>
      <c r="F1903" s="15">
        <v>0</v>
      </c>
      <c r="G1903" s="15">
        <v>0</v>
      </c>
      <c r="H1903" s="15">
        <v>0</v>
      </c>
    </row>
    <row r="1904" spans="2:8">
      <c r="B1904" s="17" t="s">
        <v>7847</v>
      </c>
      <c r="C1904" s="246" t="s">
        <v>2451</v>
      </c>
      <c r="D1904" s="18">
        <v>0</v>
      </c>
      <c r="E1904" s="18">
        <v>0</v>
      </c>
      <c r="F1904" s="18">
        <v>0</v>
      </c>
      <c r="G1904" s="18">
        <v>0</v>
      </c>
      <c r="H1904" s="18">
        <v>0</v>
      </c>
    </row>
    <row r="1905" spans="2:8">
      <c r="B1905" s="14" t="s">
        <v>7848</v>
      </c>
      <c r="C1905" s="245" t="s">
        <v>2452</v>
      </c>
      <c r="D1905" s="15">
        <v>0</v>
      </c>
      <c r="E1905" s="15">
        <v>0</v>
      </c>
      <c r="F1905" s="15">
        <v>0</v>
      </c>
      <c r="G1905" s="15">
        <v>0</v>
      </c>
      <c r="H1905" s="15">
        <v>0</v>
      </c>
    </row>
    <row r="1906" spans="2:8">
      <c r="B1906" s="17" t="s">
        <v>7849</v>
      </c>
      <c r="C1906" s="246" t="s">
        <v>2453</v>
      </c>
      <c r="D1906" s="18">
        <v>0</v>
      </c>
      <c r="E1906" s="18">
        <v>0</v>
      </c>
      <c r="F1906" s="18">
        <v>0</v>
      </c>
      <c r="G1906" s="18">
        <v>0</v>
      </c>
      <c r="H1906" s="18">
        <v>0</v>
      </c>
    </row>
    <row r="1907" spans="2:8">
      <c r="B1907" s="14" t="s">
        <v>7850</v>
      </c>
      <c r="C1907" s="245" t="s">
        <v>2454</v>
      </c>
      <c r="D1907" s="15">
        <v>0</v>
      </c>
      <c r="E1907" s="15">
        <v>0</v>
      </c>
      <c r="F1907" s="15">
        <v>0</v>
      </c>
      <c r="G1907" s="15">
        <v>0</v>
      </c>
      <c r="H1907" s="15">
        <v>0</v>
      </c>
    </row>
    <row r="1908" spans="2:8">
      <c r="B1908" s="17" t="s">
        <v>7851</v>
      </c>
      <c r="C1908" s="246" t="s">
        <v>2455</v>
      </c>
      <c r="D1908" s="18">
        <v>0</v>
      </c>
      <c r="E1908" s="18">
        <v>0</v>
      </c>
      <c r="F1908" s="18">
        <v>0</v>
      </c>
      <c r="G1908" s="18">
        <v>0</v>
      </c>
      <c r="H1908" s="18">
        <v>0</v>
      </c>
    </row>
    <row r="1909" spans="2:8">
      <c r="B1909" s="14" t="s">
        <v>7852</v>
      </c>
      <c r="C1909" s="245" t="s">
        <v>2456</v>
      </c>
      <c r="D1909" s="15">
        <v>0</v>
      </c>
      <c r="E1909" s="15">
        <v>0</v>
      </c>
      <c r="F1909" s="15">
        <v>0</v>
      </c>
      <c r="G1909" s="15">
        <v>0</v>
      </c>
      <c r="H1909" s="15">
        <v>0</v>
      </c>
    </row>
    <row r="1910" spans="2:8">
      <c r="B1910" s="17" t="s">
        <v>7853</v>
      </c>
      <c r="C1910" s="246" t="s">
        <v>2457</v>
      </c>
      <c r="D1910" s="18">
        <v>0</v>
      </c>
      <c r="E1910" s="18">
        <v>0</v>
      </c>
      <c r="F1910" s="18">
        <v>0</v>
      </c>
      <c r="G1910" s="18">
        <v>0</v>
      </c>
      <c r="H1910" s="18">
        <v>0</v>
      </c>
    </row>
    <row r="1911" spans="2:8">
      <c r="B1911" s="14" t="s">
        <v>7854</v>
      </c>
      <c r="C1911" s="245" t="s">
        <v>2458</v>
      </c>
      <c r="D1911" s="15">
        <v>0</v>
      </c>
      <c r="E1911" s="15">
        <v>0</v>
      </c>
      <c r="F1911" s="15">
        <v>0</v>
      </c>
      <c r="G1911" s="15">
        <v>0</v>
      </c>
      <c r="H1911" s="15">
        <v>0</v>
      </c>
    </row>
    <row r="1912" spans="2:8">
      <c r="B1912" s="17" t="s">
        <v>7855</v>
      </c>
      <c r="C1912" s="246" t="s">
        <v>2459</v>
      </c>
      <c r="D1912" s="18">
        <v>0</v>
      </c>
      <c r="E1912" s="18">
        <v>0</v>
      </c>
      <c r="F1912" s="18">
        <v>0</v>
      </c>
      <c r="G1912" s="18">
        <v>0</v>
      </c>
      <c r="H1912" s="18">
        <v>0</v>
      </c>
    </row>
    <row r="1913" spans="2:8">
      <c r="B1913" s="14" t="s">
        <v>7856</v>
      </c>
      <c r="C1913" s="245" t="s">
        <v>2459</v>
      </c>
      <c r="D1913" s="15">
        <v>0</v>
      </c>
      <c r="E1913" s="15">
        <v>0</v>
      </c>
      <c r="F1913" s="15">
        <v>0</v>
      </c>
      <c r="G1913" s="15">
        <v>0</v>
      </c>
      <c r="H1913" s="15">
        <v>0</v>
      </c>
    </row>
    <row r="1914" spans="2:8">
      <c r="B1914" s="17" t="s">
        <v>7857</v>
      </c>
      <c r="C1914" s="246" t="s">
        <v>2460</v>
      </c>
      <c r="D1914" s="18">
        <v>3</v>
      </c>
      <c r="E1914" s="18">
        <v>4</v>
      </c>
      <c r="F1914" s="18">
        <v>0</v>
      </c>
      <c r="G1914" s="18">
        <v>748</v>
      </c>
      <c r="H1914" s="18">
        <v>0</v>
      </c>
    </row>
    <row r="1915" spans="2:8">
      <c r="B1915" s="14" t="s">
        <v>7858</v>
      </c>
      <c r="C1915" s="245" t="s">
        <v>2461</v>
      </c>
      <c r="D1915" s="15">
        <v>0</v>
      </c>
      <c r="E1915" s="15">
        <v>0</v>
      </c>
      <c r="F1915" s="15">
        <v>0</v>
      </c>
      <c r="G1915" s="15">
        <v>0</v>
      </c>
      <c r="H1915" s="15">
        <v>0</v>
      </c>
    </row>
    <row r="1916" spans="2:8">
      <c r="B1916" s="17" t="s">
        <v>7859</v>
      </c>
      <c r="C1916" s="246" t="s">
        <v>2462</v>
      </c>
      <c r="D1916" s="18">
        <v>0</v>
      </c>
      <c r="E1916" s="18">
        <v>0</v>
      </c>
      <c r="F1916" s="18">
        <v>0</v>
      </c>
      <c r="G1916" s="18">
        <v>0</v>
      </c>
      <c r="H1916" s="18">
        <v>0</v>
      </c>
    </row>
    <row r="1917" spans="2:8">
      <c r="B1917" s="14" t="s">
        <v>7860</v>
      </c>
      <c r="C1917" s="245" t="s">
        <v>2463</v>
      </c>
      <c r="D1917" s="15">
        <v>0</v>
      </c>
      <c r="E1917" s="15">
        <v>0</v>
      </c>
      <c r="F1917" s="15">
        <v>0</v>
      </c>
      <c r="G1917" s="15">
        <v>6</v>
      </c>
      <c r="H1917" s="15">
        <v>0</v>
      </c>
    </row>
    <row r="1918" spans="2:8">
      <c r="B1918" s="17" t="s">
        <v>7861</v>
      </c>
      <c r="C1918" s="246" t="s">
        <v>2464</v>
      </c>
      <c r="D1918" s="18">
        <v>0</v>
      </c>
      <c r="E1918" s="18">
        <v>0</v>
      </c>
      <c r="F1918" s="18">
        <v>0</v>
      </c>
      <c r="G1918" s="18">
        <v>0</v>
      </c>
      <c r="H1918" s="18">
        <v>0</v>
      </c>
    </row>
    <row r="1919" spans="2:8">
      <c r="B1919" s="14" t="s">
        <v>7862</v>
      </c>
      <c r="C1919" s="245" t="s">
        <v>2465</v>
      </c>
      <c r="D1919" s="15">
        <v>0</v>
      </c>
      <c r="E1919" s="15">
        <v>0</v>
      </c>
      <c r="F1919" s="15">
        <v>0</v>
      </c>
      <c r="G1919" s="15">
        <v>0</v>
      </c>
      <c r="H1919" s="15">
        <v>0</v>
      </c>
    </row>
    <row r="1920" spans="2:8">
      <c r="B1920" s="17" t="s">
        <v>7863</v>
      </c>
      <c r="C1920" s="246" t="s">
        <v>2466</v>
      </c>
      <c r="D1920" s="18">
        <v>0</v>
      </c>
      <c r="E1920" s="18">
        <v>0</v>
      </c>
      <c r="F1920" s="18">
        <v>0</v>
      </c>
      <c r="G1920" s="18">
        <v>0</v>
      </c>
      <c r="H1920" s="18">
        <v>0</v>
      </c>
    </row>
    <row r="1921" spans="2:8">
      <c r="B1921" s="14" t="s">
        <v>7864</v>
      </c>
      <c r="C1921" s="245" t="s">
        <v>2467</v>
      </c>
      <c r="D1921" s="15">
        <v>0</v>
      </c>
      <c r="E1921" s="15">
        <v>0</v>
      </c>
      <c r="F1921" s="15">
        <v>0</v>
      </c>
      <c r="G1921" s="15">
        <v>0</v>
      </c>
      <c r="H1921" s="15">
        <v>0</v>
      </c>
    </row>
    <row r="1922" spans="2:8">
      <c r="B1922" s="17" t="s">
        <v>7865</v>
      </c>
      <c r="C1922" s="246" t="s">
        <v>2468</v>
      </c>
      <c r="D1922" s="18">
        <v>0</v>
      </c>
      <c r="E1922" s="18">
        <v>0</v>
      </c>
      <c r="F1922" s="18">
        <v>0</v>
      </c>
      <c r="G1922" s="18">
        <v>0</v>
      </c>
      <c r="H1922" s="18">
        <v>0</v>
      </c>
    </row>
    <row r="1923" spans="2:8">
      <c r="B1923" s="14" t="s">
        <v>7866</v>
      </c>
      <c r="C1923" s="245" t="s">
        <v>2469</v>
      </c>
      <c r="D1923" s="15">
        <v>0</v>
      </c>
      <c r="E1923" s="15">
        <v>0</v>
      </c>
      <c r="F1923" s="15">
        <v>0</v>
      </c>
      <c r="G1923" s="15">
        <v>0</v>
      </c>
      <c r="H1923" s="15">
        <v>0</v>
      </c>
    </row>
    <row r="1924" spans="2:8">
      <c r="B1924" s="17" t="s">
        <v>7867</v>
      </c>
      <c r="C1924" s="246" t="s">
        <v>2470</v>
      </c>
      <c r="D1924" s="18">
        <v>0</v>
      </c>
      <c r="E1924" s="18">
        <v>0</v>
      </c>
      <c r="F1924" s="18">
        <v>0</v>
      </c>
      <c r="G1924" s="18">
        <v>0</v>
      </c>
      <c r="H1924" s="18">
        <v>0</v>
      </c>
    </row>
    <row r="1925" spans="2:8">
      <c r="B1925" s="14" t="s">
        <v>7868</v>
      </c>
      <c r="C1925" s="245" t="s">
        <v>2471</v>
      </c>
      <c r="D1925" s="15">
        <v>0</v>
      </c>
      <c r="E1925" s="15">
        <v>0</v>
      </c>
      <c r="F1925" s="15">
        <v>0</v>
      </c>
      <c r="G1925" s="15">
        <v>0</v>
      </c>
      <c r="H1925" s="15">
        <v>0</v>
      </c>
    </row>
    <row r="1926" spans="2:8">
      <c r="B1926" s="17" t="s">
        <v>7869</v>
      </c>
      <c r="C1926" s="246" t="s">
        <v>2472</v>
      </c>
      <c r="D1926" s="18">
        <v>0</v>
      </c>
      <c r="E1926" s="18">
        <v>0</v>
      </c>
      <c r="F1926" s="18">
        <v>0</v>
      </c>
      <c r="G1926" s="18">
        <v>0</v>
      </c>
      <c r="H1926" s="18">
        <v>0</v>
      </c>
    </row>
    <row r="1927" spans="2:8">
      <c r="B1927" s="14" t="s">
        <v>7870</v>
      </c>
      <c r="C1927" s="245" t="s">
        <v>2473</v>
      </c>
      <c r="D1927" s="15">
        <v>0</v>
      </c>
      <c r="E1927" s="15">
        <v>0</v>
      </c>
      <c r="F1927" s="15">
        <v>0</v>
      </c>
      <c r="G1927" s="15">
        <v>0</v>
      </c>
      <c r="H1927" s="15">
        <v>0</v>
      </c>
    </row>
    <row r="1928" spans="2:8">
      <c r="B1928" s="17" t="s">
        <v>7871</v>
      </c>
      <c r="C1928" s="246" t="s">
        <v>2474</v>
      </c>
      <c r="D1928" s="18">
        <v>0</v>
      </c>
      <c r="E1928" s="18">
        <v>0</v>
      </c>
      <c r="F1928" s="18">
        <v>4</v>
      </c>
      <c r="G1928" s="18">
        <v>9</v>
      </c>
      <c r="H1928" s="18">
        <v>0</v>
      </c>
    </row>
    <row r="1929" spans="2:8">
      <c r="B1929" s="14" t="s">
        <v>7872</v>
      </c>
      <c r="C1929" s="245" t="s">
        <v>2475</v>
      </c>
      <c r="D1929" s="15">
        <v>0</v>
      </c>
      <c r="E1929" s="15">
        <v>0</v>
      </c>
      <c r="F1929" s="15">
        <v>0</v>
      </c>
      <c r="G1929" s="15">
        <v>0</v>
      </c>
      <c r="H1929" s="15">
        <v>0</v>
      </c>
    </row>
    <row r="1930" spans="2:8">
      <c r="B1930" s="17" t="s">
        <v>7873</v>
      </c>
      <c r="C1930" s="246" t="s">
        <v>2476</v>
      </c>
      <c r="D1930" s="18">
        <v>0</v>
      </c>
      <c r="E1930" s="18">
        <v>0</v>
      </c>
      <c r="F1930" s="18">
        <v>0</v>
      </c>
      <c r="G1930" s="18">
        <v>0</v>
      </c>
      <c r="H1930" s="18">
        <v>0</v>
      </c>
    </row>
    <row r="1931" spans="2:8">
      <c r="B1931" s="14" t="s">
        <v>7874</v>
      </c>
      <c r="C1931" s="245" t="s">
        <v>2477</v>
      </c>
      <c r="D1931" s="15">
        <v>0</v>
      </c>
      <c r="E1931" s="15">
        <v>0</v>
      </c>
      <c r="F1931" s="15">
        <v>0</v>
      </c>
      <c r="G1931" s="15">
        <v>0</v>
      </c>
      <c r="H1931" s="15">
        <v>0</v>
      </c>
    </row>
    <row r="1932" spans="2:8">
      <c r="B1932" s="17" t="s">
        <v>7875</v>
      </c>
      <c r="C1932" s="246" t="s">
        <v>2478</v>
      </c>
      <c r="D1932" s="18">
        <v>0</v>
      </c>
      <c r="E1932" s="18">
        <v>0</v>
      </c>
      <c r="F1932" s="18">
        <v>0</v>
      </c>
      <c r="G1932" s="18">
        <v>0</v>
      </c>
      <c r="H1932" s="18">
        <v>0</v>
      </c>
    </row>
    <row r="1933" spans="2:8">
      <c r="B1933" s="14" t="s">
        <v>7876</v>
      </c>
      <c r="C1933" s="245" t="s">
        <v>2479</v>
      </c>
      <c r="D1933" s="15">
        <v>0</v>
      </c>
      <c r="E1933" s="15">
        <v>0</v>
      </c>
      <c r="F1933" s="15">
        <v>0</v>
      </c>
      <c r="G1933" s="15">
        <v>0</v>
      </c>
      <c r="H1933" s="15">
        <v>0</v>
      </c>
    </row>
    <row r="1934" spans="2:8">
      <c r="B1934" s="17" t="s">
        <v>7877</v>
      </c>
      <c r="C1934" s="246" t="s">
        <v>2480</v>
      </c>
      <c r="D1934" s="18">
        <v>0</v>
      </c>
      <c r="E1934" s="18">
        <v>0</v>
      </c>
      <c r="F1934" s="18">
        <v>0</v>
      </c>
      <c r="G1934" s="18">
        <v>0</v>
      </c>
      <c r="H1934" s="18">
        <v>0</v>
      </c>
    </row>
    <row r="1935" spans="2:8">
      <c r="B1935" s="14" t="s">
        <v>7878</v>
      </c>
      <c r="C1935" s="245" t="s">
        <v>1887</v>
      </c>
      <c r="D1935" s="15">
        <v>12</v>
      </c>
      <c r="E1935" s="15">
        <v>0</v>
      </c>
      <c r="F1935" s="15">
        <v>0</v>
      </c>
      <c r="G1935" s="15">
        <v>0</v>
      </c>
      <c r="H1935" s="15">
        <v>0</v>
      </c>
    </row>
    <row r="1936" spans="2:8">
      <c r="B1936" s="17" t="s">
        <v>7879</v>
      </c>
      <c r="C1936" s="246" t="s">
        <v>2481</v>
      </c>
      <c r="D1936" s="18">
        <v>0</v>
      </c>
      <c r="E1936" s="18">
        <v>0</v>
      </c>
      <c r="F1936" s="18">
        <v>0</v>
      </c>
      <c r="G1936" s="18">
        <v>0</v>
      </c>
      <c r="H1936" s="18">
        <v>0</v>
      </c>
    </row>
    <row r="1937" spans="2:8">
      <c r="B1937" s="14" t="s">
        <v>7880</v>
      </c>
      <c r="C1937" s="245" t="s">
        <v>1162</v>
      </c>
      <c r="D1937" s="15">
        <v>0</v>
      </c>
      <c r="E1937" s="15">
        <v>0</v>
      </c>
      <c r="F1937" s="15">
        <v>0</v>
      </c>
      <c r="G1937" s="15">
        <v>0</v>
      </c>
      <c r="H1937" s="15">
        <v>0</v>
      </c>
    </row>
    <row r="1938" spans="2:8">
      <c r="B1938" s="17" t="s">
        <v>7881</v>
      </c>
      <c r="C1938" s="246" t="s">
        <v>1162</v>
      </c>
      <c r="D1938" s="18">
        <v>0</v>
      </c>
      <c r="E1938" s="18">
        <v>0</v>
      </c>
      <c r="F1938" s="18">
        <v>0</v>
      </c>
      <c r="G1938" s="18">
        <v>0</v>
      </c>
      <c r="H1938" s="18">
        <v>0</v>
      </c>
    </row>
    <row r="1939" spans="2:8">
      <c r="B1939" s="14" t="s">
        <v>7882</v>
      </c>
      <c r="C1939" s="245" t="s">
        <v>2482</v>
      </c>
      <c r="D1939" s="15">
        <v>0</v>
      </c>
      <c r="E1939" s="15">
        <v>0</v>
      </c>
      <c r="F1939" s="15">
        <v>0</v>
      </c>
      <c r="G1939" s="15">
        <v>0</v>
      </c>
      <c r="H1939" s="15">
        <v>0</v>
      </c>
    </row>
    <row r="1940" spans="2:8">
      <c r="B1940" s="17" t="s">
        <v>7883</v>
      </c>
      <c r="C1940" s="246" t="s">
        <v>2483</v>
      </c>
      <c r="D1940" s="18">
        <v>0</v>
      </c>
      <c r="E1940" s="18">
        <v>0</v>
      </c>
      <c r="F1940" s="18">
        <v>0</v>
      </c>
      <c r="G1940" s="18">
        <v>0</v>
      </c>
      <c r="H1940" s="18">
        <v>0</v>
      </c>
    </row>
    <row r="1941" spans="2:8">
      <c r="B1941" s="14" t="s">
        <v>7884</v>
      </c>
      <c r="C1941" s="245" t="s">
        <v>2484</v>
      </c>
      <c r="D1941" s="15">
        <v>0</v>
      </c>
      <c r="E1941" s="15">
        <v>0</v>
      </c>
      <c r="F1941" s="15">
        <v>0</v>
      </c>
      <c r="G1941" s="15">
        <v>0</v>
      </c>
      <c r="H1941" s="15">
        <v>0</v>
      </c>
    </row>
    <row r="1942" spans="2:8">
      <c r="B1942" s="17" t="s">
        <v>7885</v>
      </c>
      <c r="C1942" s="246" t="s">
        <v>2485</v>
      </c>
      <c r="D1942" s="18">
        <v>0</v>
      </c>
      <c r="E1942" s="18">
        <v>0</v>
      </c>
      <c r="F1942" s="18">
        <v>0</v>
      </c>
      <c r="G1942" s="18">
        <v>0</v>
      </c>
      <c r="H1942" s="18">
        <v>0</v>
      </c>
    </row>
    <row r="1943" spans="2:8">
      <c r="B1943" s="14" t="s">
        <v>7886</v>
      </c>
      <c r="C1943" s="245" t="s">
        <v>2486</v>
      </c>
      <c r="D1943" s="15">
        <v>0</v>
      </c>
      <c r="E1943" s="15">
        <v>0</v>
      </c>
      <c r="F1943" s="15">
        <v>0</v>
      </c>
      <c r="G1943" s="15">
        <v>0</v>
      </c>
      <c r="H1943" s="15">
        <v>0</v>
      </c>
    </row>
    <row r="1944" spans="2:8">
      <c r="B1944" s="17" t="s">
        <v>7887</v>
      </c>
      <c r="C1944" s="246" t="s">
        <v>2487</v>
      </c>
      <c r="D1944" s="18">
        <v>0</v>
      </c>
      <c r="E1944" s="18">
        <v>0</v>
      </c>
      <c r="F1944" s="18">
        <v>0</v>
      </c>
      <c r="G1944" s="18">
        <v>0</v>
      </c>
      <c r="H1944" s="18">
        <v>0</v>
      </c>
    </row>
    <row r="1945" spans="2:8">
      <c r="B1945" s="14" t="s">
        <v>7888</v>
      </c>
      <c r="C1945" s="245" t="s">
        <v>2488</v>
      </c>
      <c r="D1945" s="15">
        <v>0</v>
      </c>
      <c r="E1945" s="15">
        <v>0</v>
      </c>
      <c r="F1945" s="15">
        <v>0</v>
      </c>
      <c r="G1945" s="15">
        <v>0</v>
      </c>
      <c r="H1945" s="15">
        <v>0</v>
      </c>
    </row>
    <row r="1946" spans="2:8">
      <c r="B1946" s="17" t="s">
        <v>7889</v>
      </c>
      <c r="C1946" s="246" t="s">
        <v>2489</v>
      </c>
      <c r="D1946" s="18">
        <v>0</v>
      </c>
      <c r="E1946" s="18">
        <v>0</v>
      </c>
      <c r="F1946" s="18">
        <v>0</v>
      </c>
      <c r="G1946" s="18">
        <v>0</v>
      </c>
      <c r="H1946" s="18">
        <v>0</v>
      </c>
    </row>
    <row r="1947" spans="2:8">
      <c r="B1947" s="14" t="s">
        <v>7890</v>
      </c>
      <c r="C1947" s="245" t="s">
        <v>2490</v>
      </c>
      <c r="D1947" s="15">
        <v>0</v>
      </c>
      <c r="E1947" s="15">
        <v>0</v>
      </c>
      <c r="F1947" s="15">
        <v>0</v>
      </c>
      <c r="G1947" s="15">
        <v>0</v>
      </c>
      <c r="H1947" s="15">
        <v>0</v>
      </c>
    </row>
    <row r="1948" spans="2:8">
      <c r="B1948" s="17" t="s">
        <v>7891</v>
      </c>
      <c r="C1948" s="246" t="s">
        <v>2491</v>
      </c>
      <c r="D1948" s="18">
        <v>0</v>
      </c>
      <c r="E1948" s="18">
        <v>0</v>
      </c>
      <c r="F1948" s="18">
        <v>0</v>
      </c>
      <c r="G1948" s="18">
        <v>0</v>
      </c>
      <c r="H1948" s="18">
        <v>0</v>
      </c>
    </row>
    <row r="1949" spans="2:8">
      <c r="B1949" s="14" t="s">
        <v>7892</v>
      </c>
      <c r="C1949" s="245" t="s">
        <v>1893</v>
      </c>
      <c r="D1949" s="15">
        <v>0</v>
      </c>
      <c r="E1949" s="15">
        <v>0</v>
      </c>
      <c r="F1949" s="15">
        <v>0</v>
      </c>
      <c r="G1949" s="15">
        <v>0</v>
      </c>
      <c r="H1949" s="15">
        <v>0</v>
      </c>
    </row>
    <row r="1950" spans="2:8">
      <c r="B1950" s="17" t="s">
        <v>7893</v>
      </c>
      <c r="C1950" s="246" t="s">
        <v>2492</v>
      </c>
      <c r="D1950" s="18">
        <v>0</v>
      </c>
      <c r="E1950" s="18">
        <v>0</v>
      </c>
      <c r="F1950" s="18">
        <v>0</v>
      </c>
      <c r="G1950" s="18">
        <v>0</v>
      </c>
      <c r="H1950" s="18">
        <v>0</v>
      </c>
    </row>
    <row r="1951" spans="2:8">
      <c r="B1951" s="14" t="s">
        <v>7894</v>
      </c>
      <c r="C1951" s="245" t="s">
        <v>2493</v>
      </c>
      <c r="D1951" s="15">
        <v>2</v>
      </c>
      <c r="E1951" s="15">
        <v>5</v>
      </c>
      <c r="F1951" s="15">
        <v>0</v>
      </c>
      <c r="G1951" s="15">
        <v>0</v>
      </c>
      <c r="H1951" s="15">
        <v>0</v>
      </c>
    </row>
    <row r="1952" spans="2:8">
      <c r="B1952" s="17" t="s">
        <v>7895</v>
      </c>
      <c r="C1952" s="246" t="s">
        <v>2494</v>
      </c>
      <c r="D1952" s="18">
        <v>0</v>
      </c>
      <c r="E1952" s="18">
        <v>0</v>
      </c>
      <c r="F1952" s="18">
        <v>69</v>
      </c>
      <c r="G1952" s="18">
        <v>0</v>
      </c>
      <c r="H1952" s="18">
        <v>0</v>
      </c>
    </row>
    <row r="1953" spans="2:8">
      <c r="B1953" s="14" t="s">
        <v>7896</v>
      </c>
      <c r="C1953" s="245" t="s">
        <v>1560</v>
      </c>
      <c r="D1953" s="15">
        <v>0</v>
      </c>
      <c r="E1953" s="15">
        <v>0</v>
      </c>
      <c r="F1953" s="15">
        <v>0</v>
      </c>
      <c r="G1953" s="15">
        <v>0</v>
      </c>
      <c r="H1953" s="15">
        <v>0</v>
      </c>
    </row>
    <row r="1954" spans="2:8">
      <c r="B1954" s="17" t="s">
        <v>7897</v>
      </c>
      <c r="C1954" s="246" t="s">
        <v>1523</v>
      </c>
      <c r="D1954" s="18">
        <v>0</v>
      </c>
      <c r="E1954" s="18">
        <v>0</v>
      </c>
      <c r="F1954" s="18">
        <v>0</v>
      </c>
      <c r="G1954" s="18">
        <v>0</v>
      </c>
      <c r="H1954" s="18">
        <v>0</v>
      </c>
    </row>
    <row r="1955" spans="2:8">
      <c r="B1955" s="14" t="s">
        <v>7898</v>
      </c>
      <c r="C1955" s="245" t="s">
        <v>2495</v>
      </c>
      <c r="D1955" s="15">
        <v>0</v>
      </c>
      <c r="E1955" s="15">
        <v>0</v>
      </c>
      <c r="F1955" s="15">
        <v>0</v>
      </c>
      <c r="G1955" s="15">
        <v>0</v>
      </c>
      <c r="H1955" s="15">
        <v>0</v>
      </c>
    </row>
    <row r="1956" spans="2:8">
      <c r="B1956" s="17" t="s">
        <v>7899</v>
      </c>
      <c r="C1956" s="246" t="s">
        <v>2181</v>
      </c>
      <c r="D1956" s="18">
        <v>0</v>
      </c>
      <c r="E1956" s="18">
        <v>0</v>
      </c>
      <c r="F1956" s="18">
        <v>0</v>
      </c>
      <c r="G1956" s="18">
        <v>0</v>
      </c>
      <c r="H1956" s="18">
        <v>0</v>
      </c>
    </row>
    <row r="1957" spans="2:8">
      <c r="B1957" s="14" t="s">
        <v>7900</v>
      </c>
      <c r="C1957" s="245" t="s">
        <v>2495</v>
      </c>
      <c r="D1957" s="15">
        <v>0</v>
      </c>
      <c r="E1957" s="15">
        <v>2</v>
      </c>
      <c r="F1957" s="15">
        <v>0</v>
      </c>
      <c r="G1957" s="15">
        <v>5</v>
      </c>
      <c r="H1957" s="15">
        <v>0</v>
      </c>
    </row>
    <row r="1958" spans="2:8">
      <c r="B1958" s="17" t="s">
        <v>7901</v>
      </c>
      <c r="C1958" s="246" t="s">
        <v>2181</v>
      </c>
      <c r="D1958" s="18">
        <v>0</v>
      </c>
      <c r="E1958" s="18">
        <v>0</v>
      </c>
      <c r="F1958" s="18">
        <v>0</v>
      </c>
      <c r="G1958" s="18">
        <v>0</v>
      </c>
      <c r="H1958" s="18">
        <v>0</v>
      </c>
    </row>
    <row r="1959" spans="2:8">
      <c r="B1959" s="14" t="s">
        <v>7902</v>
      </c>
      <c r="C1959" s="245" t="s">
        <v>2496</v>
      </c>
      <c r="D1959" s="15">
        <v>5</v>
      </c>
      <c r="E1959" s="15">
        <v>0</v>
      </c>
      <c r="F1959" s="15">
        <v>1</v>
      </c>
      <c r="G1959" s="15">
        <v>0</v>
      </c>
      <c r="H1959" s="15">
        <v>0</v>
      </c>
    </row>
    <row r="1960" spans="2:8">
      <c r="B1960" s="17" t="s">
        <v>7903</v>
      </c>
      <c r="C1960" s="246" t="s">
        <v>2182</v>
      </c>
      <c r="D1960" s="18">
        <v>0</v>
      </c>
      <c r="E1960" s="18">
        <v>0</v>
      </c>
      <c r="F1960" s="18">
        <v>0</v>
      </c>
      <c r="G1960" s="18">
        <v>0</v>
      </c>
      <c r="H1960" s="18">
        <v>0</v>
      </c>
    </row>
    <row r="1961" spans="2:8">
      <c r="B1961" s="14" t="s">
        <v>7904</v>
      </c>
      <c r="C1961" s="245" t="s">
        <v>1375</v>
      </c>
      <c r="D1961" s="15">
        <v>0</v>
      </c>
      <c r="E1961" s="15">
        <v>0</v>
      </c>
      <c r="F1961" s="15">
        <v>0</v>
      </c>
      <c r="G1961" s="15">
        <v>0</v>
      </c>
      <c r="H1961" s="15">
        <v>0</v>
      </c>
    </row>
    <row r="1962" spans="2:8">
      <c r="B1962" s="17" t="s">
        <v>7905</v>
      </c>
      <c r="C1962" s="246" t="s">
        <v>1375</v>
      </c>
      <c r="D1962" s="18">
        <v>0</v>
      </c>
      <c r="E1962" s="18">
        <v>1</v>
      </c>
      <c r="F1962" s="18">
        <v>1</v>
      </c>
      <c r="G1962" s="18">
        <v>0</v>
      </c>
      <c r="H1962" s="18">
        <v>0</v>
      </c>
    </row>
    <row r="1963" spans="2:8">
      <c r="B1963" s="14" t="s">
        <v>7906</v>
      </c>
      <c r="C1963" s="245" t="s">
        <v>1375</v>
      </c>
      <c r="D1963" s="15">
        <v>1</v>
      </c>
      <c r="E1963" s="15">
        <v>0</v>
      </c>
      <c r="F1963" s="15">
        <v>0</v>
      </c>
      <c r="G1963" s="15">
        <v>3</v>
      </c>
      <c r="H1963" s="15">
        <v>0</v>
      </c>
    </row>
    <row r="1964" spans="2:8">
      <c r="B1964" s="17" t="s">
        <v>7907</v>
      </c>
      <c r="C1964" s="246" t="s">
        <v>1375</v>
      </c>
      <c r="D1964" s="18">
        <v>0</v>
      </c>
      <c r="E1964" s="18">
        <v>0</v>
      </c>
      <c r="F1964" s="18">
        <v>0</v>
      </c>
      <c r="G1964" s="18">
        <v>0</v>
      </c>
      <c r="H1964" s="18">
        <v>0</v>
      </c>
    </row>
    <row r="1965" spans="2:8">
      <c r="B1965" s="14" t="s">
        <v>7908</v>
      </c>
      <c r="C1965" s="245" t="s">
        <v>2183</v>
      </c>
      <c r="D1965" s="15">
        <v>0</v>
      </c>
      <c r="E1965" s="15">
        <v>0</v>
      </c>
      <c r="F1965" s="15">
        <v>0</v>
      </c>
      <c r="G1965" s="15">
        <v>0</v>
      </c>
      <c r="H1965" s="15">
        <v>0</v>
      </c>
    </row>
    <row r="1966" spans="2:8">
      <c r="B1966" s="17" t="s">
        <v>7909</v>
      </c>
      <c r="C1966" s="246" t="s">
        <v>2183</v>
      </c>
      <c r="D1966" s="18">
        <v>0</v>
      </c>
      <c r="E1966" s="18">
        <v>0</v>
      </c>
      <c r="F1966" s="18">
        <v>0</v>
      </c>
      <c r="G1966" s="18">
        <v>0</v>
      </c>
      <c r="H1966" s="18">
        <v>0</v>
      </c>
    </row>
    <row r="1967" spans="2:8">
      <c r="B1967" s="14" t="s">
        <v>7910</v>
      </c>
      <c r="C1967" s="245" t="s">
        <v>2497</v>
      </c>
      <c r="D1967" s="15">
        <v>0</v>
      </c>
      <c r="E1967" s="15">
        <v>0</v>
      </c>
      <c r="F1967" s="15">
        <v>0</v>
      </c>
      <c r="G1967" s="15">
        <v>0</v>
      </c>
      <c r="H1967" s="15">
        <v>0</v>
      </c>
    </row>
    <row r="1968" spans="2:8">
      <c r="B1968" s="17" t="s">
        <v>7911</v>
      </c>
      <c r="C1968" s="246" t="s">
        <v>2498</v>
      </c>
      <c r="D1968" s="18">
        <v>0</v>
      </c>
      <c r="E1968" s="18">
        <v>0</v>
      </c>
      <c r="F1968" s="18">
        <v>0</v>
      </c>
      <c r="G1968" s="18">
        <v>0</v>
      </c>
      <c r="H1968" s="18">
        <v>0</v>
      </c>
    </row>
    <row r="1969" spans="2:8">
      <c r="B1969" s="14" t="s">
        <v>7912</v>
      </c>
      <c r="C1969" s="245" t="s">
        <v>2499</v>
      </c>
      <c r="D1969" s="15">
        <v>0</v>
      </c>
      <c r="E1969" s="15">
        <v>0</v>
      </c>
      <c r="F1969" s="15">
        <v>0</v>
      </c>
      <c r="G1969" s="15">
        <v>0</v>
      </c>
      <c r="H1969" s="15">
        <v>0</v>
      </c>
    </row>
    <row r="1970" spans="2:8">
      <c r="B1970" s="17" t="s">
        <v>7913</v>
      </c>
      <c r="C1970" s="246" t="s">
        <v>2500</v>
      </c>
      <c r="D1970" s="18">
        <v>0</v>
      </c>
      <c r="E1970" s="18">
        <v>0</v>
      </c>
      <c r="F1970" s="18">
        <v>0</v>
      </c>
      <c r="G1970" s="18">
        <v>0</v>
      </c>
      <c r="H1970" s="18">
        <v>0</v>
      </c>
    </row>
    <row r="1971" spans="2:8">
      <c r="B1971" s="14" t="s">
        <v>7914</v>
      </c>
      <c r="C1971" s="245" t="s">
        <v>2501</v>
      </c>
      <c r="D1971" s="15">
        <v>0</v>
      </c>
      <c r="E1971" s="15">
        <v>0</v>
      </c>
      <c r="F1971" s="15">
        <v>0</v>
      </c>
      <c r="G1971" s="15">
        <v>0</v>
      </c>
      <c r="H1971" s="15">
        <v>0</v>
      </c>
    </row>
    <row r="1972" spans="2:8">
      <c r="B1972" s="17" t="s">
        <v>7915</v>
      </c>
      <c r="C1972" s="246" t="s">
        <v>2502</v>
      </c>
      <c r="D1972" s="18">
        <v>0</v>
      </c>
      <c r="E1972" s="18">
        <v>0</v>
      </c>
      <c r="F1972" s="18">
        <v>0</v>
      </c>
      <c r="G1972" s="18">
        <v>0</v>
      </c>
      <c r="H1972" s="18">
        <v>0</v>
      </c>
    </row>
    <row r="1973" spans="2:8">
      <c r="B1973" s="14" t="s">
        <v>7916</v>
      </c>
      <c r="C1973" s="245" t="s">
        <v>2503</v>
      </c>
      <c r="D1973" s="15">
        <v>0</v>
      </c>
      <c r="E1973" s="15">
        <v>0</v>
      </c>
      <c r="F1973" s="15">
        <v>0</v>
      </c>
      <c r="G1973" s="15">
        <v>0</v>
      </c>
      <c r="H1973" s="15">
        <v>0</v>
      </c>
    </row>
    <row r="1974" spans="2:8">
      <c r="B1974" s="17" t="s">
        <v>7917</v>
      </c>
      <c r="C1974" s="246" t="s">
        <v>2504</v>
      </c>
      <c r="D1974" s="18">
        <v>0</v>
      </c>
      <c r="E1974" s="18">
        <v>0</v>
      </c>
      <c r="F1974" s="18">
        <v>0</v>
      </c>
      <c r="G1974" s="18">
        <v>0</v>
      </c>
      <c r="H1974" s="18">
        <v>0</v>
      </c>
    </row>
    <row r="1975" spans="2:8">
      <c r="B1975" s="14" t="s">
        <v>7918</v>
      </c>
      <c r="C1975" s="245" t="s">
        <v>2505</v>
      </c>
      <c r="D1975" s="15">
        <v>0</v>
      </c>
      <c r="E1975" s="15">
        <v>0</v>
      </c>
      <c r="F1975" s="15">
        <v>0</v>
      </c>
      <c r="G1975" s="15">
        <v>0</v>
      </c>
      <c r="H1975" s="15">
        <v>0</v>
      </c>
    </row>
    <row r="1976" spans="2:8">
      <c r="B1976" s="17" t="s">
        <v>7919</v>
      </c>
      <c r="C1976" s="246" t="s">
        <v>2506</v>
      </c>
      <c r="D1976" s="18">
        <v>0</v>
      </c>
      <c r="E1976" s="18">
        <v>0</v>
      </c>
      <c r="F1976" s="18">
        <v>0</v>
      </c>
      <c r="G1976" s="18">
        <v>0</v>
      </c>
      <c r="H1976" s="18">
        <v>0</v>
      </c>
    </row>
    <row r="1977" spans="2:8">
      <c r="B1977" s="14" t="s">
        <v>7920</v>
      </c>
      <c r="C1977" s="245" t="s">
        <v>2507</v>
      </c>
      <c r="D1977" s="15">
        <v>0</v>
      </c>
      <c r="E1977" s="15">
        <v>0</v>
      </c>
      <c r="F1977" s="15">
        <v>0</v>
      </c>
      <c r="G1977" s="15">
        <v>0</v>
      </c>
      <c r="H1977" s="15">
        <v>0</v>
      </c>
    </row>
    <row r="1978" spans="2:8">
      <c r="B1978" s="17" t="s">
        <v>7921</v>
      </c>
      <c r="C1978" s="246" t="s">
        <v>2508</v>
      </c>
      <c r="D1978" s="18">
        <v>0</v>
      </c>
      <c r="E1978" s="18">
        <v>0</v>
      </c>
      <c r="F1978" s="18">
        <v>0</v>
      </c>
      <c r="G1978" s="18">
        <v>0</v>
      </c>
      <c r="H1978" s="18">
        <v>0</v>
      </c>
    </row>
    <row r="1979" spans="2:8">
      <c r="B1979" s="14" t="s">
        <v>7922</v>
      </c>
      <c r="C1979" s="245" t="s">
        <v>2509</v>
      </c>
      <c r="D1979" s="15">
        <v>0</v>
      </c>
      <c r="E1979" s="15">
        <v>0</v>
      </c>
      <c r="F1979" s="15">
        <v>0</v>
      </c>
      <c r="G1979" s="15">
        <v>0</v>
      </c>
      <c r="H1979" s="15">
        <v>0</v>
      </c>
    </row>
    <row r="1980" spans="2:8">
      <c r="B1980" s="17" t="s">
        <v>7923</v>
      </c>
      <c r="C1980" s="246" t="s">
        <v>2509</v>
      </c>
      <c r="D1980" s="18">
        <v>0</v>
      </c>
      <c r="E1980" s="18">
        <v>0</v>
      </c>
      <c r="F1980" s="18">
        <v>0</v>
      </c>
      <c r="G1980" s="18">
        <v>0</v>
      </c>
      <c r="H1980" s="18">
        <v>0</v>
      </c>
    </row>
    <row r="1981" spans="2:8">
      <c r="B1981" s="14" t="s">
        <v>7924</v>
      </c>
      <c r="C1981" s="245" t="s">
        <v>2510</v>
      </c>
      <c r="D1981" s="15">
        <v>0</v>
      </c>
      <c r="E1981" s="15">
        <v>0</v>
      </c>
      <c r="F1981" s="15">
        <v>0</v>
      </c>
      <c r="G1981" s="15">
        <v>0</v>
      </c>
      <c r="H1981" s="15">
        <v>0</v>
      </c>
    </row>
    <row r="1982" spans="2:8">
      <c r="B1982" s="17" t="s">
        <v>7925</v>
      </c>
      <c r="C1982" s="246" t="s">
        <v>2511</v>
      </c>
      <c r="D1982" s="18">
        <v>0</v>
      </c>
      <c r="E1982" s="18">
        <v>0</v>
      </c>
      <c r="F1982" s="18">
        <v>0</v>
      </c>
      <c r="G1982" s="18">
        <v>0</v>
      </c>
      <c r="H1982" s="18">
        <v>0</v>
      </c>
    </row>
    <row r="1983" spans="2:8">
      <c r="B1983" s="14" t="s">
        <v>7926</v>
      </c>
      <c r="C1983" s="245" t="s">
        <v>2512</v>
      </c>
      <c r="D1983" s="15">
        <v>0</v>
      </c>
      <c r="E1983" s="15">
        <v>0</v>
      </c>
      <c r="F1983" s="15">
        <v>0</v>
      </c>
      <c r="G1983" s="15">
        <v>0</v>
      </c>
      <c r="H1983" s="15">
        <v>0</v>
      </c>
    </row>
    <row r="1984" spans="2:8">
      <c r="B1984" s="17" t="s">
        <v>7927</v>
      </c>
      <c r="C1984" s="246" t="s">
        <v>2513</v>
      </c>
      <c r="D1984" s="18">
        <v>0</v>
      </c>
      <c r="E1984" s="18">
        <v>0</v>
      </c>
      <c r="F1984" s="18">
        <v>0</v>
      </c>
      <c r="G1984" s="18">
        <v>0</v>
      </c>
      <c r="H1984" s="18">
        <v>0</v>
      </c>
    </row>
    <row r="1985" spans="2:8">
      <c r="B1985" s="14" t="s">
        <v>7928</v>
      </c>
      <c r="C1985" s="245" t="s">
        <v>2514</v>
      </c>
      <c r="D1985" s="15">
        <v>0</v>
      </c>
      <c r="E1985" s="15">
        <v>0</v>
      </c>
      <c r="F1985" s="15">
        <v>0</v>
      </c>
      <c r="G1985" s="15">
        <v>0</v>
      </c>
      <c r="H1985" s="15">
        <v>0</v>
      </c>
    </row>
    <row r="1986" spans="2:8">
      <c r="B1986" s="17" t="s">
        <v>7929</v>
      </c>
      <c r="C1986" s="246" t="s">
        <v>2515</v>
      </c>
      <c r="D1986" s="18">
        <v>0</v>
      </c>
      <c r="E1986" s="18">
        <v>0</v>
      </c>
      <c r="F1986" s="18">
        <v>0</v>
      </c>
      <c r="G1986" s="18">
        <v>0</v>
      </c>
      <c r="H1986" s="18">
        <v>0</v>
      </c>
    </row>
    <row r="1987" spans="2:8">
      <c r="B1987" s="14" t="s">
        <v>7930</v>
      </c>
      <c r="C1987" s="245" t="s">
        <v>2516</v>
      </c>
      <c r="D1987" s="15">
        <v>0</v>
      </c>
      <c r="E1987" s="15">
        <v>0</v>
      </c>
      <c r="F1987" s="15">
        <v>0</v>
      </c>
      <c r="G1987" s="15">
        <v>0</v>
      </c>
      <c r="H1987" s="15">
        <v>0</v>
      </c>
    </row>
    <row r="1988" spans="2:8">
      <c r="B1988" s="17" t="s">
        <v>7931</v>
      </c>
      <c r="C1988" s="246" t="s">
        <v>2517</v>
      </c>
      <c r="D1988" s="18">
        <v>0</v>
      </c>
      <c r="E1988" s="18">
        <v>0</v>
      </c>
      <c r="F1988" s="18">
        <v>0</v>
      </c>
      <c r="G1988" s="18">
        <v>0</v>
      </c>
      <c r="H1988" s="18">
        <v>0</v>
      </c>
    </row>
    <row r="1989" spans="2:8">
      <c r="B1989" s="14" t="s">
        <v>7932</v>
      </c>
      <c r="C1989" s="245" t="s">
        <v>2518</v>
      </c>
      <c r="D1989" s="15">
        <v>3</v>
      </c>
      <c r="E1989" s="15">
        <v>15</v>
      </c>
      <c r="F1989" s="15">
        <v>73</v>
      </c>
      <c r="G1989" s="15">
        <v>0</v>
      </c>
      <c r="H1989" s="15">
        <v>0</v>
      </c>
    </row>
    <row r="1990" spans="2:8">
      <c r="B1990" s="17" t="s">
        <v>7933</v>
      </c>
      <c r="C1990" s="246" t="s">
        <v>2519</v>
      </c>
      <c r="D1990" s="18">
        <v>0</v>
      </c>
      <c r="E1990" s="18">
        <v>0</v>
      </c>
      <c r="F1990" s="18">
        <v>0</v>
      </c>
      <c r="G1990" s="18">
        <v>0</v>
      </c>
      <c r="H1990" s="18">
        <v>0</v>
      </c>
    </row>
    <row r="1991" spans="2:8">
      <c r="B1991" s="14" t="s">
        <v>7934</v>
      </c>
      <c r="C1991" s="245" t="s">
        <v>2520</v>
      </c>
      <c r="D1991" s="15">
        <v>0</v>
      </c>
      <c r="E1991" s="15">
        <v>0</v>
      </c>
      <c r="F1991" s="15">
        <v>0</v>
      </c>
      <c r="G1991" s="15">
        <v>0</v>
      </c>
      <c r="H1991" s="15">
        <v>0</v>
      </c>
    </row>
    <row r="1992" spans="2:8">
      <c r="B1992" s="17" t="s">
        <v>7935</v>
      </c>
      <c r="C1992" s="246" t="s">
        <v>2521</v>
      </c>
      <c r="D1992" s="18">
        <v>0</v>
      </c>
      <c r="E1992" s="18">
        <v>0</v>
      </c>
      <c r="F1992" s="18">
        <v>0</v>
      </c>
      <c r="G1992" s="18">
        <v>0</v>
      </c>
      <c r="H1992" s="18">
        <v>0</v>
      </c>
    </row>
    <row r="1993" spans="2:8">
      <c r="B1993" s="14" t="s">
        <v>7936</v>
      </c>
      <c r="C1993" s="245" t="s">
        <v>2522</v>
      </c>
      <c r="D1993" s="15">
        <v>0</v>
      </c>
      <c r="E1993" s="15">
        <v>0</v>
      </c>
      <c r="F1993" s="15">
        <v>0</v>
      </c>
      <c r="G1993" s="15">
        <v>0</v>
      </c>
      <c r="H1993" s="15">
        <v>0</v>
      </c>
    </row>
    <row r="1994" spans="2:8">
      <c r="B1994" s="17" t="s">
        <v>7937</v>
      </c>
      <c r="C1994" s="246" t="s">
        <v>2523</v>
      </c>
      <c r="D1994" s="18">
        <v>0</v>
      </c>
      <c r="E1994" s="18">
        <v>0</v>
      </c>
      <c r="F1994" s="18">
        <v>0</v>
      </c>
      <c r="G1994" s="18">
        <v>0</v>
      </c>
      <c r="H1994" s="18">
        <v>0</v>
      </c>
    </row>
    <row r="1995" spans="2:8">
      <c r="B1995" s="14" t="s">
        <v>7938</v>
      </c>
      <c r="C1995" s="245" t="s">
        <v>2524</v>
      </c>
      <c r="D1995" s="15">
        <v>3</v>
      </c>
      <c r="E1995" s="15">
        <v>0</v>
      </c>
      <c r="F1995" s="15">
        <v>0</v>
      </c>
      <c r="G1995" s="15">
        <v>0</v>
      </c>
      <c r="H1995" s="15">
        <v>0</v>
      </c>
    </row>
    <row r="1996" spans="2:8">
      <c r="B1996" s="17" t="s">
        <v>7939</v>
      </c>
      <c r="C1996" s="246" t="s">
        <v>2525</v>
      </c>
      <c r="D1996" s="18">
        <v>0</v>
      </c>
      <c r="E1996" s="18">
        <v>0</v>
      </c>
      <c r="F1996" s="18">
        <v>0</v>
      </c>
      <c r="G1996" s="18">
        <v>0</v>
      </c>
      <c r="H1996" s="18">
        <v>0</v>
      </c>
    </row>
    <row r="1997" spans="2:8">
      <c r="B1997" s="14" t="s">
        <v>7940</v>
      </c>
      <c r="C1997" s="245" t="s">
        <v>2526</v>
      </c>
      <c r="D1997" s="15">
        <v>0</v>
      </c>
      <c r="E1997" s="15">
        <v>0</v>
      </c>
      <c r="F1997" s="15">
        <v>0</v>
      </c>
      <c r="G1997" s="15">
        <v>0</v>
      </c>
      <c r="H1997" s="15">
        <v>0</v>
      </c>
    </row>
    <row r="1998" spans="2:8">
      <c r="B1998" s="17" t="s">
        <v>7941</v>
      </c>
      <c r="C1998" s="246" t="s">
        <v>2527</v>
      </c>
      <c r="D1998" s="18">
        <v>0</v>
      </c>
      <c r="E1998" s="18">
        <v>0</v>
      </c>
      <c r="F1998" s="18">
        <v>0</v>
      </c>
      <c r="G1998" s="18">
        <v>0</v>
      </c>
      <c r="H1998" s="18">
        <v>0</v>
      </c>
    </row>
    <row r="1999" spans="2:8">
      <c r="B1999" s="14" t="s">
        <v>7942</v>
      </c>
      <c r="C1999" s="245" t="s">
        <v>2528</v>
      </c>
      <c r="D1999" s="15">
        <v>0</v>
      </c>
      <c r="E1999" s="15">
        <v>0</v>
      </c>
      <c r="F1999" s="15">
        <v>0</v>
      </c>
      <c r="G1999" s="15">
        <v>0</v>
      </c>
      <c r="H1999" s="15">
        <v>0</v>
      </c>
    </row>
    <row r="2000" spans="2:8">
      <c r="B2000" s="17" t="s">
        <v>7943</v>
      </c>
      <c r="C2000" s="246" t="s">
        <v>2529</v>
      </c>
      <c r="D2000" s="18">
        <v>0</v>
      </c>
      <c r="E2000" s="18">
        <v>0</v>
      </c>
      <c r="F2000" s="18">
        <v>0</v>
      </c>
      <c r="G2000" s="18">
        <v>0</v>
      </c>
      <c r="H2000" s="18">
        <v>0</v>
      </c>
    </row>
    <row r="2001" spans="2:8">
      <c r="B2001" s="14" t="s">
        <v>7944</v>
      </c>
      <c r="C2001" s="245" t="s">
        <v>1876</v>
      </c>
      <c r="D2001" s="15">
        <v>0</v>
      </c>
      <c r="E2001" s="15">
        <v>0</v>
      </c>
      <c r="F2001" s="15">
        <v>0</v>
      </c>
      <c r="G2001" s="15">
        <v>0</v>
      </c>
      <c r="H2001" s="15">
        <v>0</v>
      </c>
    </row>
    <row r="2002" spans="2:8">
      <c r="B2002" s="17" t="s">
        <v>7945</v>
      </c>
      <c r="C2002" s="246" t="s">
        <v>2530</v>
      </c>
      <c r="D2002" s="18">
        <v>0</v>
      </c>
      <c r="E2002" s="18">
        <v>0</v>
      </c>
      <c r="F2002" s="18">
        <v>0</v>
      </c>
      <c r="G2002" s="18">
        <v>0</v>
      </c>
      <c r="H2002" s="18">
        <v>0</v>
      </c>
    </row>
    <row r="2003" spans="2:8">
      <c r="B2003" s="14" t="s">
        <v>7946</v>
      </c>
      <c r="C2003" s="245" t="s">
        <v>2531</v>
      </c>
      <c r="D2003" s="15">
        <v>0</v>
      </c>
      <c r="E2003" s="15">
        <v>0</v>
      </c>
      <c r="F2003" s="15">
        <v>0</v>
      </c>
      <c r="G2003" s="15">
        <v>0</v>
      </c>
      <c r="H2003" s="15">
        <v>0</v>
      </c>
    </row>
    <row r="2004" spans="2:8">
      <c r="B2004" s="17" t="s">
        <v>7947</v>
      </c>
      <c r="C2004" s="246" t="s">
        <v>2532</v>
      </c>
      <c r="D2004" s="18">
        <v>0</v>
      </c>
      <c r="E2004" s="18">
        <v>0</v>
      </c>
      <c r="F2004" s="18">
        <v>0</v>
      </c>
      <c r="G2004" s="18">
        <v>0</v>
      </c>
      <c r="H2004" s="18">
        <v>0</v>
      </c>
    </row>
    <row r="2005" spans="2:8">
      <c r="B2005" s="14" t="s">
        <v>7948</v>
      </c>
      <c r="C2005" s="245" t="s">
        <v>2533</v>
      </c>
      <c r="D2005" s="15">
        <v>0</v>
      </c>
      <c r="E2005" s="15">
        <v>0</v>
      </c>
      <c r="F2005" s="15">
        <v>0</v>
      </c>
      <c r="G2005" s="15">
        <v>0</v>
      </c>
      <c r="H2005" s="15">
        <v>0</v>
      </c>
    </row>
    <row r="2006" spans="2:8">
      <c r="B2006" s="17" t="s">
        <v>7949</v>
      </c>
      <c r="C2006" s="246" t="s">
        <v>2534</v>
      </c>
      <c r="D2006" s="18">
        <v>0</v>
      </c>
      <c r="E2006" s="18">
        <v>0</v>
      </c>
      <c r="F2006" s="18">
        <v>0</v>
      </c>
      <c r="G2006" s="18">
        <v>0</v>
      </c>
      <c r="H2006" s="18">
        <v>0</v>
      </c>
    </row>
    <row r="2007" spans="2:8">
      <c r="B2007" s="14" t="s">
        <v>7950</v>
      </c>
      <c r="C2007" s="245" t="s">
        <v>2535</v>
      </c>
      <c r="D2007" s="15">
        <v>0</v>
      </c>
      <c r="E2007" s="15">
        <v>0</v>
      </c>
      <c r="F2007" s="15">
        <v>0</v>
      </c>
      <c r="G2007" s="15">
        <v>0</v>
      </c>
      <c r="H2007" s="15">
        <v>0</v>
      </c>
    </row>
    <row r="2008" spans="2:8">
      <c r="B2008" s="17" t="s">
        <v>7951</v>
      </c>
      <c r="C2008" s="246" t="s">
        <v>2536</v>
      </c>
      <c r="D2008" s="18">
        <v>0</v>
      </c>
      <c r="E2008" s="18">
        <v>0</v>
      </c>
      <c r="F2008" s="18">
        <v>0</v>
      </c>
      <c r="G2008" s="18">
        <v>0</v>
      </c>
      <c r="H2008" s="18">
        <v>0</v>
      </c>
    </row>
    <row r="2009" spans="2:8">
      <c r="B2009" s="14" t="s">
        <v>7952</v>
      </c>
      <c r="C2009" s="245" t="s">
        <v>2537</v>
      </c>
      <c r="D2009" s="15">
        <v>0</v>
      </c>
      <c r="E2009" s="15">
        <v>0</v>
      </c>
      <c r="F2009" s="15">
        <v>0</v>
      </c>
      <c r="G2009" s="15">
        <v>0</v>
      </c>
      <c r="H2009" s="15">
        <v>0</v>
      </c>
    </row>
    <row r="2010" spans="2:8">
      <c r="B2010" s="17" t="s">
        <v>7953</v>
      </c>
      <c r="C2010" s="246" t="s">
        <v>2538</v>
      </c>
      <c r="D2010" s="18">
        <v>0</v>
      </c>
      <c r="E2010" s="18">
        <v>0</v>
      </c>
      <c r="F2010" s="18">
        <v>0</v>
      </c>
      <c r="G2010" s="18">
        <v>3</v>
      </c>
      <c r="H2010" s="18">
        <v>0</v>
      </c>
    </row>
    <row r="2011" spans="2:8">
      <c r="B2011" s="14" t="s">
        <v>7954</v>
      </c>
      <c r="C2011" s="245" t="s">
        <v>2539</v>
      </c>
      <c r="D2011" s="15">
        <v>0</v>
      </c>
      <c r="E2011" s="15">
        <v>0</v>
      </c>
      <c r="F2011" s="15">
        <v>0</v>
      </c>
      <c r="G2011" s="15">
        <v>0</v>
      </c>
      <c r="H2011" s="15">
        <v>0</v>
      </c>
    </row>
    <row r="2012" spans="2:8">
      <c r="B2012" s="17" t="s">
        <v>7955</v>
      </c>
      <c r="C2012" s="246" t="s">
        <v>2540</v>
      </c>
      <c r="D2012" s="18">
        <v>0</v>
      </c>
      <c r="E2012" s="18">
        <v>0</v>
      </c>
      <c r="F2012" s="18">
        <v>0</v>
      </c>
      <c r="G2012" s="18">
        <v>0</v>
      </c>
      <c r="H2012" s="18">
        <v>0</v>
      </c>
    </row>
    <row r="2013" spans="2:8">
      <c r="B2013" s="14" t="s">
        <v>7956</v>
      </c>
      <c r="C2013" s="245" t="s">
        <v>2541</v>
      </c>
      <c r="D2013" s="15">
        <v>0</v>
      </c>
      <c r="E2013" s="15">
        <v>0</v>
      </c>
      <c r="F2013" s="15">
        <v>0</v>
      </c>
      <c r="G2013" s="15">
        <v>0</v>
      </c>
      <c r="H2013" s="15">
        <v>0</v>
      </c>
    </row>
    <row r="2014" spans="2:8">
      <c r="B2014" s="17" t="s">
        <v>7957</v>
      </c>
      <c r="C2014" s="246" t="s">
        <v>2542</v>
      </c>
      <c r="D2014" s="18">
        <v>0</v>
      </c>
      <c r="E2014" s="18">
        <v>0</v>
      </c>
      <c r="F2014" s="18">
        <v>0</v>
      </c>
      <c r="G2014" s="18">
        <v>0</v>
      </c>
      <c r="H2014" s="18">
        <v>0</v>
      </c>
    </row>
    <row r="2015" spans="2:8">
      <c r="B2015" s="14" t="s">
        <v>7958</v>
      </c>
      <c r="C2015" s="245" t="s">
        <v>2543</v>
      </c>
      <c r="D2015" s="15">
        <v>0</v>
      </c>
      <c r="E2015" s="15">
        <v>0</v>
      </c>
      <c r="F2015" s="15">
        <v>0</v>
      </c>
      <c r="G2015" s="15">
        <v>0</v>
      </c>
      <c r="H2015" s="15">
        <v>0</v>
      </c>
    </row>
    <row r="2016" spans="2:8">
      <c r="B2016" s="17" t="s">
        <v>7959</v>
      </c>
      <c r="C2016" s="246" t="s">
        <v>2544</v>
      </c>
      <c r="D2016" s="18">
        <v>0</v>
      </c>
      <c r="E2016" s="18">
        <v>0</v>
      </c>
      <c r="F2016" s="18">
        <v>0</v>
      </c>
      <c r="G2016" s="18">
        <v>0</v>
      </c>
      <c r="H2016" s="18">
        <v>0</v>
      </c>
    </row>
    <row r="2017" spans="2:8">
      <c r="B2017" s="14" t="s">
        <v>7960</v>
      </c>
      <c r="C2017" s="245" t="s">
        <v>2545</v>
      </c>
      <c r="D2017" s="15">
        <v>0</v>
      </c>
      <c r="E2017" s="15">
        <v>0</v>
      </c>
      <c r="F2017" s="15">
        <v>0</v>
      </c>
      <c r="G2017" s="15">
        <v>0</v>
      </c>
      <c r="H2017" s="15">
        <v>0</v>
      </c>
    </row>
    <row r="2018" spans="2:8">
      <c r="B2018" s="17" t="s">
        <v>7961</v>
      </c>
      <c r="C2018" s="246" t="s">
        <v>2546</v>
      </c>
      <c r="D2018" s="18">
        <v>0</v>
      </c>
      <c r="E2018" s="18">
        <v>0</v>
      </c>
      <c r="F2018" s="18">
        <v>0</v>
      </c>
      <c r="G2018" s="18">
        <v>0</v>
      </c>
      <c r="H2018" s="18">
        <v>0</v>
      </c>
    </row>
    <row r="2019" spans="2:8">
      <c r="B2019" s="14" t="s">
        <v>7962</v>
      </c>
      <c r="C2019" s="245" t="s">
        <v>2547</v>
      </c>
      <c r="D2019" s="15">
        <v>0</v>
      </c>
      <c r="E2019" s="15">
        <v>0</v>
      </c>
      <c r="F2019" s="15">
        <v>0</v>
      </c>
      <c r="G2019" s="15">
        <v>0</v>
      </c>
      <c r="H2019" s="15">
        <v>0</v>
      </c>
    </row>
    <row r="2020" spans="2:8">
      <c r="B2020" s="17" t="s">
        <v>7963</v>
      </c>
      <c r="C2020" s="246" t="s">
        <v>2548</v>
      </c>
      <c r="D2020" s="18">
        <v>0</v>
      </c>
      <c r="E2020" s="18">
        <v>0</v>
      </c>
      <c r="F2020" s="18">
        <v>0</v>
      </c>
      <c r="G2020" s="18">
        <v>0</v>
      </c>
      <c r="H2020" s="18">
        <v>0</v>
      </c>
    </row>
    <row r="2021" spans="2:8">
      <c r="B2021" s="14" t="s">
        <v>7964</v>
      </c>
      <c r="C2021" s="245" t="s">
        <v>2549</v>
      </c>
      <c r="D2021" s="15">
        <v>0</v>
      </c>
      <c r="E2021" s="15">
        <v>0</v>
      </c>
      <c r="F2021" s="15">
        <v>0</v>
      </c>
      <c r="G2021" s="15">
        <v>0</v>
      </c>
      <c r="H2021" s="15">
        <v>0</v>
      </c>
    </row>
    <row r="2022" spans="2:8">
      <c r="B2022" s="17" t="s">
        <v>7965</v>
      </c>
      <c r="C2022" s="246" t="s">
        <v>1923</v>
      </c>
      <c r="D2022" s="18">
        <v>220</v>
      </c>
      <c r="E2022" s="18">
        <v>0</v>
      </c>
      <c r="F2022" s="18">
        <v>0</v>
      </c>
      <c r="G2022" s="18">
        <v>0</v>
      </c>
      <c r="H2022" s="18">
        <v>0</v>
      </c>
    </row>
    <row r="2023" spans="2:8">
      <c r="B2023" s="14" t="s">
        <v>7966</v>
      </c>
      <c r="C2023" s="245" t="s">
        <v>2550</v>
      </c>
      <c r="D2023" s="15">
        <v>0</v>
      </c>
      <c r="E2023" s="15">
        <v>0</v>
      </c>
      <c r="F2023" s="15">
        <v>0</v>
      </c>
      <c r="G2023" s="15">
        <v>0</v>
      </c>
      <c r="H2023" s="15">
        <v>0</v>
      </c>
    </row>
    <row r="2024" spans="2:8">
      <c r="B2024" s="17" t="s">
        <v>7967</v>
      </c>
      <c r="C2024" s="246" t="s">
        <v>2551</v>
      </c>
      <c r="D2024" s="18">
        <v>0</v>
      </c>
      <c r="E2024" s="18">
        <v>0</v>
      </c>
      <c r="F2024" s="18">
        <v>0</v>
      </c>
      <c r="G2024" s="18">
        <v>0</v>
      </c>
      <c r="H2024" s="18">
        <v>0</v>
      </c>
    </row>
    <row r="2025" spans="2:8">
      <c r="B2025" s="14" t="s">
        <v>7968</v>
      </c>
      <c r="C2025" s="245" t="s">
        <v>2552</v>
      </c>
      <c r="D2025" s="15">
        <v>0</v>
      </c>
      <c r="E2025" s="15">
        <v>0</v>
      </c>
      <c r="F2025" s="15">
        <v>0</v>
      </c>
      <c r="G2025" s="15">
        <v>0</v>
      </c>
      <c r="H2025" s="15">
        <v>0</v>
      </c>
    </row>
    <row r="2026" spans="2:8">
      <c r="B2026" s="17" t="s">
        <v>7969</v>
      </c>
      <c r="C2026" s="246" t="s">
        <v>2553</v>
      </c>
      <c r="D2026" s="18">
        <v>0</v>
      </c>
      <c r="E2026" s="18">
        <v>0</v>
      </c>
      <c r="F2026" s="18">
        <v>0</v>
      </c>
      <c r="G2026" s="18">
        <v>0</v>
      </c>
      <c r="H2026" s="18">
        <v>0</v>
      </c>
    </row>
    <row r="2027" spans="2:8">
      <c r="B2027" s="14" t="s">
        <v>7970</v>
      </c>
      <c r="C2027" s="245" t="s">
        <v>2554</v>
      </c>
      <c r="D2027" s="15">
        <v>0</v>
      </c>
      <c r="E2027" s="15">
        <v>0</v>
      </c>
      <c r="F2027" s="15">
        <v>0</v>
      </c>
      <c r="G2027" s="15">
        <v>0</v>
      </c>
      <c r="H2027" s="15">
        <v>0</v>
      </c>
    </row>
    <row r="2028" spans="2:8">
      <c r="B2028" s="17" t="s">
        <v>7971</v>
      </c>
      <c r="C2028" s="246" t="s">
        <v>2555</v>
      </c>
      <c r="D2028" s="18">
        <v>0</v>
      </c>
      <c r="E2028" s="18">
        <v>0</v>
      </c>
      <c r="F2028" s="18">
        <v>0</v>
      </c>
      <c r="G2028" s="18">
        <v>0</v>
      </c>
      <c r="H2028" s="18">
        <v>0</v>
      </c>
    </row>
    <row r="2029" spans="2:8">
      <c r="B2029" s="14" t="s">
        <v>7972</v>
      </c>
      <c r="C2029" s="245" t="s">
        <v>2556</v>
      </c>
      <c r="D2029" s="15">
        <v>0</v>
      </c>
      <c r="E2029" s="15">
        <v>0</v>
      </c>
      <c r="F2029" s="15">
        <v>0</v>
      </c>
      <c r="G2029" s="15">
        <v>0</v>
      </c>
      <c r="H2029" s="15">
        <v>0</v>
      </c>
    </row>
    <row r="2030" spans="2:8">
      <c r="B2030" s="17" t="s">
        <v>7973</v>
      </c>
      <c r="C2030" s="246" t="s">
        <v>2557</v>
      </c>
      <c r="D2030" s="18">
        <v>0</v>
      </c>
      <c r="E2030" s="18">
        <v>0</v>
      </c>
      <c r="F2030" s="18">
        <v>0</v>
      </c>
      <c r="G2030" s="18">
        <v>0</v>
      </c>
      <c r="H2030" s="18">
        <v>0</v>
      </c>
    </row>
    <row r="2031" spans="2:8">
      <c r="B2031" s="14" t="s">
        <v>7974</v>
      </c>
      <c r="C2031" s="245" t="s">
        <v>2558</v>
      </c>
      <c r="D2031" s="15">
        <v>0</v>
      </c>
      <c r="E2031" s="15">
        <v>0</v>
      </c>
      <c r="F2031" s="15">
        <v>0</v>
      </c>
      <c r="G2031" s="15">
        <v>0</v>
      </c>
      <c r="H2031" s="15">
        <v>0</v>
      </c>
    </row>
    <row r="2032" spans="2:8">
      <c r="B2032" s="17" t="s">
        <v>7975</v>
      </c>
      <c r="C2032" s="246" t="s">
        <v>2559</v>
      </c>
      <c r="D2032" s="18">
        <v>0</v>
      </c>
      <c r="E2032" s="18">
        <v>0</v>
      </c>
      <c r="F2032" s="18">
        <v>0</v>
      </c>
      <c r="G2032" s="18">
        <v>0</v>
      </c>
      <c r="H2032" s="18">
        <v>0</v>
      </c>
    </row>
    <row r="2033" spans="2:8">
      <c r="B2033" s="14" t="s">
        <v>7976</v>
      </c>
      <c r="C2033" s="245" t="s">
        <v>2560</v>
      </c>
      <c r="D2033" s="15">
        <v>0</v>
      </c>
      <c r="E2033" s="15">
        <v>0</v>
      </c>
      <c r="F2033" s="15">
        <v>0</v>
      </c>
      <c r="G2033" s="15">
        <v>0</v>
      </c>
      <c r="H2033" s="15">
        <v>0</v>
      </c>
    </row>
    <row r="2034" spans="2:8">
      <c r="B2034" s="17" t="s">
        <v>7977</v>
      </c>
      <c r="C2034" s="246" t="s">
        <v>2561</v>
      </c>
      <c r="D2034" s="18">
        <v>0</v>
      </c>
      <c r="E2034" s="18">
        <v>0</v>
      </c>
      <c r="F2034" s="18">
        <v>0</v>
      </c>
      <c r="G2034" s="18">
        <v>0</v>
      </c>
      <c r="H2034" s="18">
        <v>0</v>
      </c>
    </row>
    <row r="2035" spans="2:8">
      <c r="B2035" s="14" t="s">
        <v>7978</v>
      </c>
      <c r="C2035" s="245" t="s">
        <v>2562</v>
      </c>
      <c r="D2035" s="15">
        <v>3</v>
      </c>
      <c r="E2035" s="15">
        <v>13</v>
      </c>
      <c r="F2035" s="15">
        <v>14</v>
      </c>
      <c r="G2035" s="15">
        <v>12</v>
      </c>
      <c r="H2035" s="15">
        <v>0</v>
      </c>
    </row>
    <row r="2036" spans="2:8">
      <c r="B2036" s="17" t="s">
        <v>7979</v>
      </c>
      <c r="C2036" s="246" t="s">
        <v>2563</v>
      </c>
      <c r="D2036" s="18">
        <v>0</v>
      </c>
      <c r="E2036" s="18">
        <v>0</v>
      </c>
      <c r="F2036" s="18">
        <v>0</v>
      </c>
      <c r="G2036" s="18">
        <v>0</v>
      </c>
      <c r="H2036" s="18">
        <v>0</v>
      </c>
    </row>
    <row r="2037" spans="2:8">
      <c r="B2037" s="14" t="s">
        <v>7980</v>
      </c>
      <c r="C2037" s="245" t="s">
        <v>2564</v>
      </c>
      <c r="D2037" s="15">
        <v>0</v>
      </c>
      <c r="E2037" s="15">
        <v>0</v>
      </c>
      <c r="F2037" s="15">
        <v>0</v>
      </c>
      <c r="G2037" s="15">
        <v>0</v>
      </c>
      <c r="H2037" s="15">
        <v>0</v>
      </c>
    </row>
    <row r="2038" spans="2:8">
      <c r="B2038" s="17" t="s">
        <v>7981</v>
      </c>
      <c r="C2038" s="246" t="s">
        <v>2565</v>
      </c>
      <c r="D2038" s="18">
        <v>0</v>
      </c>
      <c r="E2038" s="18">
        <v>0</v>
      </c>
      <c r="F2038" s="18">
        <v>0</v>
      </c>
      <c r="G2038" s="18">
        <v>0</v>
      </c>
      <c r="H2038" s="18">
        <v>0</v>
      </c>
    </row>
    <row r="2039" spans="2:8">
      <c r="B2039" s="14" t="s">
        <v>7982</v>
      </c>
      <c r="C2039" s="245" t="s">
        <v>2566</v>
      </c>
      <c r="D2039" s="15">
        <v>0</v>
      </c>
      <c r="E2039" s="15">
        <v>0</v>
      </c>
      <c r="F2039" s="15">
        <v>0</v>
      </c>
      <c r="G2039" s="15">
        <v>0</v>
      </c>
      <c r="H2039" s="15">
        <v>0</v>
      </c>
    </row>
    <row r="2040" spans="2:8">
      <c r="B2040" s="17" t="s">
        <v>7983</v>
      </c>
      <c r="C2040" s="246" t="s">
        <v>2567</v>
      </c>
      <c r="D2040" s="18">
        <v>0</v>
      </c>
      <c r="E2040" s="18">
        <v>0</v>
      </c>
      <c r="F2040" s="18">
        <v>0</v>
      </c>
      <c r="G2040" s="18">
        <v>0</v>
      </c>
      <c r="H2040" s="18">
        <v>0</v>
      </c>
    </row>
    <row r="2041" spans="2:8">
      <c r="B2041" s="14" t="s">
        <v>7984</v>
      </c>
      <c r="C2041" s="245" t="s">
        <v>2568</v>
      </c>
      <c r="D2041" s="15">
        <v>0</v>
      </c>
      <c r="E2041" s="15">
        <v>0</v>
      </c>
      <c r="F2041" s="15">
        <v>0</v>
      </c>
      <c r="G2041" s="15">
        <v>0</v>
      </c>
      <c r="H2041" s="15">
        <v>0</v>
      </c>
    </row>
    <row r="2042" spans="2:8">
      <c r="B2042" s="17" t="s">
        <v>7985</v>
      </c>
      <c r="C2042" s="246" t="s">
        <v>2569</v>
      </c>
      <c r="D2042" s="18">
        <v>0</v>
      </c>
      <c r="E2042" s="18">
        <v>0</v>
      </c>
      <c r="F2042" s="18">
        <v>0</v>
      </c>
      <c r="G2042" s="18">
        <v>0</v>
      </c>
      <c r="H2042" s="18">
        <v>0</v>
      </c>
    </row>
    <row r="2043" spans="2:8">
      <c r="B2043" s="14" t="s">
        <v>7986</v>
      </c>
      <c r="C2043" s="245" t="s">
        <v>2570</v>
      </c>
      <c r="D2043" s="15">
        <v>0</v>
      </c>
      <c r="E2043" s="15">
        <v>0</v>
      </c>
      <c r="F2043" s="15">
        <v>0</v>
      </c>
      <c r="G2043" s="15">
        <v>0</v>
      </c>
      <c r="H2043" s="15">
        <v>0</v>
      </c>
    </row>
    <row r="2044" spans="2:8">
      <c r="B2044" s="17" t="s">
        <v>7987</v>
      </c>
      <c r="C2044" s="246" t="s">
        <v>2571</v>
      </c>
      <c r="D2044" s="18">
        <v>0</v>
      </c>
      <c r="E2044" s="18">
        <v>0</v>
      </c>
      <c r="F2044" s="18">
        <v>0</v>
      </c>
      <c r="G2044" s="18">
        <v>0</v>
      </c>
      <c r="H2044" s="18">
        <v>0</v>
      </c>
    </row>
    <row r="2045" spans="2:8">
      <c r="B2045" s="14" t="s">
        <v>7988</v>
      </c>
      <c r="C2045" s="245" t="s">
        <v>2572</v>
      </c>
      <c r="D2045" s="15">
        <v>0</v>
      </c>
      <c r="E2045" s="15">
        <v>0</v>
      </c>
      <c r="F2045" s="15">
        <v>0</v>
      </c>
      <c r="G2045" s="15">
        <v>0</v>
      </c>
      <c r="H2045" s="15">
        <v>0</v>
      </c>
    </row>
    <row r="2046" spans="2:8">
      <c r="B2046" s="17" t="s">
        <v>7989</v>
      </c>
      <c r="C2046" s="246" t="s">
        <v>2573</v>
      </c>
      <c r="D2046" s="18">
        <v>0</v>
      </c>
      <c r="E2046" s="18">
        <v>3</v>
      </c>
      <c r="F2046" s="18">
        <v>0</v>
      </c>
      <c r="G2046" s="18">
        <v>0</v>
      </c>
      <c r="H2046" s="18">
        <v>0</v>
      </c>
    </row>
    <row r="2047" spans="2:8">
      <c r="B2047" s="14" t="s">
        <v>7990</v>
      </c>
      <c r="C2047" s="245" t="s">
        <v>2574</v>
      </c>
      <c r="D2047" s="15">
        <v>0</v>
      </c>
      <c r="E2047" s="15">
        <v>0</v>
      </c>
      <c r="F2047" s="15">
        <v>0</v>
      </c>
      <c r="G2047" s="15">
        <v>0</v>
      </c>
      <c r="H2047" s="15">
        <v>0</v>
      </c>
    </row>
    <row r="2048" spans="2:8">
      <c r="B2048" s="17" t="s">
        <v>7991</v>
      </c>
      <c r="C2048" s="246" t="s">
        <v>2575</v>
      </c>
      <c r="D2048" s="18">
        <v>0</v>
      </c>
      <c r="E2048" s="18">
        <v>0</v>
      </c>
      <c r="F2048" s="18">
        <v>0</v>
      </c>
      <c r="G2048" s="18">
        <v>0</v>
      </c>
      <c r="H2048" s="18">
        <v>0</v>
      </c>
    </row>
    <row r="2049" spans="2:8">
      <c r="B2049" s="14" t="s">
        <v>7992</v>
      </c>
      <c r="C2049" s="245" t="s">
        <v>2576</v>
      </c>
      <c r="D2049" s="15">
        <v>0</v>
      </c>
      <c r="E2049" s="15">
        <v>0</v>
      </c>
      <c r="F2049" s="15">
        <v>0</v>
      </c>
      <c r="G2049" s="15">
        <v>0</v>
      </c>
      <c r="H2049" s="15">
        <v>0</v>
      </c>
    </row>
    <row r="2050" spans="2:8">
      <c r="B2050" s="17" t="s">
        <v>7993</v>
      </c>
      <c r="C2050" s="246" t="s">
        <v>2577</v>
      </c>
      <c r="D2050" s="18">
        <v>0</v>
      </c>
      <c r="E2050" s="18">
        <v>0</v>
      </c>
      <c r="F2050" s="18">
        <v>0</v>
      </c>
      <c r="G2050" s="18">
        <v>0</v>
      </c>
      <c r="H2050" s="18">
        <v>0</v>
      </c>
    </row>
    <row r="2051" spans="2:8">
      <c r="B2051" s="14" t="s">
        <v>7994</v>
      </c>
      <c r="C2051" s="245" t="s">
        <v>2578</v>
      </c>
      <c r="D2051" s="15">
        <v>0</v>
      </c>
      <c r="E2051" s="15">
        <v>0</v>
      </c>
      <c r="F2051" s="15">
        <v>0</v>
      </c>
      <c r="G2051" s="15">
        <v>0</v>
      </c>
      <c r="H2051" s="15">
        <v>0</v>
      </c>
    </row>
    <row r="2052" spans="2:8">
      <c r="B2052" s="17" t="s">
        <v>7995</v>
      </c>
      <c r="C2052" s="246" t="s">
        <v>2579</v>
      </c>
      <c r="D2052" s="18">
        <v>0</v>
      </c>
      <c r="E2052" s="18">
        <v>0</v>
      </c>
      <c r="F2052" s="18">
        <v>0</v>
      </c>
      <c r="G2052" s="18">
        <v>0</v>
      </c>
      <c r="H2052" s="18">
        <v>0</v>
      </c>
    </row>
    <row r="2053" spans="2:8">
      <c r="B2053" s="14" t="s">
        <v>7996</v>
      </c>
      <c r="C2053" s="245" t="s">
        <v>2580</v>
      </c>
      <c r="D2053" s="15">
        <v>0</v>
      </c>
      <c r="E2053" s="15">
        <v>0</v>
      </c>
      <c r="F2053" s="15">
        <v>0</v>
      </c>
      <c r="G2053" s="15">
        <v>0</v>
      </c>
      <c r="H2053" s="15">
        <v>0</v>
      </c>
    </row>
    <row r="2054" spans="2:8">
      <c r="B2054" s="17" t="s">
        <v>7997</v>
      </c>
      <c r="C2054" s="246" t="s">
        <v>2581</v>
      </c>
      <c r="D2054" s="18">
        <v>0</v>
      </c>
      <c r="E2054" s="18">
        <v>0</v>
      </c>
      <c r="F2054" s="18">
        <v>0</v>
      </c>
      <c r="G2054" s="18">
        <v>0</v>
      </c>
      <c r="H2054" s="18">
        <v>0</v>
      </c>
    </row>
    <row r="2055" spans="2:8">
      <c r="B2055" s="14" t="s">
        <v>7998</v>
      </c>
      <c r="C2055" s="245" t="s">
        <v>2582</v>
      </c>
      <c r="D2055" s="15">
        <v>0</v>
      </c>
      <c r="E2055" s="15">
        <v>0</v>
      </c>
      <c r="F2055" s="15">
        <v>0</v>
      </c>
      <c r="G2055" s="15">
        <v>0</v>
      </c>
      <c r="H2055" s="15">
        <v>0</v>
      </c>
    </row>
    <row r="2056" spans="2:8">
      <c r="B2056" s="17" t="s">
        <v>7999</v>
      </c>
      <c r="C2056" s="246" t="s">
        <v>2583</v>
      </c>
      <c r="D2056" s="18">
        <v>0</v>
      </c>
      <c r="E2056" s="18">
        <v>0</v>
      </c>
      <c r="F2056" s="18">
        <v>0</v>
      </c>
      <c r="G2056" s="18">
        <v>0</v>
      </c>
      <c r="H2056" s="18">
        <v>0</v>
      </c>
    </row>
    <row r="2057" spans="2:8">
      <c r="B2057" s="14" t="s">
        <v>8000</v>
      </c>
      <c r="C2057" s="245" t="s">
        <v>2584</v>
      </c>
      <c r="D2057" s="15">
        <v>0</v>
      </c>
      <c r="E2057" s="15">
        <v>0</v>
      </c>
      <c r="F2057" s="15">
        <v>0</v>
      </c>
      <c r="G2057" s="15">
        <v>0</v>
      </c>
      <c r="H2057" s="15">
        <v>0</v>
      </c>
    </row>
    <row r="2058" spans="2:8">
      <c r="B2058" s="17" t="s">
        <v>8001</v>
      </c>
      <c r="C2058" s="246" t="s">
        <v>2585</v>
      </c>
      <c r="D2058" s="18">
        <v>0</v>
      </c>
      <c r="E2058" s="18">
        <v>0</v>
      </c>
      <c r="F2058" s="18">
        <v>0</v>
      </c>
      <c r="G2058" s="18">
        <v>0</v>
      </c>
      <c r="H2058" s="18">
        <v>0</v>
      </c>
    </row>
    <row r="2059" spans="2:8">
      <c r="B2059" s="14" t="s">
        <v>8002</v>
      </c>
      <c r="C2059" s="245" t="s">
        <v>2586</v>
      </c>
      <c r="D2059" s="15">
        <v>0</v>
      </c>
      <c r="E2059" s="15">
        <v>0</v>
      </c>
      <c r="F2059" s="15">
        <v>0</v>
      </c>
      <c r="G2059" s="15">
        <v>0</v>
      </c>
      <c r="H2059" s="15">
        <v>0</v>
      </c>
    </row>
    <row r="2060" spans="2:8">
      <c r="B2060" s="17" t="s">
        <v>8003</v>
      </c>
      <c r="C2060" s="246" t="s">
        <v>2587</v>
      </c>
      <c r="D2060" s="18">
        <v>0</v>
      </c>
      <c r="E2060" s="18">
        <v>0</v>
      </c>
      <c r="F2060" s="18">
        <v>0</v>
      </c>
      <c r="G2060" s="18">
        <v>0</v>
      </c>
      <c r="H2060" s="18">
        <v>0</v>
      </c>
    </row>
    <row r="2061" spans="2:8">
      <c r="B2061" s="14" t="s">
        <v>8004</v>
      </c>
      <c r="C2061" s="245" t="s">
        <v>2588</v>
      </c>
      <c r="D2061" s="15">
        <v>0</v>
      </c>
      <c r="E2061" s="15">
        <v>0</v>
      </c>
      <c r="F2061" s="15">
        <v>4</v>
      </c>
      <c r="G2061" s="15">
        <v>0</v>
      </c>
      <c r="H2061" s="15">
        <v>0</v>
      </c>
    </row>
    <row r="2062" spans="2:8">
      <c r="B2062" s="17" t="s">
        <v>8005</v>
      </c>
      <c r="C2062" s="246" t="s">
        <v>2589</v>
      </c>
      <c r="D2062" s="18">
        <v>0</v>
      </c>
      <c r="E2062" s="18">
        <v>0</v>
      </c>
      <c r="F2062" s="18">
        <v>0</v>
      </c>
      <c r="G2062" s="18">
        <v>0</v>
      </c>
      <c r="H2062" s="18">
        <v>0</v>
      </c>
    </row>
    <row r="2063" spans="2:8">
      <c r="B2063" s="14" t="s">
        <v>8006</v>
      </c>
      <c r="C2063" s="245" t="s">
        <v>2590</v>
      </c>
      <c r="D2063" s="15">
        <v>0</v>
      </c>
      <c r="E2063" s="15">
        <v>0</v>
      </c>
      <c r="F2063" s="15">
        <v>0</v>
      </c>
      <c r="G2063" s="15">
        <v>0</v>
      </c>
      <c r="H2063" s="15">
        <v>0</v>
      </c>
    </row>
    <row r="2064" spans="2:8">
      <c r="B2064" s="17" t="s">
        <v>8007</v>
      </c>
      <c r="C2064" s="246" t="s">
        <v>2591</v>
      </c>
      <c r="D2064" s="18">
        <v>0</v>
      </c>
      <c r="E2064" s="18">
        <v>8</v>
      </c>
      <c r="F2064" s="18">
        <v>0</v>
      </c>
      <c r="G2064" s="18">
        <v>0</v>
      </c>
      <c r="H2064" s="18">
        <v>0</v>
      </c>
    </row>
    <row r="2065" spans="2:8">
      <c r="B2065" s="14" t="s">
        <v>8008</v>
      </c>
      <c r="C2065" s="245" t="s">
        <v>2592</v>
      </c>
      <c r="D2065" s="15">
        <v>0</v>
      </c>
      <c r="E2065" s="15">
        <v>0</v>
      </c>
      <c r="F2065" s="15">
        <v>0</v>
      </c>
      <c r="G2065" s="15">
        <v>0</v>
      </c>
      <c r="H2065" s="15">
        <v>0</v>
      </c>
    </row>
    <row r="2066" spans="2:8">
      <c r="B2066" s="17" t="s">
        <v>8009</v>
      </c>
      <c r="C2066" s="246" t="s">
        <v>2593</v>
      </c>
      <c r="D2066" s="18">
        <v>0</v>
      </c>
      <c r="E2066" s="18">
        <v>0</v>
      </c>
      <c r="F2066" s="18">
        <v>0</v>
      </c>
      <c r="G2066" s="18">
        <v>0</v>
      </c>
      <c r="H2066" s="18">
        <v>0</v>
      </c>
    </row>
    <row r="2067" spans="2:8">
      <c r="B2067" s="14" t="s">
        <v>8010</v>
      </c>
      <c r="C2067" s="245" t="s">
        <v>2594</v>
      </c>
      <c r="D2067" s="15">
        <v>0</v>
      </c>
      <c r="E2067" s="15">
        <v>0</v>
      </c>
      <c r="F2067" s="15">
        <v>0</v>
      </c>
      <c r="G2067" s="15">
        <v>0</v>
      </c>
      <c r="H2067" s="15">
        <v>0</v>
      </c>
    </row>
    <row r="2068" spans="2:8">
      <c r="B2068" s="17" t="s">
        <v>8011</v>
      </c>
      <c r="C2068" s="246" t="s">
        <v>2595</v>
      </c>
      <c r="D2068" s="18">
        <v>0</v>
      </c>
      <c r="E2068" s="18">
        <v>0</v>
      </c>
      <c r="F2068" s="18">
        <v>0</v>
      </c>
      <c r="G2068" s="18">
        <v>0</v>
      </c>
      <c r="H2068" s="18">
        <v>0</v>
      </c>
    </row>
    <row r="2069" spans="2:8">
      <c r="B2069" s="14" t="s">
        <v>8012</v>
      </c>
      <c r="C2069" s="245" t="s">
        <v>2596</v>
      </c>
      <c r="D2069" s="15">
        <v>0</v>
      </c>
      <c r="E2069" s="15">
        <v>0</v>
      </c>
      <c r="F2069" s="15">
        <v>0</v>
      </c>
      <c r="G2069" s="15">
        <v>0</v>
      </c>
      <c r="H2069" s="15">
        <v>0</v>
      </c>
    </row>
    <row r="2070" spans="2:8">
      <c r="B2070" s="17" t="s">
        <v>8013</v>
      </c>
      <c r="C2070" s="246" t="s">
        <v>2597</v>
      </c>
      <c r="D2070" s="18">
        <v>0</v>
      </c>
      <c r="E2070" s="18">
        <v>0</v>
      </c>
      <c r="F2070" s="18">
        <v>0</v>
      </c>
      <c r="G2070" s="18">
        <v>0</v>
      </c>
      <c r="H2070" s="18">
        <v>0</v>
      </c>
    </row>
    <row r="2071" spans="2:8">
      <c r="B2071" s="14" t="s">
        <v>8014</v>
      </c>
      <c r="C2071" s="245" t="s">
        <v>2598</v>
      </c>
      <c r="D2071" s="15">
        <v>0</v>
      </c>
      <c r="E2071" s="15">
        <v>0</v>
      </c>
      <c r="F2071" s="15">
        <v>0</v>
      </c>
      <c r="G2071" s="15">
        <v>0</v>
      </c>
      <c r="H2071" s="15">
        <v>0</v>
      </c>
    </row>
    <row r="2072" spans="2:8">
      <c r="B2072" s="17" t="s">
        <v>8015</v>
      </c>
      <c r="C2072" s="246" t="s">
        <v>2599</v>
      </c>
      <c r="D2072" s="18">
        <v>0</v>
      </c>
      <c r="E2072" s="18">
        <v>0</v>
      </c>
      <c r="F2072" s="18">
        <v>0</v>
      </c>
      <c r="G2072" s="18">
        <v>0</v>
      </c>
      <c r="H2072" s="18">
        <v>0</v>
      </c>
    </row>
    <row r="2073" spans="2:8">
      <c r="B2073" s="14" t="s">
        <v>8016</v>
      </c>
      <c r="C2073" s="245" t="s">
        <v>2600</v>
      </c>
      <c r="D2073" s="15">
        <v>0</v>
      </c>
      <c r="E2073" s="15">
        <v>0</v>
      </c>
      <c r="F2073" s="15">
        <v>0</v>
      </c>
      <c r="G2073" s="15">
        <v>0</v>
      </c>
      <c r="H2073" s="15">
        <v>0</v>
      </c>
    </row>
    <row r="2074" spans="2:8">
      <c r="B2074" s="17" t="s">
        <v>8017</v>
      </c>
      <c r="C2074" s="246" t="s">
        <v>2601</v>
      </c>
      <c r="D2074" s="18">
        <v>0</v>
      </c>
      <c r="E2074" s="18">
        <v>0</v>
      </c>
      <c r="F2074" s="18">
        <v>0</v>
      </c>
      <c r="G2074" s="18">
        <v>0</v>
      </c>
      <c r="H2074" s="18">
        <v>0</v>
      </c>
    </row>
    <row r="2075" spans="2:8">
      <c r="B2075" s="14" t="s">
        <v>8018</v>
      </c>
      <c r="C2075" s="245" t="s">
        <v>2602</v>
      </c>
      <c r="D2075" s="15">
        <v>0</v>
      </c>
      <c r="E2075" s="15">
        <v>0</v>
      </c>
      <c r="F2075" s="15">
        <v>0</v>
      </c>
      <c r="G2075" s="15">
        <v>0</v>
      </c>
      <c r="H2075" s="15">
        <v>0</v>
      </c>
    </row>
    <row r="2076" spans="2:8">
      <c r="B2076" s="17" t="s">
        <v>8019</v>
      </c>
      <c r="C2076" s="246" t="s">
        <v>2603</v>
      </c>
      <c r="D2076" s="18">
        <v>0</v>
      </c>
      <c r="E2076" s="18">
        <v>0</v>
      </c>
      <c r="F2076" s="18">
        <v>0</v>
      </c>
      <c r="G2076" s="18">
        <v>0</v>
      </c>
      <c r="H2076" s="18">
        <v>0</v>
      </c>
    </row>
    <row r="2077" spans="2:8">
      <c r="B2077" s="14" t="s">
        <v>8020</v>
      </c>
      <c r="C2077" s="245" t="s">
        <v>2604</v>
      </c>
      <c r="D2077" s="15">
        <v>0</v>
      </c>
      <c r="E2077" s="15">
        <v>0</v>
      </c>
      <c r="F2077" s="15">
        <v>0</v>
      </c>
      <c r="G2077" s="15">
        <v>0</v>
      </c>
      <c r="H2077" s="15">
        <v>0</v>
      </c>
    </row>
    <row r="2078" spans="2:8">
      <c r="B2078" s="17" t="s">
        <v>8021</v>
      </c>
      <c r="C2078" s="246" t="s">
        <v>2605</v>
      </c>
      <c r="D2078" s="18">
        <v>0</v>
      </c>
      <c r="E2078" s="18">
        <v>0</v>
      </c>
      <c r="F2078" s="18">
        <v>0</v>
      </c>
      <c r="G2078" s="18">
        <v>0</v>
      </c>
      <c r="H2078" s="18">
        <v>0</v>
      </c>
    </row>
    <row r="2079" spans="2:8">
      <c r="B2079" s="14" t="s">
        <v>8022</v>
      </c>
      <c r="C2079" s="245" t="s">
        <v>2606</v>
      </c>
      <c r="D2079" s="15">
        <v>0</v>
      </c>
      <c r="E2079" s="15">
        <v>0</v>
      </c>
      <c r="F2079" s="15">
        <v>0</v>
      </c>
      <c r="G2079" s="15">
        <v>0</v>
      </c>
      <c r="H2079" s="15">
        <v>0</v>
      </c>
    </row>
    <row r="2080" spans="2:8">
      <c r="B2080" s="17" t="s">
        <v>8023</v>
      </c>
      <c r="C2080" s="246" t="s">
        <v>2607</v>
      </c>
      <c r="D2080" s="18">
        <v>0</v>
      </c>
      <c r="E2080" s="18">
        <v>0</v>
      </c>
      <c r="F2080" s="18">
        <v>0</v>
      </c>
      <c r="G2080" s="18">
        <v>0</v>
      </c>
      <c r="H2080" s="18">
        <v>0</v>
      </c>
    </row>
    <row r="2081" spans="2:8">
      <c r="B2081" s="14" t="s">
        <v>8024</v>
      </c>
      <c r="C2081" s="245" t="s">
        <v>2608</v>
      </c>
      <c r="D2081" s="15">
        <v>0</v>
      </c>
      <c r="E2081" s="15">
        <v>0</v>
      </c>
      <c r="F2081" s="15">
        <v>0</v>
      </c>
      <c r="G2081" s="15">
        <v>0</v>
      </c>
      <c r="H2081" s="15">
        <v>0</v>
      </c>
    </row>
    <row r="2082" spans="2:8">
      <c r="B2082" s="17" t="s">
        <v>8025</v>
      </c>
      <c r="C2082" s="246" t="s">
        <v>2609</v>
      </c>
      <c r="D2082" s="18">
        <v>0</v>
      </c>
      <c r="E2082" s="18">
        <v>0</v>
      </c>
      <c r="F2082" s="18">
        <v>0</v>
      </c>
      <c r="G2082" s="18">
        <v>0</v>
      </c>
      <c r="H2082" s="18">
        <v>0</v>
      </c>
    </row>
    <row r="2083" spans="2:8">
      <c r="B2083" s="14" t="s">
        <v>8026</v>
      </c>
      <c r="C2083" s="245" t="s">
        <v>2610</v>
      </c>
      <c r="D2083" s="15">
        <v>0</v>
      </c>
      <c r="E2083" s="15">
        <v>0</v>
      </c>
      <c r="F2083" s="15">
        <v>0</v>
      </c>
      <c r="G2083" s="15">
        <v>0</v>
      </c>
      <c r="H2083" s="15">
        <v>0</v>
      </c>
    </row>
    <row r="2084" spans="2:8">
      <c r="B2084" s="17" t="s">
        <v>8027</v>
      </c>
      <c r="C2084" s="246" t="s">
        <v>2611</v>
      </c>
      <c r="D2084" s="18">
        <v>0</v>
      </c>
      <c r="E2084" s="18">
        <v>0</v>
      </c>
      <c r="F2084" s="18">
        <v>0</v>
      </c>
      <c r="G2084" s="18">
        <v>0</v>
      </c>
      <c r="H2084" s="18">
        <v>0</v>
      </c>
    </row>
    <row r="2085" spans="2:8">
      <c r="B2085" s="14" t="s">
        <v>8028</v>
      </c>
      <c r="C2085" s="245" t="s">
        <v>2612</v>
      </c>
      <c r="D2085" s="15">
        <v>0</v>
      </c>
      <c r="E2085" s="15">
        <v>0</v>
      </c>
      <c r="F2085" s="15">
        <v>0</v>
      </c>
      <c r="G2085" s="15">
        <v>0</v>
      </c>
      <c r="H2085" s="15">
        <v>0</v>
      </c>
    </row>
    <row r="2086" spans="2:8">
      <c r="B2086" s="17" t="s">
        <v>8029</v>
      </c>
      <c r="C2086" s="246" t="s">
        <v>2613</v>
      </c>
      <c r="D2086" s="18">
        <v>0</v>
      </c>
      <c r="E2086" s="18">
        <v>0</v>
      </c>
      <c r="F2086" s="18">
        <v>69</v>
      </c>
      <c r="G2086" s="18">
        <v>0</v>
      </c>
      <c r="H2086" s="18">
        <v>0</v>
      </c>
    </row>
    <row r="2087" spans="2:8">
      <c r="B2087" s="14" t="s">
        <v>8030</v>
      </c>
      <c r="C2087" s="245" t="s">
        <v>2614</v>
      </c>
      <c r="D2087" s="15">
        <v>0</v>
      </c>
      <c r="E2087" s="15">
        <v>0</v>
      </c>
      <c r="F2087" s="15">
        <v>0</v>
      </c>
      <c r="G2087" s="15">
        <v>0</v>
      </c>
      <c r="H2087" s="15">
        <v>0</v>
      </c>
    </row>
    <row r="2088" spans="2:8">
      <c r="B2088" s="17" t="s">
        <v>8031</v>
      </c>
      <c r="C2088" s="246" t="s">
        <v>2615</v>
      </c>
      <c r="D2088" s="18">
        <v>0</v>
      </c>
      <c r="E2088" s="18">
        <v>0</v>
      </c>
      <c r="F2088" s="18">
        <v>0</v>
      </c>
      <c r="G2088" s="18">
        <v>0</v>
      </c>
      <c r="H2088" s="18">
        <v>0</v>
      </c>
    </row>
    <row r="2089" spans="2:8">
      <c r="B2089" s="14" t="s">
        <v>8032</v>
      </c>
      <c r="C2089" s="245" t="s">
        <v>2616</v>
      </c>
      <c r="D2089" s="15">
        <v>0</v>
      </c>
      <c r="E2089" s="15">
        <v>0</v>
      </c>
      <c r="F2089" s="15">
        <v>0</v>
      </c>
      <c r="G2089" s="15">
        <v>0</v>
      </c>
      <c r="H2089" s="15">
        <v>0</v>
      </c>
    </row>
    <row r="2090" spans="2:8">
      <c r="B2090" s="17" t="s">
        <v>8033</v>
      </c>
      <c r="C2090" s="246" t="s">
        <v>2617</v>
      </c>
      <c r="D2090" s="18">
        <v>0</v>
      </c>
      <c r="E2090" s="18">
        <v>0</v>
      </c>
      <c r="F2090" s="18">
        <v>0</v>
      </c>
      <c r="G2090" s="18">
        <v>0</v>
      </c>
      <c r="H2090" s="18">
        <v>0</v>
      </c>
    </row>
    <row r="2091" spans="2:8">
      <c r="B2091" s="14" t="s">
        <v>8034</v>
      </c>
      <c r="C2091" s="245" t="s">
        <v>2618</v>
      </c>
      <c r="D2091" s="15">
        <v>0</v>
      </c>
      <c r="E2091" s="15">
        <v>0</v>
      </c>
      <c r="F2091" s="15">
        <v>0</v>
      </c>
      <c r="G2091" s="15">
        <v>0</v>
      </c>
      <c r="H2091" s="15">
        <v>0</v>
      </c>
    </row>
    <row r="2092" spans="2:8">
      <c r="B2092" s="17" t="s">
        <v>8035</v>
      </c>
      <c r="C2092" s="246" t="s">
        <v>2619</v>
      </c>
      <c r="D2092" s="18">
        <v>0</v>
      </c>
      <c r="E2092" s="18">
        <v>0</v>
      </c>
      <c r="F2092" s="18">
        <v>0</v>
      </c>
      <c r="G2092" s="18">
        <v>0</v>
      </c>
      <c r="H2092" s="18">
        <v>0</v>
      </c>
    </row>
    <row r="2093" spans="2:8">
      <c r="B2093" s="14" t="s">
        <v>8036</v>
      </c>
      <c r="C2093" s="245" t="s">
        <v>2620</v>
      </c>
      <c r="D2093" s="15">
        <v>0</v>
      </c>
      <c r="E2093" s="15">
        <v>0</v>
      </c>
      <c r="F2093" s="15">
        <v>0</v>
      </c>
      <c r="G2093" s="15">
        <v>0</v>
      </c>
      <c r="H2093" s="15">
        <v>0</v>
      </c>
    </row>
    <row r="2094" spans="2:8">
      <c r="B2094" s="17" t="s">
        <v>8037</v>
      </c>
      <c r="C2094" s="246" t="s">
        <v>2621</v>
      </c>
      <c r="D2094" s="18">
        <v>0</v>
      </c>
      <c r="E2094" s="18">
        <v>0</v>
      </c>
      <c r="F2094" s="18">
        <v>0</v>
      </c>
      <c r="G2094" s="18">
        <v>0</v>
      </c>
      <c r="H2094" s="18">
        <v>0</v>
      </c>
    </row>
    <row r="2095" spans="2:8">
      <c r="B2095" s="14" t="s">
        <v>8038</v>
      </c>
      <c r="C2095" s="245" t="s">
        <v>2622</v>
      </c>
      <c r="D2095" s="15">
        <v>0</v>
      </c>
      <c r="E2095" s="15">
        <v>0</v>
      </c>
      <c r="F2095" s="15">
        <v>0</v>
      </c>
      <c r="G2095" s="15">
        <v>0</v>
      </c>
      <c r="H2095" s="15">
        <v>0</v>
      </c>
    </row>
    <row r="2096" spans="2:8">
      <c r="B2096" s="17" t="s">
        <v>8039</v>
      </c>
      <c r="C2096" s="246" t="s">
        <v>2623</v>
      </c>
      <c r="D2096" s="18">
        <v>0</v>
      </c>
      <c r="E2096" s="18">
        <v>0</v>
      </c>
      <c r="F2096" s="18">
        <v>0</v>
      </c>
      <c r="G2096" s="18">
        <v>0</v>
      </c>
      <c r="H2096" s="18">
        <v>0</v>
      </c>
    </row>
    <row r="2097" spans="2:8">
      <c r="B2097" s="14" t="s">
        <v>8040</v>
      </c>
      <c r="C2097" s="245" t="s">
        <v>2624</v>
      </c>
      <c r="D2097" s="15">
        <v>67</v>
      </c>
      <c r="E2097" s="15">
        <v>0</v>
      </c>
      <c r="F2097" s="15">
        <v>0</v>
      </c>
      <c r="G2097" s="15">
        <v>0</v>
      </c>
      <c r="H2097" s="15">
        <v>0</v>
      </c>
    </row>
    <row r="2098" spans="2:8">
      <c r="B2098" s="17" t="s">
        <v>8041</v>
      </c>
      <c r="C2098" s="246" t="s">
        <v>2625</v>
      </c>
      <c r="D2098" s="18">
        <v>0</v>
      </c>
      <c r="E2098" s="18">
        <v>0</v>
      </c>
      <c r="F2098" s="18">
        <v>0</v>
      </c>
      <c r="G2098" s="18">
        <v>0</v>
      </c>
      <c r="H2098" s="18">
        <v>0</v>
      </c>
    </row>
    <row r="2099" spans="2:8">
      <c r="B2099" s="14" t="s">
        <v>8042</v>
      </c>
      <c r="C2099" s="245" t="s">
        <v>2626</v>
      </c>
      <c r="D2099" s="15">
        <v>11</v>
      </c>
      <c r="E2099" s="15">
        <v>0</v>
      </c>
      <c r="F2099" s="15">
        <v>0</v>
      </c>
      <c r="G2099" s="15">
        <v>0</v>
      </c>
      <c r="H2099" s="15">
        <v>0</v>
      </c>
    </row>
    <row r="2100" spans="2:8">
      <c r="B2100" s="17" t="s">
        <v>8043</v>
      </c>
      <c r="C2100" s="246" t="s">
        <v>2627</v>
      </c>
      <c r="D2100" s="18">
        <v>0</v>
      </c>
      <c r="E2100" s="18">
        <v>0</v>
      </c>
      <c r="F2100" s="18">
        <v>0</v>
      </c>
      <c r="G2100" s="18">
        <v>0</v>
      </c>
      <c r="H2100" s="18">
        <v>0</v>
      </c>
    </row>
    <row r="2101" spans="2:8">
      <c r="B2101" s="14" t="s">
        <v>8044</v>
      </c>
      <c r="C2101" s="245" t="s">
        <v>2628</v>
      </c>
      <c r="D2101" s="15">
        <v>0</v>
      </c>
      <c r="E2101" s="15">
        <v>0</v>
      </c>
      <c r="F2101" s="15">
        <v>63</v>
      </c>
      <c r="G2101" s="15">
        <v>0</v>
      </c>
      <c r="H2101" s="15">
        <v>0</v>
      </c>
    </row>
    <row r="2102" spans="2:8">
      <c r="B2102" s="17" t="s">
        <v>8045</v>
      </c>
      <c r="C2102" s="246" t="s">
        <v>2629</v>
      </c>
      <c r="D2102" s="18">
        <v>0</v>
      </c>
      <c r="E2102" s="18">
        <v>0</v>
      </c>
      <c r="F2102" s="18">
        <v>0</v>
      </c>
      <c r="G2102" s="18">
        <v>0</v>
      </c>
      <c r="H2102" s="18">
        <v>0</v>
      </c>
    </row>
    <row r="2103" spans="2:8">
      <c r="B2103" s="14" t="s">
        <v>8046</v>
      </c>
      <c r="C2103" s="245" t="s">
        <v>2630</v>
      </c>
      <c r="D2103" s="15">
        <v>4</v>
      </c>
      <c r="E2103" s="15">
        <v>9</v>
      </c>
      <c r="F2103" s="15">
        <v>0</v>
      </c>
      <c r="G2103" s="15">
        <v>0</v>
      </c>
      <c r="H2103" s="15">
        <v>0</v>
      </c>
    </row>
    <row r="2104" spans="2:8">
      <c r="B2104" s="17" t="s">
        <v>8047</v>
      </c>
      <c r="C2104" s="246" t="s">
        <v>2631</v>
      </c>
      <c r="D2104" s="18">
        <v>0</v>
      </c>
      <c r="E2104" s="18">
        <v>0</v>
      </c>
      <c r="F2104" s="18">
        <v>33</v>
      </c>
      <c r="G2104" s="18">
        <v>32</v>
      </c>
      <c r="H2104" s="18">
        <v>0</v>
      </c>
    </row>
    <row r="2105" spans="2:8">
      <c r="B2105" s="14" t="s">
        <v>8048</v>
      </c>
      <c r="C2105" s="245" t="s">
        <v>2632</v>
      </c>
      <c r="D2105" s="15">
        <v>0</v>
      </c>
      <c r="E2105" s="15">
        <v>0</v>
      </c>
      <c r="F2105" s="15">
        <v>0</v>
      </c>
      <c r="G2105" s="15">
        <v>0</v>
      </c>
      <c r="H2105" s="15">
        <v>0</v>
      </c>
    </row>
    <row r="2106" spans="2:8">
      <c r="B2106" s="17" t="s">
        <v>8049</v>
      </c>
      <c r="C2106" s="246" t="s">
        <v>2633</v>
      </c>
      <c r="D2106" s="18">
        <v>0</v>
      </c>
      <c r="E2106" s="18">
        <v>0</v>
      </c>
      <c r="F2106" s="18">
        <v>0</v>
      </c>
      <c r="G2106" s="18">
        <v>0</v>
      </c>
      <c r="H2106" s="18">
        <v>0</v>
      </c>
    </row>
    <row r="2107" spans="2:8">
      <c r="B2107" s="14" t="s">
        <v>8050</v>
      </c>
      <c r="C2107" s="245" t="s">
        <v>2634</v>
      </c>
      <c r="D2107" s="15">
        <v>0</v>
      </c>
      <c r="E2107" s="15">
        <v>0</v>
      </c>
      <c r="F2107" s="15">
        <v>0</v>
      </c>
      <c r="G2107" s="15">
        <v>0</v>
      </c>
      <c r="H2107" s="15">
        <v>0</v>
      </c>
    </row>
    <row r="2108" spans="2:8">
      <c r="B2108" s="17" t="s">
        <v>8051</v>
      </c>
      <c r="C2108" s="246" t="s">
        <v>2635</v>
      </c>
      <c r="D2108" s="18">
        <v>0</v>
      </c>
      <c r="E2108" s="18">
        <v>0</v>
      </c>
      <c r="F2108" s="18">
        <v>3</v>
      </c>
      <c r="G2108" s="18">
        <v>0</v>
      </c>
      <c r="H2108" s="18">
        <v>0</v>
      </c>
    </row>
    <row r="2109" spans="2:8">
      <c r="B2109" s="14" t="s">
        <v>8052</v>
      </c>
      <c r="C2109" s="245" t="s">
        <v>2636</v>
      </c>
      <c r="D2109" s="15">
        <v>1834</v>
      </c>
      <c r="E2109" s="15">
        <v>3664</v>
      </c>
      <c r="F2109" s="15">
        <v>0</v>
      </c>
      <c r="G2109" s="15">
        <v>0</v>
      </c>
      <c r="H2109" s="15">
        <v>0</v>
      </c>
    </row>
    <row r="2110" spans="2:8">
      <c r="B2110" s="17" t="s">
        <v>8053</v>
      </c>
      <c r="C2110" s="246" t="s">
        <v>2637</v>
      </c>
      <c r="D2110" s="18">
        <v>0</v>
      </c>
      <c r="E2110" s="18">
        <v>0</v>
      </c>
      <c r="F2110" s="18">
        <v>0</v>
      </c>
      <c r="G2110" s="18">
        <v>0</v>
      </c>
      <c r="H2110" s="18">
        <v>0</v>
      </c>
    </row>
    <row r="2111" spans="2:8">
      <c r="B2111" s="14" t="s">
        <v>8054</v>
      </c>
      <c r="C2111" s="245" t="s">
        <v>2638</v>
      </c>
      <c r="D2111" s="15">
        <v>0</v>
      </c>
      <c r="E2111" s="15">
        <v>0</v>
      </c>
      <c r="F2111" s="15">
        <v>0</v>
      </c>
      <c r="G2111" s="15">
        <v>0</v>
      </c>
      <c r="H2111" s="15">
        <v>0</v>
      </c>
    </row>
    <row r="2112" spans="2:8">
      <c r="B2112" s="17" t="s">
        <v>8055</v>
      </c>
      <c r="C2112" s="246" t="s">
        <v>2639</v>
      </c>
      <c r="D2112" s="18">
        <v>0</v>
      </c>
      <c r="E2112" s="18">
        <v>0</v>
      </c>
      <c r="F2112" s="18">
        <v>0</v>
      </c>
      <c r="G2112" s="18">
        <v>0</v>
      </c>
      <c r="H2112" s="18">
        <v>0</v>
      </c>
    </row>
    <row r="2113" spans="2:8">
      <c r="B2113" s="14" t="s">
        <v>8056</v>
      </c>
      <c r="C2113" s="245" t="s">
        <v>2640</v>
      </c>
      <c r="D2113" s="15">
        <v>0</v>
      </c>
      <c r="E2113" s="15">
        <v>0</v>
      </c>
      <c r="F2113" s="15">
        <v>0</v>
      </c>
      <c r="G2113" s="15">
        <v>0</v>
      </c>
      <c r="H2113" s="15">
        <v>0</v>
      </c>
    </row>
    <row r="2114" spans="2:8">
      <c r="B2114" s="17" t="s">
        <v>8057</v>
      </c>
      <c r="C2114" s="246" t="s">
        <v>2641</v>
      </c>
      <c r="D2114" s="18">
        <v>0</v>
      </c>
      <c r="E2114" s="18">
        <v>0</v>
      </c>
      <c r="F2114" s="18">
        <v>0</v>
      </c>
      <c r="G2114" s="18">
        <v>0</v>
      </c>
      <c r="H2114" s="18">
        <v>0</v>
      </c>
    </row>
    <row r="2115" spans="2:8">
      <c r="B2115" s="14" t="s">
        <v>8058</v>
      </c>
      <c r="C2115" s="245" t="s">
        <v>2642</v>
      </c>
      <c r="D2115" s="15">
        <v>0</v>
      </c>
      <c r="E2115" s="15">
        <v>0</v>
      </c>
      <c r="F2115" s="15">
        <v>0</v>
      </c>
      <c r="G2115" s="15">
        <v>0</v>
      </c>
      <c r="H2115" s="15">
        <v>0</v>
      </c>
    </row>
    <row r="2116" spans="2:8">
      <c r="B2116" s="17" t="s">
        <v>8059</v>
      </c>
      <c r="C2116" s="246" t="s">
        <v>2643</v>
      </c>
      <c r="D2116" s="18">
        <v>0</v>
      </c>
      <c r="E2116" s="18">
        <v>0</v>
      </c>
      <c r="F2116" s="18">
        <v>0</v>
      </c>
      <c r="G2116" s="18">
        <v>0</v>
      </c>
      <c r="H2116" s="18">
        <v>0</v>
      </c>
    </row>
    <row r="2117" spans="2:8">
      <c r="B2117" s="14" t="s">
        <v>8060</v>
      </c>
      <c r="C2117" s="245" t="s">
        <v>2644</v>
      </c>
      <c r="D2117" s="15">
        <v>0</v>
      </c>
      <c r="E2117" s="15">
        <v>0</v>
      </c>
      <c r="F2117" s="15">
        <v>0</v>
      </c>
      <c r="G2117" s="15">
        <v>0</v>
      </c>
      <c r="H2117" s="15">
        <v>0</v>
      </c>
    </row>
    <row r="2118" spans="2:8">
      <c r="B2118" s="17" t="s">
        <v>8061</v>
      </c>
      <c r="C2118" s="246" t="s">
        <v>2645</v>
      </c>
      <c r="D2118" s="18">
        <v>0</v>
      </c>
      <c r="E2118" s="18">
        <v>0</v>
      </c>
      <c r="F2118" s="18">
        <v>0</v>
      </c>
      <c r="G2118" s="18">
        <v>0</v>
      </c>
      <c r="H2118" s="18">
        <v>0</v>
      </c>
    </row>
    <row r="2119" spans="2:8">
      <c r="B2119" s="14" t="s">
        <v>8062</v>
      </c>
      <c r="C2119" s="245" t="s">
        <v>2646</v>
      </c>
      <c r="D2119" s="15">
        <v>0</v>
      </c>
      <c r="E2119" s="15">
        <v>0</v>
      </c>
      <c r="F2119" s="15">
        <v>0</v>
      </c>
      <c r="G2119" s="15">
        <v>0</v>
      </c>
      <c r="H2119" s="15">
        <v>0</v>
      </c>
    </row>
    <row r="2120" spans="2:8">
      <c r="B2120" s="17" t="s">
        <v>8063</v>
      </c>
      <c r="C2120" s="246" t="s">
        <v>2647</v>
      </c>
      <c r="D2120" s="18">
        <v>0</v>
      </c>
      <c r="E2120" s="18">
        <v>0</v>
      </c>
      <c r="F2120" s="18">
        <v>0</v>
      </c>
      <c r="G2120" s="18">
        <v>0</v>
      </c>
      <c r="H2120" s="18">
        <v>0</v>
      </c>
    </row>
    <row r="2121" spans="2:8">
      <c r="B2121" s="14" t="s">
        <v>8064</v>
      </c>
      <c r="C2121" s="245" t="s">
        <v>2648</v>
      </c>
      <c r="D2121" s="15">
        <v>0</v>
      </c>
      <c r="E2121" s="15">
        <v>0</v>
      </c>
      <c r="F2121" s="15">
        <v>0</v>
      </c>
      <c r="G2121" s="15">
        <v>0</v>
      </c>
      <c r="H2121" s="15">
        <v>0</v>
      </c>
    </row>
    <row r="2122" spans="2:8">
      <c r="B2122" s="17" t="s">
        <v>8065</v>
      </c>
      <c r="C2122" s="246" t="s">
        <v>2649</v>
      </c>
      <c r="D2122" s="18">
        <v>0</v>
      </c>
      <c r="E2122" s="18">
        <v>0</v>
      </c>
      <c r="F2122" s="18">
        <v>0</v>
      </c>
      <c r="G2122" s="18">
        <v>0</v>
      </c>
      <c r="H2122" s="18">
        <v>0</v>
      </c>
    </row>
    <row r="2123" spans="2:8">
      <c r="B2123" s="14" t="s">
        <v>8066</v>
      </c>
      <c r="C2123" s="245" t="s">
        <v>2650</v>
      </c>
      <c r="D2123" s="15">
        <v>0</v>
      </c>
      <c r="E2123" s="15">
        <v>0</v>
      </c>
      <c r="F2123" s="15">
        <v>0</v>
      </c>
      <c r="G2123" s="15">
        <v>0</v>
      </c>
      <c r="H2123" s="15">
        <v>0</v>
      </c>
    </row>
    <row r="2124" spans="2:8">
      <c r="B2124" s="17" t="s">
        <v>8067</v>
      </c>
      <c r="C2124" s="246" t="s">
        <v>2651</v>
      </c>
      <c r="D2124" s="18">
        <v>0</v>
      </c>
      <c r="E2124" s="18">
        <v>0</v>
      </c>
      <c r="F2124" s="18">
        <v>0</v>
      </c>
      <c r="G2124" s="18">
        <v>0</v>
      </c>
      <c r="H2124" s="18">
        <v>0</v>
      </c>
    </row>
    <row r="2125" spans="2:8">
      <c r="B2125" s="14" t="s">
        <v>8068</v>
      </c>
      <c r="C2125" s="245" t="s">
        <v>2652</v>
      </c>
      <c r="D2125" s="15">
        <v>0</v>
      </c>
      <c r="E2125" s="15">
        <v>0</v>
      </c>
      <c r="F2125" s="15">
        <v>0</v>
      </c>
      <c r="G2125" s="15">
        <v>0</v>
      </c>
      <c r="H2125" s="15">
        <v>0</v>
      </c>
    </row>
    <row r="2126" spans="2:8">
      <c r="B2126" s="17" t="s">
        <v>8069</v>
      </c>
      <c r="C2126" s="246" t="s">
        <v>2653</v>
      </c>
      <c r="D2126" s="18">
        <v>0</v>
      </c>
      <c r="E2126" s="18">
        <v>0</v>
      </c>
      <c r="F2126" s="18">
        <v>0</v>
      </c>
      <c r="G2126" s="18">
        <v>0</v>
      </c>
      <c r="H2126" s="18">
        <v>0</v>
      </c>
    </row>
    <row r="2127" spans="2:8">
      <c r="B2127" s="14" t="s">
        <v>8070</v>
      </c>
      <c r="C2127" s="245" t="s">
        <v>2654</v>
      </c>
      <c r="D2127" s="15">
        <v>0</v>
      </c>
      <c r="E2127" s="15">
        <v>0</v>
      </c>
      <c r="F2127" s="15">
        <v>0</v>
      </c>
      <c r="G2127" s="15">
        <v>0</v>
      </c>
      <c r="H2127" s="15">
        <v>0</v>
      </c>
    </row>
    <row r="2128" spans="2:8">
      <c r="B2128" s="17" t="s">
        <v>8071</v>
      </c>
      <c r="C2128" s="246" t="s">
        <v>2655</v>
      </c>
      <c r="D2128" s="18">
        <v>0</v>
      </c>
      <c r="E2128" s="18">
        <v>0</v>
      </c>
      <c r="F2128" s="18">
        <v>0</v>
      </c>
      <c r="G2128" s="18">
        <v>0</v>
      </c>
      <c r="H2128" s="18">
        <v>0</v>
      </c>
    </row>
    <row r="2129" spans="2:8">
      <c r="B2129" s="14" t="s">
        <v>8072</v>
      </c>
      <c r="C2129" s="245" t="s">
        <v>2656</v>
      </c>
      <c r="D2129" s="15">
        <v>0</v>
      </c>
      <c r="E2129" s="15">
        <v>0</v>
      </c>
      <c r="F2129" s="15">
        <v>0</v>
      </c>
      <c r="G2129" s="15">
        <v>0</v>
      </c>
      <c r="H2129" s="15">
        <v>0</v>
      </c>
    </row>
    <row r="2130" spans="2:8">
      <c r="B2130" s="17" t="s">
        <v>8073</v>
      </c>
      <c r="C2130" s="246" t="s">
        <v>2657</v>
      </c>
      <c r="D2130" s="18">
        <v>0</v>
      </c>
      <c r="E2130" s="18">
        <v>0</v>
      </c>
      <c r="F2130" s="18">
        <v>0</v>
      </c>
      <c r="G2130" s="18">
        <v>0</v>
      </c>
      <c r="H2130" s="18">
        <v>0</v>
      </c>
    </row>
    <row r="2131" spans="2:8">
      <c r="B2131" s="14" t="s">
        <v>8074</v>
      </c>
      <c r="C2131" s="245" t="s">
        <v>2658</v>
      </c>
      <c r="D2131" s="15">
        <v>0</v>
      </c>
      <c r="E2131" s="15">
        <v>0</v>
      </c>
      <c r="F2131" s="15">
        <v>0</v>
      </c>
      <c r="G2131" s="15">
        <v>0</v>
      </c>
      <c r="H2131" s="15">
        <v>0</v>
      </c>
    </row>
    <row r="2132" spans="2:8">
      <c r="B2132" s="17" t="s">
        <v>8075</v>
      </c>
      <c r="C2132" s="246" t="s">
        <v>2659</v>
      </c>
      <c r="D2132" s="18">
        <v>0</v>
      </c>
      <c r="E2132" s="18">
        <v>0</v>
      </c>
      <c r="F2132" s="18">
        <v>0</v>
      </c>
      <c r="G2132" s="18">
        <v>0</v>
      </c>
      <c r="H2132" s="18">
        <v>0</v>
      </c>
    </row>
    <row r="2133" spans="2:8">
      <c r="B2133" s="14" t="s">
        <v>8076</v>
      </c>
      <c r="C2133" s="245" t="s">
        <v>2660</v>
      </c>
      <c r="D2133" s="15">
        <v>0</v>
      </c>
      <c r="E2133" s="15">
        <v>0</v>
      </c>
      <c r="F2133" s="15">
        <v>0</v>
      </c>
      <c r="G2133" s="15">
        <v>0</v>
      </c>
      <c r="H2133" s="15">
        <v>0</v>
      </c>
    </row>
    <row r="2134" spans="2:8">
      <c r="B2134" s="17" t="s">
        <v>8077</v>
      </c>
      <c r="C2134" s="246" t="s">
        <v>2661</v>
      </c>
      <c r="D2134" s="18">
        <v>0</v>
      </c>
      <c r="E2134" s="18">
        <v>0</v>
      </c>
      <c r="F2134" s="18">
        <v>0</v>
      </c>
      <c r="G2134" s="18">
        <v>0</v>
      </c>
      <c r="H2134" s="18">
        <v>0</v>
      </c>
    </row>
    <row r="2135" spans="2:8">
      <c r="B2135" s="14" t="s">
        <v>8078</v>
      </c>
      <c r="C2135" s="245" t="s">
        <v>2662</v>
      </c>
      <c r="D2135" s="15">
        <v>62</v>
      </c>
      <c r="E2135" s="15">
        <v>0</v>
      </c>
      <c r="F2135" s="15">
        <v>7</v>
      </c>
      <c r="G2135" s="15">
        <v>0</v>
      </c>
      <c r="H2135" s="15">
        <v>0</v>
      </c>
    </row>
    <row r="2136" spans="2:8">
      <c r="B2136" s="17" t="s">
        <v>8079</v>
      </c>
      <c r="C2136" s="246" t="s">
        <v>2663</v>
      </c>
      <c r="D2136" s="18">
        <v>0</v>
      </c>
      <c r="E2136" s="18">
        <v>0</v>
      </c>
      <c r="F2136" s="18">
        <v>0</v>
      </c>
      <c r="G2136" s="18">
        <v>0</v>
      </c>
      <c r="H2136" s="18">
        <v>0</v>
      </c>
    </row>
    <row r="2137" spans="2:8">
      <c r="B2137" s="14" t="s">
        <v>8080</v>
      </c>
      <c r="C2137" s="245" t="s">
        <v>2664</v>
      </c>
      <c r="D2137" s="15">
        <v>0</v>
      </c>
      <c r="E2137" s="15">
        <v>0</v>
      </c>
      <c r="F2137" s="15">
        <v>0</v>
      </c>
      <c r="G2137" s="15">
        <v>0</v>
      </c>
      <c r="H2137" s="15">
        <v>0</v>
      </c>
    </row>
    <row r="2138" spans="2:8">
      <c r="B2138" s="17" t="s">
        <v>8081</v>
      </c>
      <c r="C2138" s="246" t="s">
        <v>2665</v>
      </c>
      <c r="D2138" s="18">
        <v>0</v>
      </c>
      <c r="E2138" s="18">
        <v>0</v>
      </c>
      <c r="F2138" s="18">
        <v>0</v>
      </c>
      <c r="G2138" s="18">
        <v>0</v>
      </c>
      <c r="H2138" s="18">
        <v>0</v>
      </c>
    </row>
    <row r="2139" spans="2:8">
      <c r="B2139" s="14" t="s">
        <v>8082</v>
      </c>
      <c r="C2139" s="245" t="s">
        <v>2666</v>
      </c>
      <c r="D2139" s="15">
        <v>0</v>
      </c>
      <c r="E2139" s="15">
        <v>0</v>
      </c>
      <c r="F2139" s="15">
        <v>0</v>
      </c>
      <c r="G2139" s="15">
        <v>0</v>
      </c>
      <c r="H2139" s="15">
        <v>0</v>
      </c>
    </row>
    <row r="2140" spans="2:8">
      <c r="B2140" s="17" t="s">
        <v>8083</v>
      </c>
      <c r="C2140" s="246" t="s">
        <v>2667</v>
      </c>
      <c r="D2140" s="18">
        <v>0</v>
      </c>
      <c r="E2140" s="18">
        <v>0</v>
      </c>
      <c r="F2140" s="18">
        <v>0</v>
      </c>
      <c r="G2140" s="18">
        <v>0</v>
      </c>
      <c r="H2140" s="18">
        <v>0</v>
      </c>
    </row>
    <row r="2141" spans="2:8">
      <c r="B2141" s="14" t="s">
        <v>8084</v>
      </c>
      <c r="C2141" s="245" t="s">
        <v>2668</v>
      </c>
      <c r="D2141" s="15">
        <v>0</v>
      </c>
      <c r="E2141" s="15">
        <v>0</v>
      </c>
      <c r="F2141" s="15">
        <v>0</v>
      </c>
      <c r="G2141" s="15">
        <v>0</v>
      </c>
      <c r="H2141" s="15">
        <v>0</v>
      </c>
    </row>
    <row r="2142" spans="2:8">
      <c r="B2142" s="17" t="s">
        <v>8085</v>
      </c>
      <c r="C2142" s="246" t="s">
        <v>2669</v>
      </c>
      <c r="D2142" s="18">
        <v>0</v>
      </c>
      <c r="E2142" s="18">
        <v>0</v>
      </c>
      <c r="F2142" s="18">
        <v>0</v>
      </c>
      <c r="G2142" s="18">
        <v>0</v>
      </c>
      <c r="H2142" s="18">
        <v>0</v>
      </c>
    </row>
    <row r="2143" spans="2:8">
      <c r="B2143" s="14" t="s">
        <v>8086</v>
      </c>
      <c r="C2143" s="245" t="s">
        <v>2670</v>
      </c>
      <c r="D2143" s="15">
        <v>0</v>
      </c>
      <c r="E2143" s="15">
        <v>0</v>
      </c>
      <c r="F2143" s="15">
        <v>0</v>
      </c>
      <c r="G2143" s="15">
        <v>0</v>
      </c>
      <c r="H2143" s="15">
        <v>0</v>
      </c>
    </row>
    <row r="2144" spans="2:8">
      <c r="B2144" s="17" t="s">
        <v>8087</v>
      </c>
      <c r="C2144" s="246" t="s">
        <v>2671</v>
      </c>
      <c r="D2144" s="18">
        <v>0</v>
      </c>
      <c r="E2144" s="18">
        <v>0</v>
      </c>
      <c r="F2144" s="18">
        <v>0</v>
      </c>
      <c r="G2144" s="18">
        <v>0</v>
      </c>
      <c r="H2144" s="18">
        <v>0</v>
      </c>
    </row>
    <row r="2145" spans="2:8">
      <c r="B2145" s="14" t="s">
        <v>8088</v>
      </c>
      <c r="C2145" s="245" t="s">
        <v>2672</v>
      </c>
      <c r="D2145" s="15">
        <v>0</v>
      </c>
      <c r="E2145" s="15">
        <v>0</v>
      </c>
      <c r="F2145" s="15">
        <v>0</v>
      </c>
      <c r="G2145" s="15">
        <v>0</v>
      </c>
      <c r="H2145" s="15">
        <v>0</v>
      </c>
    </row>
    <row r="2146" spans="2:8">
      <c r="B2146" s="17" t="s">
        <v>8089</v>
      </c>
      <c r="C2146" s="246" t="s">
        <v>2673</v>
      </c>
      <c r="D2146" s="18">
        <v>0</v>
      </c>
      <c r="E2146" s="18">
        <v>0</v>
      </c>
      <c r="F2146" s="18">
        <v>0</v>
      </c>
      <c r="G2146" s="18">
        <v>0</v>
      </c>
      <c r="H2146" s="18">
        <v>0</v>
      </c>
    </row>
    <row r="2147" spans="2:8">
      <c r="B2147" s="14" t="s">
        <v>8090</v>
      </c>
      <c r="C2147" s="245" t="s">
        <v>2674</v>
      </c>
      <c r="D2147" s="15">
        <v>0</v>
      </c>
      <c r="E2147" s="15">
        <v>0</v>
      </c>
      <c r="F2147" s="15">
        <v>0</v>
      </c>
      <c r="G2147" s="15">
        <v>0</v>
      </c>
      <c r="H2147" s="15">
        <v>0</v>
      </c>
    </row>
    <row r="2148" spans="2:8">
      <c r="B2148" s="17" t="s">
        <v>8091</v>
      </c>
      <c r="C2148" s="246" t="s">
        <v>2675</v>
      </c>
      <c r="D2148" s="18">
        <v>0</v>
      </c>
      <c r="E2148" s="18">
        <v>0</v>
      </c>
      <c r="F2148" s="18">
        <v>0</v>
      </c>
      <c r="G2148" s="18">
        <v>0</v>
      </c>
      <c r="H2148" s="18">
        <v>0</v>
      </c>
    </row>
    <row r="2149" spans="2:8">
      <c r="B2149" s="14" t="s">
        <v>8092</v>
      </c>
      <c r="C2149" s="245" t="s">
        <v>2676</v>
      </c>
      <c r="D2149" s="15">
        <v>0</v>
      </c>
      <c r="E2149" s="15">
        <v>0</v>
      </c>
      <c r="F2149" s="15">
        <v>0</v>
      </c>
      <c r="G2149" s="15">
        <v>0</v>
      </c>
      <c r="H2149" s="15">
        <v>0</v>
      </c>
    </row>
    <row r="2150" spans="2:8">
      <c r="B2150" s="17" t="s">
        <v>8093</v>
      </c>
      <c r="C2150" s="246" t="s">
        <v>2677</v>
      </c>
      <c r="D2150" s="18">
        <v>0</v>
      </c>
      <c r="E2150" s="18">
        <v>0</v>
      </c>
      <c r="F2150" s="18">
        <v>0</v>
      </c>
      <c r="G2150" s="18">
        <v>0</v>
      </c>
      <c r="H2150" s="18">
        <v>0</v>
      </c>
    </row>
    <row r="2151" spans="2:8">
      <c r="B2151" s="14" t="s">
        <v>8094</v>
      </c>
      <c r="C2151" s="245" t="s">
        <v>2678</v>
      </c>
      <c r="D2151" s="15">
        <v>0</v>
      </c>
      <c r="E2151" s="15">
        <v>0</v>
      </c>
      <c r="F2151" s="15">
        <v>0</v>
      </c>
      <c r="G2151" s="15">
        <v>0</v>
      </c>
      <c r="H2151" s="15">
        <v>0</v>
      </c>
    </row>
    <row r="2152" spans="2:8">
      <c r="B2152" s="17" t="s">
        <v>8095</v>
      </c>
      <c r="C2152" s="246" t="s">
        <v>2679</v>
      </c>
      <c r="D2152" s="18">
        <v>0</v>
      </c>
      <c r="E2152" s="18">
        <v>0</v>
      </c>
      <c r="F2152" s="18">
        <v>0</v>
      </c>
      <c r="G2152" s="18">
        <v>0</v>
      </c>
      <c r="H2152" s="18">
        <v>0</v>
      </c>
    </row>
    <row r="2153" spans="2:8">
      <c r="B2153" s="14" t="s">
        <v>8096</v>
      </c>
      <c r="C2153" s="245" t="s">
        <v>2680</v>
      </c>
      <c r="D2153" s="15">
        <v>0</v>
      </c>
      <c r="E2153" s="15">
        <v>0</v>
      </c>
      <c r="F2153" s="15">
        <v>0</v>
      </c>
      <c r="G2153" s="15">
        <v>0</v>
      </c>
      <c r="H2153" s="15">
        <v>0</v>
      </c>
    </row>
    <row r="2154" spans="2:8">
      <c r="B2154" s="17" t="s">
        <v>8097</v>
      </c>
      <c r="C2154" s="246" t="s">
        <v>2681</v>
      </c>
      <c r="D2154" s="18">
        <v>0</v>
      </c>
      <c r="E2154" s="18">
        <v>0</v>
      </c>
      <c r="F2154" s="18">
        <v>0</v>
      </c>
      <c r="G2154" s="18">
        <v>0</v>
      </c>
      <c r="H2154" s="18">
        <v>0</v>
      </c>
    </row>
    <row r="2155" spans="2:8">
      <c r="B2155" s="14" t="s">
        <v>8098</v>
      </c>
      <c r="C2155" s="245" t="s">
        <v>2682</v>
      </c>
      <c r="D2155" s="15">
        <v>0</v>
      </c>
      <c r="E2155" s="15">
        <v>0</v>
      </c>
      <c r="F2155" s="15">
        <v>0</v>
      </c>
      <c r="G2155" s="15">
        <v>0</v>
      </c>
      <c r="H2155" s="15">
        <v>0</v>
      </c>
    </row>
    <row r="2156" spans="2:8">
      <c r="B2156" s="17" t="s">
        <v>8099</v>
      </c>
      <c r="C2156" s="246" t="s">
        <v>2683</v>
      </c>
      <c r="D2156" s="18">
        <v>0</v>
      </c>
      <c r="E2156" s="18">
        <v>0</v>
      </c>
      <c r="F2156" s="18">
        <v>0</v>
      </c>
      <c r="G2156" s="18">
        <v>0</v>
      </c>
      <c r="H2156" s="18">
        <v>0</v>
      </c>
    </row>
    <row r="2157" spans="2:8">
      <c r="B2157" s="14" t="s">
        <v>8100</v>
      </c>
      <c r="C2157" s="245" t="s">
        <v>2684</v>
      </c>
      <c r="D2157" s="15">
        <v>0</v>
      </c>
      <c r="E2157" s="15">
        <v>0</v>
      </c>
      <c r="F2157" s="15">
        <v>0</v>
      </c>
      <c r="G2157" s="15">
        <v>0</v>
      </c>
      <c r="H2157" s="15">
        <v>0</v>
      </c>
    </row>
    <row r="2158" spans="2:8">
      <c r="B2158" s="17" t="s">
        <v>8101</v>
      </c>
      <c r="C2158" s="246" t="s">
        <v>2685</v>
      </c>
      <c r="D2158" s="18">
        <v>0</v>
      </c>
      <c r="E2158" s="18">
        <v>0</v>
      </c>
      <c r="F2158" s="18">
        <v>0</v>
      </c>
      <c r="G2158" s="18">
        <v>0</v>
      </c>
      <c r="H2158" s="18">
        <v>0</v>
      </c>
    </row>
    <row r="2159" spans="2:8">
      <c r="B2159" s="14" t="s">
        <v>8102</v>
      </c>
      <c r="C2159" s="245" t="s">
        <v>2686</v>
      </c>
      <c r="D2159" s="15">
        <v>0</v>
      </c>
      <c r="E2159" s="15">
        <v>0</v>
      </c>
      <c r="F2159" s="15">
        <v>0</v>
      </c>
      <c r="G2159" s="15">
        <v>0</v>
      </c>
      <c r="H2159" s="15">
        <v>0</v>
      </c>
    </row>
    <row r="2160" spans="2:8">
      <c r="B2160" s="17" t="s">
        <v>8103</v>
      </c>
      <c r="C2160" s="246" t="s">
        <v>2687</v>
      </c>
      <c r="D2160" s="18">
        <v>0</v>
      </c>
      <c r="E2160" s="18">
        <v>0</v>
      </c>
      <c r="F2160" s="18">
        <v>0</v>
      </c>
      <c r="G2160" s="18">
        <v>0</v>
      </c>
      <c r="H2160" s="18">
        <v>0</v>
      </c>
    </row>
    <row r="2161" spans="2:8">
      <c r="B2161" s="14" t="s">
        <v>8104</v>
      </c>
      <c r="C2161" s="245" t="s">
        <v>2688</v>
      </c>
      <c r="D2161" s="15">
        <v>0</v>
      </c>
      <c r="E2161" s="15">
        <v>0</v>
      </c>
      <c r="F2161" s="15">
        <v>0</v>
      </c>
      <c r="G2161" s="15">
        <v>0</v>
      </c>
      <c r="H2161" s="15">
        <v>0</v>
      </c>
    </row>
    <row r="2162" spans="2:8">
      <c r="B2162" s="17" t="s">
        <v>8105</v>
      </c>
      <c r="C2162" s="246" t="s">
        <v>2689</v>
      </c>
      <c r="D2162" s="18">
        <v>0</v>
      </c>
      <c r="E2162" s="18">
        <v>0</v>
      </c>
      <c r="F2162" s="18">
        <v>0</v>
      </c>
      <c r="G2162" s="18">
        <v>0</v>
      </c>
      <c r="H2162" s="18">
        <v>0</v>
      </c>
    </row>
    <row r="2163" spans="2:8">
      <c r="B2163" s="14" t="s">
        <v>8106</v>
      </c>
      <c r="C2163" s="245" t="s">
        <v>2690</v>
      </c>
      <c r="D2163" s="15">
        <v>0</v>
      </c>
      <c r="E2163" s="15">
        <v>0</v>
      </c>
      <c r="F2163" s="15">
        <v>0</v>
      </c>
      <c r="G2163" s="15">
        <v>0</v>
      </c>
      <c r="H2163" s="15">
        <v>0</v>
      </c>
    </row>
    <row r="2164" spans="2:8">
      <c r="B2164" s="17" t="s">
        <v>8107</v>
      </c>
      <c r="C2164" s="246" t="s">
        <v>2691</v>
      </c>
      <c r="D2164" s="18">
        <v>0</v>
      </c>
      <c r="E2164" s="18">
        <v>0</v>
      </c>
      <c r="F2164" s="18">
        <v>0</v>
      </c>
      <c r="G2164" s="18">
        <v>0</v>
      </c>
      <c r="H2164" s="18">
        <v>0</v>
      </c>
    </row>
    <row r="2165" spans="2:8">
      <c r="B2165" s="14" t="s">
        <v>8108</v>
      </c>
      <c r="C2165" s="245" t="s">
        <v>2692</v>
      </c>
      <c r="D2165" s="15">
        <v>0</v>
      </c>
      <c r="E2165" s="15">
        <v>0</v>
      </c>
      <c r="F2165" s="15">
        <v>0</v>
      </c>
      <c r="G2165" s="15">
        <v>0</v>
      </c>
      <c r="H2165" s="15">
        <v>0</v>
      </c>
    </row>
    <row r="2166" spans="2:8">
      <c r="B2166" s="17" t="s">
        <v>8109</v>
      </c>
      <c r="C2166" s="246" t="s">
        <v>2693</v>
      </c>
      <c r="D2166" s="18">
        <v>0</v>
      </c>
      <c r="E2166" s="18">
        <v>0</v>
      </c>
      <c r="F2166" s="18">
        <v>0</v>
      </c>
      <c r="G2166" s="18">
        <v>0</v>
      </c>
      <c r="H2166" s="18">
        <v>0</v>
      </c>
    </row>
    <row r="2167" spans="2:8">
      <c r="B2167" s="14" t="s">
        <v>8110</v>
      </c>
      <c r="C2167" s="245" t="s">
        <v>2694</v>
      </c>
      <c r="D2167" s="15">
        <v>0</v>
      </c>
      <c r="E2167" s="15">
        <v>0</v>
      </c>
      <c r="F2167" s="15">
        <v>0</v>
      </c>
      <c r="G2167" s="15">
        <v>0</v>
      </c>
      <c r="H2167" s="15">
        <v>0</v>
      </c>
    </row>
    <row r="2168" spans="2:8">
      <c r="B2168" s="17" t="s">
        <v>8111</v>
      </c>
      <c r="C2168" s="246" t="s">
        <v>2695</v>
      </c>
      <c r="D2168" s="18">
        <v>0</v>
      </c>
      <c r="E2168" s="18">
        <v>0</v>
      </c>
      <c r="F2168" s="18">
        <v>0</v>
      </c>
      <c r="G2168" s="18">
        <v>0</v>
      </c>
      <c r="H2168" s="18">
        <v>0</v>
      </c>
    </row>
    <row r="2169" spans="2:8">
      <c r="B2169" s="14" t="s">
        <v>8112</v>
      </c>
      <c r="C2169" s="245" t="s">
        <v>2696</v>
      </c>
      <c r="D2169" s="15">
        <v>0</v>
      </c>
      <c r="E2169" s="15">
        <v>0</v>
      </c>
      <c r="F2169" s="15">
        <v>4</v>
      </c>
      <c r="G2169" s="15">
        <v>0</v>
      </c>
      <c r="H2169" s="15">
        <v>0</v>
      </c>
    </row>
    <row r="2170" spans="2:8">
      <c r="B2170" s="17" t="s">
        <v>8113</v>
      </c>
      <c r="C2170" s="246" t="s">
        <v>2697</v>
      </c>
      <c r="D2170" s="18">
        <v>0</v>
      </c>
      <c r="E2170" s="18">
        <v>2</v>
      </c>
      <c r="F2170" s="18">
        <v>0</v>
      </c>
      <c r="G2170" s="18">
        <v>0</v>
      </c>
      <c r="H2170" s="18">
        <v>0</v>
      </c>
    </row>
    <row r="2171" spans="2:8">
      <c r="B2171" s="14" t="s">
        <v>8114</v>
      </c>
      <c r="C2171" s="245" t="s">
        <v>2698</v>
      </c>
      <c r="D2171" s="15">
        <v>0</v>
      </c>
      <c r="E2171" s="15">
        <v>0</v>
      </c>
      <c r="F2171" s="15">
        <v>0</v>
      </c>
      <c r="G2171" s="15">
        <v>0</v>
      </c>
      <c r="H2171" s="15">
        <v>0</v>
      </c>
    </row>
    <row r="2172" spans="2:8">
      <c r="B2172" s="17" t="s">
        <v>8115</v>
      </c>
      <c r="C2172" s="246" t="s">
        <v>2699</v>
      </c>
      <c r="D2172" s="18">
        <v>0</v>
      </c>
      <c r="E2172" s="18">
        <v>0</v>
      </c>
      <c r="F2172" s="18">
        <v>0</v>
      </c>
      <c r="G2172" s="18">
        <v>0</v>
      </c>
      <c r="H2172" s="18">
        <v>0</v>
      </c>
    </row>
    <row r="2173" spans="2:8">
      <c r="B2173" s="14" t="s">
        <v>8116</v>
      </c>
      <c r="C2173" s="245" t="s">
        <v>2700</v>
      </c>
      <c r="D2173" s="15">
        <v>0</v>
      </c>
      <c r="E2173" s="15">
        <v>0</v>
      </c>
      <c r="F2173" s="15">
        <v>0</v>
      </c>
      <c r="G2173" s="15">
        <v>0</v>
      </c>
      <c r="H2173" s="15">
        <v>0</v>
      </c>
    </row>
    <row r="2174" spans="2:8">
      <c r="B2174" s="17" t="s">
        <v>8117</v>
      </c>
      <c r="C2174" s="246" t="s">
        <v>2701</v>
      </c>
      <c r="D2174" s="18">
        <v>0</v>
      </c>
      <c r="E2174" s="18">
        <v>0</v>
      </c>
      <c r="F2174" s="18">
        <v>0</v>
      </c>
      <c r="G2174" s="18">
        <v>0</v>
      </c>
      <c r="H2174" s="18">
        <v>0</v>
      </c>
    </row>
    <row r="2175" spans="2:8">
      <c r="B2175" s="14" t="s">
        <v>8118</v>
      </c>
      <c r="C2175" s="245" t="s">
        <v>2702</v>
      </c>
      <c r="D2175" s="15">
        <v>0</v>
      </c>
      <c r="E2175" s="15">
        <v>0</v>
      </c>
      <c r="F2175" s="15">
        <v>0</v>
      </c>
      <c r="G2175" s="15">
        <v>0</v>
      </c>
      <c r="H2175" s="15">
        <v>0</v>
      </c>
    </row>
    <row r="2176" spans="2:8">
      <c r="B2176" s="17" t="s">
        <v>8119</v>
      </c>
      <c r="C2176" s="246" t="s">
        <v>2703</v>
      </c>
      <c r="D2176" s="18">
        <v>0</v>
      </c>
      <c r="E2176" s="18">
        <v>0</v>
      </c>
      <c r="F2176" s="18">
        <v>0</v>
      </c>
      <c r="G2176" s="18">
        <v>0</v>
      </c>
      <c r="H2176" s="18">
        <v>0</v>
      </c>
    </row>
    <row r="2177" spans="2:8">
      <c r="B2177" s="14" t="s">
        <v>8120</v>
      </c>
      <c r="C2177" s="245" t="s">
        <v>2704</v>
      </c>
      <c r="D2177" s="15">
        <v>0</v>
      </c>
      <c r="E2177" s="15">
        <v>0</v>
      </c>
      <c r="F2177" s="15">
        <v>0</v>
      </c>
      <c r="G2177" s="15">
        <v>0</v>
      </c>
      <c r="H2177" s="15">
        <v>0</v>
      </c>
    </row>
    <row r="2178" spans="2:8">
      <c r="B2178" s="17" t="s">
        <v>8121</v>
      </c>
      <c r="C2178" s="246" t="s">
        <v>2705</v>
      </c>
      <c r="D2178" s="18">
        <v>0</v>
      </c>
      <c r="E2178" s="18">
        <v>0</v>
      </c>
      <c r="F2178" s="18">
        <v>0</v>
      </c>
      <c r="G2178" s="18">
        <v>0</v>
      </c>
      <c r="H2178" s="18">
        <v>0</v>
      </c>
    </row>
    <row r="2179" spans="2:8">
      <c r="B2179" s="14" t="s">
        <v>8122</v>
      </c>
      <c r="C2179" s="245" t="s">
        <v>2706</v>
      </c>
      <c r="D2179" s="15">
        <v>0</v>
      </c>
      <c r="E2179" s="15">
        <v>0</v>
      </c>
      <c r="F2179" s="15">
        <v>0</v>
      </c>
      <c r="G2179" s="15">
        <v>0</v>
      </c>
      <c r="H2179" s="15">
        <v>0</v>
      </c>
    </row>
    <row r="2180" spans="2:8">
      <c r="B2180" s="17" t="s">
        <v>8123</v>
      </c>
      <c r="C2180" s="246" t="s">
        <v>2707</v>
      </c>
      <c r="D2180" s="18">
        <v>0</v>
      </c>
      <c r="E2180" s="18">
        <v>0</v>
      </c>
      <c r="F2180" s="18">
        <v>0</v>
      </c>
      <c r="G2180" s="18">
        <v>0</v>
      </c>
      <c r="H2180" s="18">
        <v>0</v>
      </c>
    </row>
    <row r="2181" spans="2:8">
      <c r="B2181" s="14" t="s">
        <v>8124</v>
      </c>
      <c r="C2181" s="245" t="s">
        <v>2708</v>
      </c>
      <c r="D2181" s="15">
        <v>0</v>
      </c>
      <c r="E2181" s="15">
        <v>0</v>
      </c>
      <c r="F2181" s="15">
        <v>0</v>
      </c>
      <c r="G2181" s="15">
        <v>0</v>
      </c>
      <c r="H2181" s="15">
        <v>0</v>
      </c>
    </row>
    <row r="2182" spans="2:8">
      <c r="B2182" s="17" t="s">
        <v>8125</v>
      </c>
      <c r="C2182" s="246" t="s">
        <v>2709</v>
      </c>
      <c r="D2182" s="18">
        <v>0</v>
      </c>
      <c r="E2182" s="18">
        <v>0</v>
      </c>
      <c r="F2182" s="18">
        <v>0</v>
      </c>
      <c r="G2182" s="18">
        <v>0</v>
      </c>
      <c r="H2182" s="18">
        <v>0</v>
      </c>
    </row>
    <row r="2183" spans="2:8">
      <c r="B2183" s="14" t="s">
        <v>8126</v>
      </c>
      <c r="C2183" s="245" t="s">
        <v>2710</v>
      </c>
      <c r="D2183" s="15">
        <v>0</v>
      </c>
      <c r="E2183" s="15">
        <v>0</v>
      </c>
      <c r="F2183" s="15">
        <v>0</v>
      </c>
      <c r="G2183" s="15">
        <v>0</v>
      </c>
      <c r="H2183" s="15">
        <v>0</v>
      </c>
    </row>
    <row r="2184" spans="2:8">
      <c r="B2184" s="17" t="s">
        <v>8127</v>
      </c>
      <c r="C2184" s="246" t="s">
        <v>2711</v>
      </c>
      <c r="D2184" s="18">
        <v>0</v>
      </c>
      <c r="E2184" s="18">
        <v>0</v>
      </c>
      <c r="F2184" s="18">
        <v>3</v>
      </c>
      <c r="G2184" s="18">
        <v>0</v>
      </c>
      <c r="H2184" s="18">
        <v>0</v>
      </c>
    </row>
    <row r="2185" spans="2:8">
      <c r="B2185" s="14" t="s">
        <v>8128</v>
      </c>
      <c r="C2185" s="245" t="s">
        <v>2712</v>
      </c>
      <c r="D2185" s="15">
        <v>0</v>
      </c>
      <c r="E2185" s="15">
        <v>0</v>
      </c>
      <c r="F2185" s="15">
        <v>0</v>
      </c>
      <c r="G2185" s="15">
        <v>0</v>
      </c>
      <c r="H2185" s="15">
        <v>0</v>
      </c>
    </row>
    <row r="2186" spans="2:8">
      <c r="B2186" s="17" t="s">
        <v>8129</v>
      </c>
      <c r="C2186" s="246" t="s">
        <v>2713</v>
      </c>
      <c r="D2186" s="18">
        <v>4</v>
      </c>
      <c r="E2186" s="18">
        <v>0</v>
      </c>
      <c r="F2186" s="18">
        <v>0</v>
      </c>
      <c r="G2186" s="18">
        <v>0</v>
      </c>
      <c r="H2186" s="18">
        <v>0</v>
      </c>
    </row>
    <row r="2187" spans="2:8">
      <c r="B2187" s="14" t="s">
        <v>8130</v>
      </c>
      <c r="C2187" s="245" t="s">
        <v>2714</v>
      </c>
      <c r="D2187" s="15">
        <v>0</v>
      </c>
      <c r="E2187" s="15">
        <v>0</v>
      </c>
      <c r="F2187" s="15">
        <v>0</v>
      </c>
      <c r="G2187" s="15">
        <v>0</v>
      </c>
      <c r="H2187" s="15">
        <v>0</v>
      </c>
    </row>
    <row r="2188" spans="2:8">
      <c r="B2188" s="17" t="s">
        <v>8131</v>
      </c>
      <c r="C2188" s="246" t="s">
        <v>2715</v>
      </c>
      <c r="D2188" s="18">
        <v>17</v>
      </c>
      <c r="E2188" s="18">
        <v>18</v>
      </c>
      <c r="F2188" s="18">
        <v>6</v>
      </c>
      <c r="G2188" s="18">
        <v>70</v>
      </c>
      <c r="H2188" s="18">
        <v>0</v>
      </c>
    </row>
    <row r="2189" spans="2:8">
      <c r="B2189" s="14" t="s">
        <v>8132</v>
      </c>
      <c r="C2189" s="245" t="s">
        <v>2716</v>
      </c>
      <c r="D2189" s="15">
        <v>14</v>
      </c>
      <c r="E2189" s="15">
        <v>54</v>
      </c>
      <c r="F2189" s="15">
        <v>45</v>
      </c>
      <c r="G2189" s="15">
        <v>107</v>
      </c>
      <c r="H2189" s="15">
        <v>0</v>
      </c>
    </row>
    <row r="2190" spans="2:8">
      <c r="B2190" s="17" t="s">
        <v>8133</v>
      </c>
      <c r="C2190" s="246" t="s">
        <v>2717</v>
      </c>
      <c r="D2190" s="18">
        <v>0</v>
      </c>
      <c r="E2190" s="18">
        <v>0</v>
      </c>
      <c r="F2190" s="18">
        <v>0</v>
      </c>
      <c r="G2190" s="18">
        <v>0</v>
      </c>
      <c r="H2190" s="18">
        <v>0</v>
      </c>
    </row>
    <row r="2191" spans="2:8">
      <c r="B2191" s="14" t="s">
        <v>8134</v>
      </c>
      <c r="C2191" s="245" t="s">
        <v>2718</v>
      </c>
      <c r="D2191" s="15">
        <v>711</v>
      </c>
      <c r="E2191" s="15">
        <v>742</v>
      </c>
      <c r="F2191" s="15">
        <v>409</v>
      </c>
      <c r="G2191" s="15">
        <v>3</v>
      </c>
      <c r="H2191" s="15">
        <v>0</v>
      </c>
    </row>
    <row r="2192" spans="2:8">
      <c r="B2192" s="17" t="s">
        <v>8135</v>
      </c>
      <c r="C2192" s="246" t="s">
        <v>2719</v>
      </c>
      <c r="D2192" s="18">
        <v>0</v>
      </c>
      <c r="E2192" s="18">
        <v>0</v>
      </c>
      <c r="F2192" s="18">
        <v>0</v>
      </c>
      <c r="G2192" s="18">
        <v>0</v>
      </c>
      <c r="H2192" s="18">
        <v>0</v>
      </c>
    </row>
    <row r="2193" spans="2:8">
      <c r="B2193" s="14" t="s">
        <v>8136</v>
      </c>
      <c r="C2193" s="245" t="s">
        <v>2720</v>
      </c>
      <c r="D2193" s="15">
        <v>0</v>
      </c>
      <c r="E2193" s="15">
        <v>0</v>
      </c>
      <c r="F2193" s="15">
        <v>0</v>
      </c>
      <c r="G2193" s="15">
        <v>0</v>
      </c>
      <c r="H2193" s="15">
        <v>0</v>
      </c>
    </row>
    <row r="2194" spans="2:8">
      <c r="B2194" s="17" t="s">
        <v>8137</v>
      </c>
      <c r="C2194" s="246" t="s">
        <v>2721</v>
      </c>
      <c r="D2194" s="18">
        <v>0</v>
      </c>
      <c r="E2194" s="18">
        <v>0</v>
      </c>
      <c r="F2194" s="18">
        <v>0</v>
      </c>
      <c r="G2194" s="18">
        <v>0</v>
      </c>
      <c r="H2194" s="18">
        <v>0</v>
      </c>
    </row>
    <row r="2195" spans="2:8">
      <c r="B2195" s="14" t="s">
        <v>8138</v>
      </c>
      <c r="C2195" s="245" t="s">
        <v>2722</v>
      </c>
      <c r="D2195" s="15">
        <v>0</v>
      </c>
      <c r="E2195" s="15">
        <v>0</v>
      </c>
      <c r="F2195" s="15">
        <v>0</v>
      </c>
      <c r="G2195" s="15">
        <v>0</v>
      </c>
      <c r="H2195" s="15">
        <v>0</v>
      </c>
    </row>
    <row r="2196" spans="2:8">
      <c r="B2196" s="17" t="s">
        <v>8139</v>
      </c>
      <c r="C2196" s="246" t="s">
        <v>2723</v>
      </c>
      <c r="D2196" s="18">
        <v>0</v>
      </c>
      <c r="E2196" s="18">
        <v>0</v>
      </c>
      <c r="F2196" s="18">
        <v>0</v>
      </c>
      <c r="G2196" s="18">
        <v>0</v>
      </c>
      <c r="H2196" s="18">
        <v>0</v>
      </c>
    </row>
    <row r="2197" spans="2:8">
      <c r="B2197" s="14" t="s">
        <v>8140</v>
      </c>
      <c r="C2197" s="245" t="s">
        <v>2724</v>
      </c>
      <c r="D2197" s="15">
        <v>0</v>
      </c>
      <c r="E2197" s="15">
        <v>0</v>
      </c>
      <c r="F2197" s="15">
        <v>0</v>
      </c>
      <c r="G2197" s="15">
        <v>0</v>
      </c>
      <c r="H2197" s="15">
        <v>0</v>
      </c>
    </row>
    <row r="2198" spans="2:8">
      <c r="B2198" s="17" t="s">
        <v>8141</v>
      </c>
      <c r="C2198" s="246" t="s">
        <v>2725</v>
      </c>
      <c r="D2198" s="18">
        <v>0</v>
      </c>
      <c r="E2198" s="18">
        <v>0</v>
      </c>
      <c r="F2198" s="18">
        <v>0</v>
      </c>
      <c r="G2198" s="18">
        <v>0</v>
      </c>
      <c r="H2198" s="18">
        <v>0</v>
      </c>
    </row>
    <row r="2199" spans="2:8">
      <c r="B2199" s="14" t="s">
        <v>8142</v>
      </c>
      <c r="C2199" s="245" t="s">
        <v>2726</v>
      </c>
      <c r="D2199" s="15">
        <v>0</v>
      </c>
      <c r="E2199" s="15">
        <v>0</v>
      </c>
      <c r="F2199" s="15">
        <v>0</v>
      </c>
      <c r="G2199" s="15">
        <v>0</v>
      </c>
      <c r="H2199" s="15">
        <v>0</v>
      </c>
    </row>
    <row r="2200" spans="2:8">
      <c r="B2200" s="17" t="s">
        <v>8143</v>
      </c>
      <c r="C2200" s="246" t="s">
        <v>2727</v>
      </c>
      <c r="D2200" s="18">
        <v>0</v>
      </c>
      <c r="E2200" s="18">
        <v>0</v>
      </c>
      <c r="F2200" s="18">
        <v>0</v>
      </c>
      <c r="G2200" s="18">
        <v>0</v>
      </c>
      <c r="H2200" s="18">
        <v>0</v>
      </c>
    </row>
    <row r="2201" spans="2:8">
      <c r="B2201" s="14" t="s">
        <v>8144</v>
      </c>
      <c r="C2201" s="245" t="s">
        <v>2728</v>
      </c>
      <c r="D2201" s="15">
        <v>0</v>
      </c>
      <c r="E2201" s="15">
        <v>0</v>
      </c>
      <c r="F2201" s="15">
        <v>0</v>
      </c>
      <c r="G2201" s="15">
        <v>0</v>
      </c>
      <c r="H2201" s="15">
        <v>0</v>
      </c>
    </row>
    <row r="2202" spans="2:8">
      <c r="B2202" s="17" t="s">
        <v>8145</v>
      </c>
      <c r="C2202" s="246" t="s">
        <v>2729</v>
      </c>
      <c r="D2202" s="18">
        <v>0</v>
      </c>
      <c r="E2202" s="18">
        <v>0</v>
      </c>
      <c r="F2202" s="18">
        <v>0</v>
      </c>
      <c r="G2202" s="18">
        <v>0</v>
      </c>
      <c r="H2202" s="18">
        <v>0</v>
      </c>
    </row>
    <row r="2203" spans="2:8">
      <c r="B2203" s="14" t="s">
        <v>8146</v>
      </c>
      <c r="C2203" s="245" t="s">
        <v>2730</v>
      </c>
      <c r="D2203" s="15">
        <v>106</v>
      </c>
      <c r="E2203" s="15">
        <v>41</v>
      </c>
      <c r="F2203" s="15">
        <v>55</v>
      </c>
      <c r="G2203" s="15">
        <v>0</v>
      </c>
      <c r="H2203" s="15">
        <v>0</v>
      </c>
    </row>
    <row r="2204" spans="2:8">
      <c r="B2204" s="17" t="s">
        <v>8147</v>
      </c>
      <c r="C2204" s="246" t="s">
        <v>2731</v>
      </c>
      <c r="D2204" s="18">
        <v>0</v>
      </c>
      <c r="E2204" s="18">
        <v>0</v>
      </c>
      <c r="F2204" s="18">
        <v>0</v>
      </c>
      <c r="G2204" s="18">
        <v>0</v>
      </c>
      <c r="H2204" s="18">
        <v>0</v>
      </c>
    </row>
    <row r="2205" spans="2:8">
      <c r="B2205" s="14" t="s">
        <v>8148</v>
      </c>
      <c r="C2205" s="245" t="s">
        <v>2732</v>
      </c>
      <c r="D2205" s="15">
        <v>0</v>
      </c>
      <c r="E2205" s="15">
        <v>0</v>
      </c>
      <c r="F2205" s="15">
        <v>0</v>
      </c>
      <c r="G2205" s="15">
        <v>2</v>
      </c>
      <c r="H2205" s="15">
        <v>0</v>
      </c>
    </row>
    <row r="2206" spans="2:8">
      <c r="B2206" s="17" t="s">
        <v>8149</v>
      </c>
      <c r="C2206" s="246" t="s">
        <v>1800</v>
      </c>
      <c r="D2206" s="18">
        <v>0</v>
      </c>
      <c r="E2206" s="18">
        <v>0</v>
      </c>
      <c r="F2206" s="18">
        <v>0</v>
      </c>
      <c r="G2206" s="18">
        <v>0</v>
      </c>
      <c r="H2206" s="18">
        <v>0</v>
      </c>
    </row>
    <row r="2207" spans="2:8">
      <c r="B2207" s="14" t="s">
        <v>8150</v>
      </c>
      <c r="C2207" s="245" t="s">
        <v>2733</v>
      </c>
      <c r="D2207" s="15">
        <v>0</v>
      </c>
      <c r="E2207" s="15">
        <v>0</v>
      </c>
      <c r="F2207" s="15">
        <v>0</v>
      </c>
      <c r="G2207" s="15">
        <v>0</v>
      </c>
      <c r="H2207" s="15">
        <v>0</v>
      </c>
    </row>
    <row r="2208" spans="2:8">
      <c r="B2208" s="17" t="s">
        <v>8151</v>
      </c>
      <c r="C2208" s="246" t="s">
        <v>2734</v>
      </c>
      <c r="D2208" s="18">
        <v>0</v>
      </c>
      <c r="E2208" s="18">
        <v>0</v>
      </c>
      <c r="F2208" s="18">
        <v>0</v>
      </c>
      <c r="G2208" s="18">
        <v>0</v>
      </c>
      <c r="H2208" s="18">
        <v>0</v>
      </c>
    </row>
    <row r="2209" spans="2:8">
      <c r="B2209" s="14" t="s">
        <v>8152</v>
      </c>
      <c r="C2209" s="245" t="s">
        <v>2735</v>
      </c>
      <c r="D2209" s="15">
        <v>0</v>
      </c>
      <c r="E2209" s="15">
        <v>0</v>
      </c>
      <c r="F2209" s="15">
        <v>5</v>
      </c>
      <c r="G2209" s="15">
        <v>0</v>
      </c>
      <c r="H2209" s="15">
        <v>0</v>
      </c>
    </row>
    <row r="2210" spans="2:8">
      <c r="B2210" s="17" t="s">
        <v>8153</v>
      </c>
      <c r="C2210" s="246" t="s">
        <v>2736</v>
      </c>
      <c r="D2210" s="18">
        <v>0</v>
      </c>
      <c r="E2210" s="18">
        <v>0</v>
      </c>
      <c r="F2210" s="18">
        <v>0</v>
      </c>
      <c r="G2210" s="18">
        <v>0</v>
      </c>
      <c r="H2210" s="18">
        <v>0</v>
      </c>
    </row>
    <row r="2211" spans="2:8">
      <c r="B2211" s="14" t="s">
        <v>8154</v>
      </c>
      <c r="C2211" s="245" t="s">
        <v>2737</v>
      </c>
      <c r="D2211" s="15">
        <v>0</v>
      </c>
      <c r="E2211" s="15">
        <v>0</v>
      </c>
      <c r="F2211" s="15">
        <v>0</v>
      </c>
      <c r="G2211" s="15">
        <v>0</v>
      </c>
      <c r="H2211" s="15">
        <v>0</v>
      </c>
    </row>
    <row r="2212" spans="2:8">
      <c r="B2212" s="17" t="s">
        <v>8155</v>
      </c>
      <c r="C2212" s="246" t="s">
        <v>2738</v>
      </c>
      <c r="D2212" s="18">
        <v>0</v>
      </c>
      <c r="E2212" s="18">
        <v>0</v>
      </c>
      <c r="F2212" s="18">
        <v>0</v>
      </c>
      <c r="G2212" s="18">
        <v>0</v>
      </c>
      <c r="H2212" s="18">
        <v>0</v>
      </c>
    </row>
    <row r="2213" spans="2:8">
      <c r="B2213" s="14" t="s">
        <v>8156</v>
      </c>
      <c r="C2213" s="245" t="s">
        <v>2739</v>
      </c>
      <c r="D2213" s="15">
        <v>0</v>
      </c>
      <c r="E2213" s="15">
        <v>0</v>
      </c>
      <c r="F2213" s="15">
        <v>0</v>
      </c>
      <c r="G2213" s="15">
        <v>0</v>
      </c>
      <c r="H2213" s="15">
        <v>0</v>
      </c>
    </row>
    <row r="2214" spans="2:8">
      <c r="B2214" s="17" t="s">
        <v>8157</v>
      </c>
      <c r="C2214" s="246" t="s">
        <v>2740</v>
      </c>
      <c r="D2214" s="18">
        <v>3</v>
      </c>
      <c r="E2214" s="18">
        <v>0</v>
      </c>
      <c r="F2214" s="18">
        <v>5</v>
      </c>
      <c r="G2214" s="18">
        <v>2</v>
      </c>
      <c r="H2214" s="18">
        <v>0</v>
      </c>
    </row>
    <row r="2215" spans="2:8">
      <c r="B2215" s="14" t="s">
        <v>8158</v>
      </c>
      <c r="C2215" s="245" t="s">
        <v>2741</v>
      </c>
      <c r="D2215" s="15">
        <v>0</v>
      </c>
      <c r="E2215" s="15">
        <v>0</v>
      </c>
      <c r="F2215" s="15">
        <v>0</v>
      </c>
      <c r="G2215" s="15">
        <v>0</v>
      </c>
      <c r="H2215" s="15">
        <v>0</v>
      </c>
    </row>
    <row r="2216" spans="2:8">
      <c r="B2216" s="17" t="s">
        <v>8159</v>
      </c>
      <c r="C2216" s="246" t="s">
        <v>2742</v>
      </c>
      <c r="D2216" s="18">
        <v>0</v>
      </c>
      <c r="E2216" s="18">
        <v>0</v>
      </c>
      <c r="F2216" s="18">
        <v>0</v>
      </c>
      <c r="G2216" s="18">
        <v>0</v>
      </c>
      <c r="H2216" s="18">
        <v>0</v>
      </c>
    </row>
    <row r="2217" spans="2:8">
      <c r="B2217" s="14" t="s">
        <v>8160</v>
      </c>
      <c r="C2217" s="245" t="s">
        <v>2743</v>
      </c>
      <c r="D2217" s="15">
        <v>0</v>
      </c>
      <c r="E2217" s="15">
        <v>0</v>
      </c>
      <c r="F2217" s="15">
        <v>0</v>
      </c>
      <c r="G2217" s="15">
        <v>0</v>
      </c>
      <c r="H2217" s="15">
        <v>0</v>
      </c>
    </row>
    <row r="2218" spans="2:8">
      <c r="B2218" s="17" t="s">
        <v>8161</v>
      </c>
      <c r="C2218" s="246" t="s">
        <v>2744</v>
      </c>
      <c r="D2218" s="18">
        <v>0</v>
      </c>
      <c r="E2218" s="18">
        <v>0</v>
      </c>
      <c r="F2218" s="18">
        <v>0</v>
      </c>
      <c r="G2218" s="18">
        <v>0</v>
      </c>
      <c r="H2218" s="18">
        <v>0</v>
      </c>
    </row>
    <row r="2219" spans="2:8">
      <c r="B2219" s="14" t="s">
        <v>8162</v>
      </c>
      <c r="C2219" s="245" t="s">
        <v>2745</v>
      </c>
      <c r="D2219" s="15">
        <v>1</v>
      </c>
      <c r="E2219" s="15">
        <v>0</v>
      </c>
      <c r="F2219" s="15">
        <v>0</v>
      </c>
      <c r="G2219" s="15">
        <v>0</v>
      </c>
      <c r="H2219" s="15">
        <v>0</v>
      </c>
    </row>
    <row r="2220" spans="2:8">
      <c r="B2220" s="17" t="s">
        <v>8163</v>
      </c>
      <c r="C2220" s="246" t="s">
        <v>953</v>
      </c>
      <c r="D2220" s="18">
        <v>0</v>
      </c>
      <c r="E2220" s="18">
        <v>0</v>
      </c>
      <c r="F2220" s="18">
        <v>0</v>
      </c>
      <c r="G2220" s="18">
        <v>0</v>
      </c>
      <c r="H2220" s="18">
        <v>0</v>
      </c>
    </row>
    <row r="2221" spans="2:8">
      <c r="B2221" s="14" t="s">
        <v>8164</v>
      </c>
      <c r="C2221" s="245" t="s">
        <v>2219</v>
      </c>
      <c r="D2221" s="15">
        <v>0</v>
      </c>
      <c r="E2221" s="15">
        <v>0</v>
      </c>
      <c r="F2221" s="15">
        <v>0</v>
      </c>
      <c r="G2221" s="15">
        <v>0</v>
      </c>
      <c r="H2221" s="15">
        <v>0</v>
      </c>
    </row>
    <row r="2222" spans="2:8">
      <c r="B2222" s="17" t="s">
        <v>8165</v>
      </c>
      <c r="C2222" s="246" t="s">
        <v>2746</v>
      </c>
      <c r="D2222" s="18">
        <v>0</v>
      </c>
      <c r="E2222" s="18">
        <v>0</v>
      </c>
      <c r="F2222" s="18">
        <v>0</v>
      </c>
      <c r="G2222" s="18">
        <v>0</v>
      </c>
      <c r="H2222" s="18">
        <v>0</v>
      </c>
    </row>
    <row r="2223" spans="2:8">
      <c r="B2223" s="14" t="s">
        <v>8166</v>
      </c>
      <c r="C2223" s="245" t="s">
        <v>2747</v>
      </c>
      <c r="D2223" s="15">
        <v>0</v>
      </c>
      <c r="E2223" s="15">
        <v>0</v>
      </c>
      <c r="F2223" s="15">
        <v>0</v>
      </c>
      <c r="G2223" s="15">
        <v>6</v>
      </c>
      <c r="H2223" s="15">
        <v>0</v>
      </c>
    </row>
    <row r="2224" spans="2:8">
      <c r="B2224" s="17" t="s">
        <v>8167</v>
      </c>
      <c r="C2224" s="246" t="s">
        <v>2748</v>
      </c>
      <c r="D2224" s="18">
        <v>0</v>
      </c>
      <c r="E2224" s="18">
        <v>0</v>
      </c>
      <c r="F2224" s="18">
        <v>0</v>
      </c>
      <c r="G2224" s="18">
        <v>0</v>
      </c>
      <c r="H2224" s="18">
        <v>0</v>
      </c>
    </row>
    <row r="2225" spans="2:8">
      <c r="B2225" s="14" t="s">
        <v>8168</v>
      </c>
      <c r="C2225" s="245" t="s">
        <v>2749</v>
      </c>
      <c r="D2225" s="15">
        <v>0</v>
      </c>
      <c r="E2225" s="15">
        <v>0</v>
      </c>
      <c r="F2225" s="15">
        <v>0</v>
      </c>
      <c r="G2225" s="15">
        <v>0</v>
      </c>
      <c r="H2225" s="15">
        <v>0</v>
      </c>
    </row>
    <row r="2226" spans="2:8">
      <c r="B2226" s="17" t="s">
        <v>8169</v>
      </c>
      <c r="C2226" s="246" t="s">
        <v>2750</v>
      </c>
      <c r="D2226" s="18">
        <v>0</v>
      </c>
      <c r="E2226" s="18">
        <v>0</v>
      </c>
      <c r="F2226" s="18">
        <v>0</v>
      </c>
      <c r="G2226" s="18">
        <v>0</v>
      </c>
      <c r="H2226" s="18">
        <v>0</v>
      </c>
    </row>
    <row r="2227" spans="2:8">
      <c r="B2227" s="14" t="s">
        <v>8170</v>
      </c>
      <c r="C2227" s="245" t="s">
        <v>1433</v>
      </c>
      <c r="D2227" s="15">
        <v>0</v>
      </c>
      <c r="E2227" s="15">
        <v>0</v>
      </c>
      <c r="F2227" s="15">
        <v>0</v>
      </c>
      <c r="G2227" s="15">
        <v>0</v>
      </c>
      <c r="H2227" s="15">
        <v>0</v>
      </c>
    </row>
    <row r="2228" spans="2:8">
      <c r="B2228" s="17" t="s">
        <v>8171</v>
      </c>
      <c r="C2228" s="246" t="s">
        <v>1396</v>
      </c>
      <c r="D2228" s="18">
        <v>0</v>
      </c>
      <c r="E2228" s="18">
        <v>0</v>
      </c>
      <c r="F2228" s="18">
        <v>0</v>
      </c>
      <c r="G2228" s="18">
        <v>0</v>
      </c>
      <c r="H2228" s="18">
        <v>0</v>
      </c>
    </row>
    <row r="2229" spans="2:8">
      <c r="B2229" s="14" t="s">
        <v>8172</v>
      </c>
      <c r="C2229" s="245" t="s">
        <v>2200</v>
      </c>
      <c r="D2229" s="15">
        <v>0</v>
      </c>
      <c r="E2229" s="15">
        <v>0</v>
      </c>
      <c r="F2229" s="15">
        <v>0</v>
      </c>
      <c r="G2229" s="15">
        <v>0</v>
      </c>
      <c r="H2229" s="15">
        <v>0</v>
      </c>
    </row>
    <row r="2230" spans="2:8">
      <c r="B2230" s="17" t="s">
        <v>8173</v>
      </c>
      <c r="C2230" s="246" t="s">
        <v>1396</v>
      </c>
      <c r="D2230" s="18">
        <v>0</v>
      </c>
      <c r="E2230" s="18">
        <v>0</v>
      </c>
      <c r="F2230" s="18">
        <v>0</v>
      </c>
      <c r="G2230" s="18">
        <v>0</v>
      </c>
      <c r="H2230" s="18">
        <v>0</v>
      </c>
    </row>
    <row r="2231" spans="2:8">
      <c r="B2231" s="14" t="s">
        <v>8174</v>
      </c>
      <c r="C2231" s="245" t="s">
        <v>1396</v>
      </c>
      <c r="D2231" s="15">
        <v>0</v>
      </c>
      <c r="E2231" s="15">
        <v>0</v>
      </c>
      <c r="F2231" s="15">
        <v>0</v>
      </c>
      <c r="G2231" s="15">
        <v>0</v>
      </c>
      <c r="H2231" s="15">
        <v>0</v>
      </c>
    </row>
    <row r="2232" spans="2:8">
      <c r="B2232" s="17" t="s">
        <v>8175</v>
      </c>
      <c r="C2232" s="246" t="s">
        <v>2203</v>
      </c>
      <c r="D2232" s="18">
        <v>0</v>
      </c>
      <c r="E2232" s="18">
        <v>0</v>
      </c>
      <c r="F2232" s="18">
        <v>0</v>
      </c>
      <c r="G2232" s="18">
        <v>0</v>
      </c>
      <c r="H2232" s="18">
        <v>0</v>
      </c>
    </row>
    <row r="2233" spans="2:8">
      <c r="B2233" s="14" t="s">
        <v>8176</v>
      </c>
      <c r="C2233" s="245" t="s">
        <v>2203</v>
      </c>
      <c r="D2233" s="15">
        <v>1</v>
      </c>
      <c r="E2233" s="15">
        <v>0</v>
      </c>
      <c r="F2233" s="15">
        <v>0</v>
      </c>
      <c r="G2233" s="15">
        <v>0</v>
      </c>
      <c r="H2233" s="15">
        <v>0</v>
      </c>
    </row>
    <row r="2234" spans="2:8">
      <c r="B2234" s="17" t="s">
        <v>8177</v>
      </c>
      <c r="C2234" s="246" t="s">
        <v>2751</v>
      </c>
      <c r="D2234" s="18">
        <v>0</v>
      </c>
      <c r="E2234" s="18">
        <v>0</v>
      </c>
      <c r="F2234" s="18">
        <v>0</v>
      </c>
      <c r="G2234" s="18">
        <v>0</v>
      </c>
      <c r="H2234" s="18">
        <v>0</v>
      </c>
    </row>
    <row r="2235" spans="2:8">
      <c r="B2235" s="14" t="s">
        <v>8178</v>
      </c>
      <c r="C2235" s="245" t="s">
        <v>2752</v>
      </c>
      <c r="D2235" s="15">
        <v>0</v>
      </c>
      <c r="E2235" s="15">
        <v>0</v>
      </c>
      <c r="F2235" s="15">
        <v>0</v>
      </c>
      <c r="G2235" s="15">
        <v>0</v>
      </c>
      <c r="H2235" s="15">
        <v>0</v>
      </c>
    </row>
    <row r="2236" spans="2:8">
      <c r="B2236" s="17" t="s">
        <v>8179</v>
      </c>
      <c r="C2236" s="246" t="s">
        <v>2753</v>
      </c>
      <c r="D2236" s="18">
        <v>0</v>
      </c>
      <c r="E2236" s="18">
        <v>0</v>
      </c>
      <c r="F2236" s="18">
        <v>0</v>
      </c>
      <c r="G2236" s="18">
        <v>0</v>
      </c>
      <c r="H2236" s="18">
        <v>0</v>
      </c>
    </row>
    <row r="2237" spans="2:8">
      <c r="B2237" s="14" t="s">
        <v>8180</v>
      </c>
      <c r="C2237" s="245" t="s">
        <v>1196</v>
      </c>
      <c r="D2237" s="15">
        <v>2</v>
      </c>
      <c r="E2237" s="15">
        <v>0</v>
      </c>
      <c r="F2237" s="15">
        <v>3</v>
      </c>
      <c r="G2237" s="15">
        <v>5</v>
      </c>
      <c r="H2237" s="15">
        <v>0</v>
      </c>
    </row>
    <row r="2238" spans="2:8">
      <c r="B2238" s="17" t="s">
        <v>8181</v>
      </c>
      <c r="C2238" s="246" t="s">
        <v>2754</v>
      </c>
      <c r="D2238" s="18">
        <v>0</v>
      </c>
      <c r="E2238" s="18">
        <v>2</v>
      </c>
      <c r="F2238" s="18">
        <v>0</v>
      </c>
      <c r="G2238" s="18">
        <v>1</v>
      </c>
      <c r="H2238" s="18">
        <v>0</v>
      </c>
    </row>
    <row r="2239" spans="2:8">
      <c r="B2239" s="14" t="s">
        <v>8182</v>
      </c>
      <c r="C2239" s="245" t="s">
        <v>2755</v>
      </c>
      <c r="D2239" s="15">
        <v>0</v>
      </c>
      <c r="E2239" s="15">
        <v>6</v>
      </c>
      <c r="F2239" s="15">
        <v>6</v>
      </c>
      <c r="G2239" s="15">
        <v>0</v>
      </c>
      <c r="H2239" s="15">
        <v>0</v>
      </c>
    </row>
    <row r="2240" spans="2:8">
      <c r="B2240" s="17" t="s">
        <v>8183</v>
      </c>
      <c r="C2240" s="246" t="s">
        <v>2756</v>
      </c>
      <c r="D2240" s="18">
        <v>3</v>
      </c>
      <c r="E2240" s="18">
        <v>13</v>
      </c>
      <c r="F2240" s="18">
        <v>5</v>
      </c>
      <c r="G2240" s="18">
        <v>3</v>
      </c>
      <c r="H2240" s="18">
        <v>0</v>
      </c>
    </row>
    <row r="2241" spans="2:8">
      <c r="B2241" s="14" t="s">
        <v>8184</v>
      </c>
      <c r="C2241" s="245" t="s">
        <v>2757</v>
      </c>
      <c r="D2241" s="15">
        <v>0</v>
      </c>
      <c r="E2241" s="15">
        <v>0</v>
      </c>
      <c r="F2241" s="15">
        <v>0</v>
      </c>
      <c r="G2241" s="15">
        <v>0</v>
      </c>
      <c r="H2241" s="15">
        <v>0</v>
      </c>
    </row>
    <row r="2242" spans="2:8">
      <c r="B2242" s="17" t="s">
        <v>8185</v>
      </c>
      <c r="C2242" s="246" t="s">
        <v>2758</v>
      </c>
      <c r="D2242" s="18">
        <v>0</v>
      </c>
      <c r="E2242" s="18">
        <v>0</v>
      </c>
      <c r="F2242" s="18">
        <v>0</v>
      </c>
      <c r="G2242" s="18">
        <v>0</v>
      </c>
      <c r="H2242" s="18">
        <v>0</v>
      </c>
    </row>
    <row r="2243" spans="2:8">
      <c r="B2243" s="14" t="s">
        <v>8186</v>
      </c>
      <c r="C2243" s="245" t="s">
        <v>2759</v>
      </c>
      <c r="D2243" s="15">
        <v>0</v>
      </c>
      <c r="E2243" s="15">
        <v>0</v>
      </c>
      <c r="F2243" s="15">
        <v>0</v>
      </c>
      <c r="G2243" s="15">
        <v>0</v>
      </c>
      <c r="H2243" s="15">
        <v>0</v>
      </c>
    </row>
    <row r="2244" spans="2:8">
      <c r="B2244" s="17" t="s">
        <v>8187</v>
      </c>
      <c r="C2244" s="246" t="s">
        <v>2760</v>
      </c>
      <c r="D2244" s="18">
        <v>0</v>
      </c>
      <c r="E2244" s="18">
        <v>0</v>
      </c>
      <c r="F2244" s="18">
        <v>0</v>
      </c>
      <c r="G2244" s="18">
        <v>0</v>
      </c>
      <c r="H2244" s="18">
        <v>0</v>
      </c>
    </row>
    <row r="2245" spans="2:8">
      <c r="B2245" s="14" t="s">
        <v>8188</v>
      </c>
      <c r="C2245" s="245" t="s">
        <v>2761</v>
      </c>
      <c r="D2245" s="15">
        <v>0</v>
      </c>
      <c r="E2245" s="15">
        <v>0</v>
      </c>
      <c r="F2245" s="15">
        <v>0</v>
      </c>
      <c r="G2245" s="15">
        <v>0</v>
      </c>
      <c r="H2245" s="15">
        <v>0</v>
      </c>
    </row>
    <row r="2246" spans="2:8">
      <c r="B2246" s="17" t="s">
        <v>8189</v>
      </c>
      <c r="C2246" s="246" t="s">
        <v>2762</v>
      </c>
      <c r="D2246" s="18">
        <v>0</v>
      </c>
      <c r="E2246" s="18">
        <v>0</v>
      </c>
      <c r="F2246" s="18">
        <v>0</v>
      </c>
      <c r="G2246" s="18">
        <v>0</v>
      </c>
      <c r="H2246" s="18">
        <v>0</v>
      </c>
    </row>
    <row r="2247" spans="2:8">
      <c r="B2247" s="14" t="s">
        <v>8190</v>
      </c>
      <c r="C2247" s="245" t="s">
        <v>2763</v>
      </c>
      <c r="D2247" s="15">
        <v>0</v>
      </c>
      <c r="E2247" s="15">
        <v>0</v>
      </c>
      <c r="F2247" s="15">
        <v>0</v>
      </c>
      <c r="G2247" s="15">
        <v>0</v>
      </c>
      <c r="H2247" s="15">
        <v>0</v>
      </c>
    </row>
    <row r="2248" spans="2:8">
      <c r="B2248" s="17" t="s">
        <v>8191</v>
      </c>
      <c r="C2248" s="246" t="s">
        <v>2764</v>
      </c>
      <c r="D2248" s="18">
        <v>0</v>
      </c>
      <c r="E2248" s="18">
        <v>0</v>
      </c>
      <c r="F2248" s="18">
        <v>0</v>
      </c>
      <c r="G2248" s="18">
        <v>0</v>
      </c>
      <c r="H2248" s="18">
        <v>0</v>
      </c>
    </row>
    <row r="2249" spans="2:8">
      <c r="B2249" s="14" t="s">
        <v>8192</v>
      </c>
      <c r="C2249" s="245" t="s">
        <v>2765</v>
      </c>
      <c r="D2249" s="15">
        <v>0</v>
      </c>
      <c r="E2249" s="15">
        <v>0</v>
      </c>
      <c r="F2249" s="15">
        <v>0</v>
      </c>
      <c r="G2249" s="15">
        <v>0</v>
      </c>
      <c r="H2249" s="15">
        <v>0</v>
      </c>
    </row>
    <row r="2250" spans="2:8">
      <c r="B2250" s="17" t="s">
        <v>8193</v>
      </c>
      <c r="C2250" s="246" t="s">
        <v>2766</v>
      </c>
      <c r="D2250" s="18">
        <v>0</v>
      </c>
      <c r="E2250" s="18">
        <v>0</v>
      </c>
      <c r="F2250" s="18">
        <v>0</v>
      </c>
      <c r="G2250" s="18">
        <v>0</v>
      </c>
      <c r="H2250" s="18">
        <v>0</v>
      </c>
    </row>
    <row r="2251" spans="2:8">
      <c r="B2251" s="14" t="s">
        <v>8194</v>
      </c>
      <c r="C2251" s="245" t="s">
        <v>2767</v>
      </c>
      <c r="D2251" s="15">
        <v>0</v>
      </c>
      <c r="E2251" s="15">
        <v>0</v>
      </c>
      <c r="F2251" s="15">
        <v>0</v>
      </c>
      <c r="G2251" s="15">
        <v>0</v>
      </c>
      <c r="H2251" s="15">
        <v>0</v>
      </c>
    </row>
    <row r="2252" spans="2:8">
      <c r="B2252" s="17" t="s">
        <v>8195</v>
      </c>
      <c r="C2252" s="246" t="s">
        <v>2768</v>
      </c>
      <c r="D2252" s="18">
        <v>0</v>
      </c>
      <c r="E2252" s="18">
        <v>0</v>
      </c>
      <c r="F2252" s="18">
        <v>0</v>
      </c>
      <c r="G2252" s="18">
        <v>0</v>
      </c>
      <c r="H2252" s="18">
        <v>0</v>
      </c>
    </row>
    <row r="2253" spans="2:8">
      <c r="B2253" s="14" t="s">
        <v>8196</v>
      </c>
      <c r="C2253" s="245" t="s">
        <v>2769</v>
      </c>
      <c r="D2253" s="15">
        <v>0</v>
      </c>
      <c r="E2253" s="15">
        <v>0</v>
      </c>
      <c r="F2253" s="15">
        <v>0</v>
      </c>
      <c r="G2253" s="15">
        <v>0</v>
      </c>
      <c r="H2253" s="15">
        <v>0</v>
      </c>
    </row>
    <row r="2254" spans="2:8">
      <c r="B2254" s="17" t="s">
        <v>8197</v>
      </c>
      <c r="C2254" s="246" t="s">
        <v>2770</v>
      </c>
      <c r="D2254" s="18">
        <v>0</v>
      </c>
      <c r="E2254" s="18">
        <v>0</v>
      </c>
      <c r="F2254" s="18">
        <v>0</v>
      </c>
      <c r="G2254" s="18">
        <v>0</v>
      </c>
      <c r="H2254" s="18">
        <v>0</v>
      </c>
    </row>
    <row r="2255" spans="2:8">
      <c r="B2255" s="14" t="s">
        <v>8198</v>
      </c>
      <c r="C2255" s="245" t="s">
        <v>2771</v>
      </c>
      <c r="D2255" s="15">
        <v>0</v>
      </c>
      <c r="E2255" s="15">
        <v>0</v>
      </c>
      <c r="F2255" s="15">
        <v>0</v>
      </c>
      <c r="G2255" s="15">
        <v>0</v>
      </c>
      <c r="H2255" s="15">
        <v>0</v>
      </c>
    </row>
    <row r="2256" spans="2:8">
      <c r="B2256" s="17" t="s">
        <v>8199</v>
      </c>
      <c r="C2256" s="246" t="s">
        <v>2772</v>
      </c>
      <c r="D2256" s="18">
        <v>0</v>
      </c>
      <c r="E2256" s="18">
        <v>0</v>
      </c>
      <c r="F2256" s="18">
        <v>0</v>
      </c>
      <c r="G2256" s="18">
        <v>0</v>
      </c>
      <c r="H2256" s="18">
        <v>0</v>
      </c>
    </row>
    <row r="2257" spans="2:8">
      <c r="B2257" s="14" t="s">
        <v>8200</v>
      </c>
      <c r="C2257" s="245" t="s">
        <v>2773</v>
      </c>
      <c r="D2257" s="15">
        <v>0</v>
      </c>
      <c r="E2257" s="15">
        <v>25</v>
      </c>
      <c r="F2257" s="15">
        <v>0</v>
      </c>
      <c r="G2257" s="15">
        <v>0</v>
      </c>
      <c r="H2257" s="15">
        <v>0</v>
      </c>
    </row>
    <row r="2258" spans="2:8">
      <c r="B2258" s="17" t="s">
        <v>8201</v>
      </c>
      <c r="C2258" s="246" t="s">
        <v>2774</v>
      </c>
      <c r="D2258" s="18">
        <v>0</v>
      </c>
      <c r="E2258" s="18">
        <v>0</v>
      </c>
      <c r="F2258" s="18">
        <v>0</v>
      </c>
      <c r="G2258" s="18">
        <v>0</v>
      </c>
      <c r="H2258" s="18">
        <v>0</v>
      </c>
    </row>
    <row r="2259" spans="2:8">
      <c r="B2259" s="14" t="s">
        <v>8202</v>
      </c>
      <c r="C2259" s="245" t="s">
        <v>2775</v>
      </c>
      <c r="D2259" s="15">
        <v>4</v>
      </c>
      <c r="E2259" s="15">
        <v>0</v>
      </c>
      <c r="F2259" s="15">
        <v>0</v>
      </c>
      <c r="G2259" s="15">
        <v>0</v>
      </c>
      <c r="H2259" s="15">
        <v>0</v>
      </c>
    </row>
    <row r="2260" spans="2:8">
      <c r="B2260" s="17" t="s">
        <v>8203</v>
      </c>
      <c r="C2260" s="246" t="s">
        <v>2776</v>
      </c>
      <c r="D2260" s="18">
        <v>0</v>
      </c>
      <c r="E2260" s="18">
        <v>0</v>
      </c>
      <c r="F2260" s="18">
        <v>9</v>
      </c>
      <c r="G2260" s="18">
        <v>0</v>
      </c>
      <c r="H2260" s="18">
        <v>0</v>
      </c>
    </row>
    <row r="2261" spans="2:8">
      <c r="B2261" s="14" t="s">
        <v>8204</v>
      </c>
      <c r="C2261" s="245" t="s">
        <v>2777</v>
      </c>
      <c r="D2261" s="15">
        <v>0</v>
      </c>
      <c r="E2261" s="15">
        <v>0</v>
      </c>
      <c r="F2261" s="15">
        <v>0</v>
      </c>
      <c r="G2261" s="15">
        <v>0</v>
      </c>
      <c r="H2261" s="15">
        <v>0</v>
      </c>
    </row>
    <row r="2262" spans="2:8">
      <c r="B2262" s="17" t="s">
        <v>8205</v>
      </c>
      <c r="C2262" s="246" t="s">
        <v>2778</v>
      </c>
      <c r="D2262" s="18">
        <v>0</v>
      </c>
      <c r="E2262" s="18">
        <v>0</v>
      </c>
      <c r="F2262" s="18">
        <v>0</v>
      </c>
      <c r="G2262" s="18">
        <v>0</v>
      </c>
      <c r="H2262" s="18">
        <v>0</v>
      </c>
    </row>
    <row r="2263" spans="2:8">
      <c r="B2263" s="14" t="s">
        <v>8206</v>
      </c>
      <c r="C2263" s="245" t="s">
        <v>2779</v>
      </c>
      <c r="D2263" s="15">
        <v>0</v>
      </c>
      <c r="E2263" s="15">
        <v>0</v>
      </c>
      <c r="F2263" s="15">
        <v>0</v>
      </c>
      <c r="G2263" s="15">
        <v>0</v>
      </c>
      <c r="H2263" s="15">
        <v>0</v>
      </c>
    </row>
    <row r="2264" spans="2:8">
      <c r="B2264" s="17" t="s">
        <v>8207</v>
      </c>
      <c r="C2264" s="246" t="s">
        <v>2780</v>
      </c>
      <c r="D2264" s="18">
        <v>0</v>
      </c>
      <c r="E2264" s="18">
        <v>0</v>
      </c>
      <c r="F2264" s="18">
        <v>0</v>
      </c>
      <c r="G2264" s="18">
        <v>0</v>
      </c>
      <c r="H2264" s="18">
        <v>0</v>
      </c>
    </row>
    <row r="2265" spans="2:8">
      <c r="B2265" s="14" t="s">
        <v>8208</v>
      </c>
      <c r="C2265" s="245" t="s">
        <v>2781</v>
      </c>
      <c r="D2265" s="15">
        <v>0</v>
      </c>
      <c r="E2265" s="15">
        <v>0</v>
      </c>
      <c r="F2265" s="15">
        <v>0</v>
      </c>
      <c r="G2265" s="15">
        <v>0</v>
      </c>
      <c r="H2265" s="15">
        <v>0</v>
      </c>
    </row>
    <row r="2266" spans="2:8">
      <c r="B2266" s="17" t="s">
        <v>8209</v>
      </c>
      <c r="C2266" s="246" t="s">
        <v>2782</v>
      </c>
      <c r="D2266" s="18">
        <v>0</v>
      </c>
      <c r="E2266" s="18">
        <v>0</v>
      </c>
      <c r="F2266" s="18">
        <v>0</v>
      </c>
      <c r="G2266" s="18">
        <v>0</v>
      </c>
      <c r="H2266" s="18">
        <v>0</v>
      </c>
    </row>
    <row r="2267" spans="2:8">
      <c r="B2267" s="14" t="s">
        <v>8210</v>
      </c>
      <c r="C2267" s="245" t="s">
        <v>2783</v>
      </c>
      <c r="D2267" s="15">
        <v>0</v>
      </c>
      <c r="E2267" s="15">
        <v>0</v>
      </c>
      <c r="F2267" s="15">
        <v>0</v>
      </c>
      <c r="G2267" s="15">
        <v>0</v>
      </c>
      <c r="H2267" s="15">
        <v>0</v>
      </c>
    </row>
    <row r="2268" spans="2:8">
      <c r="B2268" s="17" t="s">
        <v>8211</v>
      </c>
      <c r="C2268" s="246" t="s">
        <v>2784</v>
      </c>
      <c r="D2268" s="18">
        <v>0</v>
      </c>
      <c r="E2268" s="18">
        <v>0</v>
      </c>
      <c r="F2268" s="18">
        <v>0</v>
      </c>
      <c r="G2268" s="18">
        <v>0</v>
      </c>
      <c r="H2268" s="18">
        <v>0</v>
      </c>
    </row>
    <row r="2269" spans="2:8">
      <c r="B2269" s="14" t="s">
        <v>8212</v>
      </c>
      <c r="C2269" s="245" t="s">
        <v>2785</v>
      </c>
      <c r="D2269" s="15">
        <v>0</v>
      </c>
      <c r="E2269" s="15">
        <v>0</v>
      </c>
      <c r="F2269" s="15">
        <v>0</v>
      </c>
      <c r="G2269" s="15">
        <v>0</v>
      </c>
      <c r="H2269" s="15">
        <v>0</v>
      </c>
    </row>
    <row r="2270" spans="2:8">
      <c r="B2270" s="17" t="s">
        <v>8213</v>
      </c>
      <c r="C2270" s="246" t="s">
        <v>2786</v>
      </c>
      <c r="D2270" s="18">
        <v>0</v>
      </c>
      <c r="E2270" s="18">
        <v>0</v>
      </c>
      <c r="F2270" s="18">
        <v>0</v>
      </c>
      <c r="G2270" s="18">
        <v>0</v>
      </c>
      <c r="H2270" s="18">
        <v>0</v>
      </c>
    </row>
    <row r="2271" spans="2:8">
      <c r="B2271" s="14" t="s">
        <v>8214</v>
      </c>
      <c r="C2271" s="245" t="s">
        <v>2787</v>
      </c>
      <c r="D2271" s="15">
        <v>0</v>
      </c>
      <c r="E2271" s="15">
        <v>0</v>
      </c>
      <c r="F2271" s="15">
        <v>0</v>
      </c>
      <c r="G2271" s="15">
        <v>0</v>
      </c>
      <c r="H2271" s="15">
        <v>0</v>
      </c>
    </row>
    <row r="2272" spans="2:8">
      <c r="B2272" s="17" t="s">
        <v>8215</v>
      </c>
      <c r="C2272" s="246" t="s">
        <v>2788</v>
      </c>
      <c r="D2272" s="18">
        <v>23</v>
      </c>
      <c r="E2272" s="18">
        <v>0</v>
      </c>
      <c r="F2272" s="18">
        <v>5</v>
      </c>
      <c r="G2272" s="18">
        <v>3</v>
      </c>
      <c r="H2272" s="18">
        <v>0</v>
      </c>
    </row>
    <row r="2273" spans="2:8">
      <c r="B2273" s="14" t="s">
        <v>8216</v>
      </c>
      <c r="C2273" s="245" t="s">
        <v>2789</v>
      </c>
      <c r="D2273" s="15">
        <v>6</v>
      </c>
      <c r="E2273" s="15">
        <v>0</v>
      </c>
      <c r="F2273" s="15">
        <v>0</v>
      </c>
      <c r="G2273" s="15">
        <v>0</v>
      </c>
      <c r="H2273" s="15">
        <v>0</v>
      </c>
    </row>
    <row r="2274" spans="2:8">
      <c r="B2274" s="17" t="s">
        <v>8217</v>
      </c>
      <c r="C2274" s="246" t="s">
        <v>2790</v>
      </c>
      <c r="D2274" s="18">
        <v>0</v>
      </c>
      <c r="E2274" s="18">
        <v>6</v>
      </c>
      <c r="F2274" s="18">
        <v>0</v>
      </c>
      <c r="G2274" s="18">
        <v>0</v>
      </c>
      <c r="H2274" s="18">
        <v>0</v>
      </c>
    </row>
    <row r="2275" spans="2:8">
      <c r="B2275" s="14" t="s">
        <v>8218</v>
      </c>
      <c r="C2275" s="245" t="s">
        <v>2791</v>
      </c>
      <c r="D2275" s="15">
        <v>0</v>
      </c>
      <c r="E2275" s="15">
        <v>0</v>
      </c>
      <c r="F2275" s="15">
        <v>2</v>
      </c>
      <c r="G2275" s="15">
        <v>0</v>
      </c>
      <c r="H2275" s="15">
        <v>0</v>
      </c>
    </row>
    <row r="2276" spans="2:8">
      <c r="B2276" s="17" t="s">
        <v>8219</v>
      </c>
      <c r="C2276" s="246" t="s">
        <v>2792</v>
      </c>
      <c r="D2276" s="18">
        <v>0</v>
      </c>
      <c r="E2276" s="18">
        <v>0</v>
      </c>
      <c r="F2276" s="18">
        <v>0</v>
      </c>
      <c r="G2276" s="18">
        <v>0</v>
      </c>
      <c r="H2276" s="18">
        <v>0</v>
      </c>
    </row>
    <row r="2277" spans="2:8">
      <c r="B2277" s="14" t="s">
        <v>8220</v>
      </c>
      <c r="C2277" s="245" t="s">
        <v>2793</v>
      </c>
      <c r="D2277" s="15">
        <v>0</v>
      </c>
      <c r="E2277" s="15">
        <v>0</v>
      </c>
      <c r="F2277" s="15">
        <v>0</v>
      </c>
      <c r="G2277" s="15">
        <v>0</v>
      </c>
      <c r="H2277" s="15">
        <v>0</v>
      </c>
    </row>
    <row r="2278" spans="2:8">
      <c r="B2278" s="17" t="s">
        <v>8221</v>
      </c>
      <c r="C2278" s="246" t="s">
        <v>2794</v>
      </c>
      <c r="D2278" s="18">
        <v>0</v>
      </c>
      <c r="E2278" s="18">
        <v>0</v>
      </c>
      <c r="F2278" s="18">
        <v>0</v>
      </c>
      <c r="G2278" s="18">
        <v>0</v>
      </c>
      <c r="H2278" s="18">
        <v>0</v>
      </c>
    </row>
    <row r="2279" spans="2:8">
      <c r="B2279" s="14" t="s">
        <v>8222</v>
      </c>
      <c r="C2279" s="245" t="s">
        <v>2141</v>
      </c>
      <c r="D2279" s="15">
        <v>0</v>
      </c>
      <c r="E2279" s="15">
        <v>0</v>
      </c>
      <c r="F2279" s="15">
        <v>0</v>
      </c>
      <c r="G2279" s="15">
        <v>0</v>
      </c>
      <c r="H2279" s="15">
        <v>0</v>
      </c>
    </row>
    <row r="2280" spans="2:8">
      <c r="B2280" s="17" t="s">
        <v>8223</v>
      </c>
      <c r="C2280" s="246" t="s">
        <v>2795</v>
      </c>
      <c r="D2280" s="18">
        <v>0</v>
      </c>
      <c r="E2280" s="18">
        <v>0</v>
      </c>
      <c r="F2280" s="18">
        <v>0</v>
      </c>
      <c r="G2280" s="18">
        <v>0</v>
      </c>
      <c r="H2280" s="18">
        <v>0</v>
      </c>
    </row>
    <row r="2281" spans="2:8">
      <c r="B2281" s="14" t="s">
        <v>8224</v>
      </c>
      <c r="C2281" s="245" t="s">
        <v>2142</v>
      </c>
      <c r="D2281" s="15">
        <v>0</v>
      </c>
      <c r="E2281" s="15">
        <v>0</v>
      </c>
      <c r="F2281" s="15">
        <v>0</v>
      </c>
      <c r="G2281" s="15">
        <v>0</v>
      </c>
      <c r="H2281" s="15">
        <v>0</v>
      </c>
    </row>
    <row r="2282" spans="2:8">
      <c r="B2282" s="17" t="s">
        <v>8225</v>
      </c>
      <c r="C2282" s="246" t="s">
        <v>2142</v>
      </c>
      <c r="D2282" s="18">
        <v>0</v>
      </c>
      <c r="E2282" s="18">
        <v>0</v>
      </c>
      <c r="F2282" s="18">
        <v>0</v>
      </c>
      <c r="G2282" s="18">
        <v>0</v>
      </c>
      <c r="H2282" s="18">
        <v>0</v>
      </c>
    </row>
    <row r="2283" spans="2:8">
      <c r="B2283" s="14" t="s">
        <v>8226</v>
      </c>
      <c r="C2283" s="245" t="s">
        <v>2796</v>
      </c>
      <c r="D2283" s="15">
        <v>20935</v>
      </c>
      <c r="E2283" s="15">
        <v>0</v>
      </c>
      <c r="F2283" s="15">
        <v>0</v>
      </c>
      <c r="G2283" s="15">
        <v>0</v>
      </c>
      <c r="H2283" s="15">
        <v>0</v>
      </c>
    </row>
    <row r="2284" spans="2:8">
      <c r="B2284" s="17" t="s">
        <v>8227</v>
      </c>
      <c r="C2284" s="246" t="s">
        <v>2797</v>
      </c>
      <c r="D2284" s="18">
        <v>0</v>
      </c>
      <c r="E2284" s="18">
        <v>0</v>
      </c>
      <c r="F2284" s="18">
        <v>0</v>
      </c>
      <c r="G2284" s="18">
        <v>0</v>
      </c>
      <c r="H2284" s="18">
        <v>0</v>
      </c>
    </row>
    <row r="2285" spans="2:8">
      <c r="B2285" s="14" t="s">
        <v>8228</v>
      </c>
      <c r="C2285" s="245" t="s">
        <v>2798</v>
      </c>
      <c r="D2285" s="15">
        <v>0</v>
      </c>
      <c r="E2285" s="15">
        <v>0</v>
      </c>
      <c r="F2285" s="15">
        <v>0</v>
      </c>
      <c r="G2285" s="15">
        <v>0</v>
      </c>
      <c r="H2285" s="15">
        <v>0</v>
      </c>
    </row>
    <row r="2286" spans="2:8">
      <c r="B2286" s="17" t="s">
        <v>8229</v>
      </c>
      <c r="C2286" s="246" t="s">
        <v>2799</v>
      </c>
      <c r="D2286" s="18">
        <v>101</v>
      </c>
      <c r="E2286" s="18">
        <v>58</v>
      </c>
      <c r="F2286" s="18">
        <v>6</v>
      </c>
      <c r="G2286" s="18">
        <v>0</v>
      </c>
      <c r="H2286" s="18">
        <v>0</v>
      </c>
    </row>
    <row r="2287" spans="2:8">
      <c r="B2287" s="14" t="s">
        <v>8230</v>
      </c>
      <c r="C2287" s="245" t="s">
        <v>2149</v>
      </c>
      <c r="D2287" s="15">
        <v>0</v>
      </c>
      <c r="E2287" s="15">
        <v>0</v>
      </c>
      <c r="F2287" s="15">
        <v>0</v>
      </c>
      <c r="G2287" s="15">
        <v>0</v>
      </c>
      <c r="H2287" s="15">
        <v>0</v>
      </c>
    </row>
    <row r="2288" spans="2:8">
      <c r="B2288" s="17" t="s">
        <v>8231</v>
      </c>
      <c r="C2288" s="246" t="s">
        <v>2800</v>
      </c>
      <c r="D2288" s="18">
        <v>0</v>
      </c>
      <c r="E2288" s="18">
        <v>0</v>
      </c>
      <c r="F2288" s="18">
        <v>0</v>
      </c>
      <c r="G2288" s="18">
        <v>0</v>
      </c>
      <c r="H2288" s="18">
        <v>0</v>
      </c>
    </row>
    <row r="2289" spans="2:8">
      <c r="B2289" s="14" t="s">
        <v>8232</v>
      </c>
      <c r="C2289" s="245" t="s">
        <v>2801</v>
      </c>
      <c r="D2289" s="15">
        <v>0</v>
      </c>
      <c r="E2289" s="15">
        <v>0</v>
      </c>
      <c r="F2289" s="15">
        <v>0</v>
      </c>
      <c r="G2289" s="15">
        <v>0</v>
      </c>
      <c r="H2289" s="15">
        <v>0</v>
      </c>
    </row>
    <row r="2290" spans="2:8">
      <c r="B2290" s="17" t="s">
        <v>8233</v>
      </c>
      <c r="C2290" s="246" t="s">
        <v>2802</v>
      </c>
      <c r="D2290" s="18">
        <v>0</v>
      </c>
      <c r="E2290" s="18">
        <v>0</v>
      </c>
      <c r="F2290" s="18">
        <v>0</v>
      </c>
      <c r="G2290" s="18">
        <v>0</v>
      </c>
      <c r="H2290" s="18">
        <v>0</v>
      </c>
    </row>
    <row r="2291" spans="2:8">
      <c r="B2291" s="14" t="s">
        <v>8234</v>
      </c>
      <c r="C2291" s="245" t="s">
        <v>2803</v>
      </c>
      <c r="D2291" s="15">
        <v>0</v>
      </c>
      <c r="E2291" s="15">
        <v>0</v>
      </c>
      <c r="F2291" s="15">
        <v>0</v>
      </c>
      <c r="G2291" s="15">
        <v>0</v>
      </c>
      <c r="H2291" s="15">
        <v>0</v>
      </c>
    </row>
    <row r="2292" spans="2:8">
      <c r="B2292" s="17" t="s">
        <v>8235</v>
      </c>
      <c r="C2292" s="246" t="s">
        <v>2804</v>
      </c>
      <c r="D2292" s="18">
        <v>0</v>
      </c>
      <c r="E2292" s="18">
        <v>0</v>
      </c>
      <c r="F2292" s="18">
        <v>0</v>
      </c>
      <c r="G2292" s="18">
        <v>0</v>
      </c>
      <c r="H2292" s="18">
        <v>0</v>
      </c>
    </row>
    <row r="2293" spans="2:8">
      <c r="B2293" s="14" t="s">
        <v>8236</v>
      </c>
      <c r="C2293" s="245" t="s">
        <v>2805</v>
      </c>
      <c r="D2293" s="15">
        <v>0</v>
      </c>
      <c r="E2293" s="15">
        <v>0</v>
      </c>
      <c r="F2293" s="15">
        <v>0</v>
      </c>
      <c r="G2293" s="15">
        <v>0</v>
      </c>
      <c r="H2293" s="15">
        <v>0</v>
      </c>
    </row>
    <row r="2294" spans="2:8">
      <c r="B2294" s="17" t="s">
        <v>8237</v>
      </c>
      <c r="C2294" s="246" t="s">
        <v>2806</v>
      </c>
      <c r="D2294" s="18">
        <v>0</v>
      </c>
      <c r="E2294" s="18">
        <v>0</v>
      </c>
      <c r="F2294" s="18">
        <v>0</v>
      </c>
      <c r="G2294" s="18">
        <v>0</v>
      </c>
      <c r="H2294" s="18">
        <v>0</v>
      </c>
    </row>
    <row r="2295" spans="2:8">
      <c r="B2295" s="14" t="s">
        <v>8238</v>
      </c>
      <c r="C2295" s="245" t="s">
        <v>2807</v>
      </c>
      <c r="D2295" s="15">
        <v>0</v>
      </c>
      <c r="E2295" s="15">
        <v>0</v>
      </c>
      <c r="F2295" s="15">
        <v>0</v>
      </c>
      <c r="G2295" s="15">
        <v>0</v>
      </c>
      <c r="H2295" s="15">
        <v>0</v>
      </c>
    </row>
    <row r="2296" spans="2:8">
      <c r="B2296" s="17" t="s">
        <v>8239</v>
      </c>
      <c r="C2296" s="246" t="s">
        <v>2808</v>
      </c>
      <c r="D2296" s="18">
        <v>0</v>
      </c>
      <c r="E2296" s="18">
        <v>0</v>
      </c>
      <c r="F2296" s="18">
        <v>0</v>
      </c>
      <c r="G2296" s="18">
        <v>0</v>
      </c>
      <c r="H2296" s="18">
        <v>0</v>
      </c>
    </row>
    <row r="2297" spans="2:8">
      <c r="B2297" s="14" t="s">
        <v>8240</v>
      </c>
      <c r="C2297" s="245" t="s">
        <v>2809</v>
      </c>
      <c r="D2297" s="15">
        <v>0</v>
      </c>
      <c r="E2297" s="15">
        <v>0</v>
      </c>
      <c r="F2297" s="15">
        <v>0</v>
      </c>
      <c r="G2297" s="15">
        <v>0</v>
      </c>
      <c r="H2297" s="15">
        <v>0</v>
      </c>
    </row>
    <row r="2298" spans="2:8">
      <c r="B2298" s="17" t="s">
        <v>8241</v>
      </c>
      <c r="C2298" s="246" t="s">
        <v>2810</v>
      </c>
      <c r="D2298" s="18">
        <v>0</v>
      </c>
      <c r="E2298" s="18">
        <v>0</v>
      </c>
      <c r="F2298" s="18">
        <v>0</v>
      </c>
      <c r="G2298" s="18">
        <v>0</v>
      </c>
      <c r="H2298" s="18">
        <v>0</v>
      </c>
    </row>
    <row r="2299" spans="2:8">
      <c r="B2299" s="14" t="s">
        <v>8242</v>
      </c>
      <c r="C2299" s="245" t="s">
        <v>2811</v>
      </c>
      <c r="D2299" s="15">
        <v>0</v>
      </c>
      <c r="E2299" s="15">
        <v>0</v>
      </c>
      <c r="F2299" s="15">
        <v>0</v>
      </c>
      <c r="G2299" s="15">
        <v>0</v>
      </c>
      <c r="H2299" s="15">
        <v>0</v>
      </c>
    </row>
    <row r="2300" spans="2:8">
      <c r="B2300" s="17" t="s">
        <v>8243</v>
      </c>
      <c r="C2300" s="246" t="s">
        <v>2812</v>
      </c>
      <c r="D2300" s="18">
        <v>0</v>
      </c>
      <c r="E2300" s="18">
        <v>0</v>
      </c>
      <c r="F2300" s="18">
        <v>0</v>
      </c>
      <c r="G2300" s="18">
        <v>0</v>
      </c>
      <c r="H2300" s="18">
        <v>0</v>
      </c>
    </row>
    <row r="2301" spans="2:8">
      <c r="B2301" s="14" t="s">
        <v>8244</v>
      </c>
      <c r="C2301" s="245" t="s">
        <v>2813</v>
      </c>
      <c r="D2301" s="15">
        <v>0</v>
      </c>
      <c r="E2301" s="15">
        <v>0</v>
      </c>
      <c r="F2301" s="15">
        <v>0</v>
      </c>
      <c r="G2301" s="15">
        <v>0</v>
      </c>
      <c r="H2301" s="15">
        <v>0</v>
      </c>
    </row>
    <row r="2302" spans="2:8">
      <c r="B2302" s="17" t="s">
        <v>8245</v>
      </c>
      <c r="C2302" s="246" t="s">
        <v>2814</v>
      </c>
      <c r="D2302" s="18">
        <v>0</v>
      </c>
      <c r="E2302" s="18">
        <v>0</v>
      </c>
      <c r="F2302" s="18">
        <v>0</v>
      </c>
      <c r="G2302" s="18">
        <v>0</v>
      </c>
      <c r="H2302" s="18">
        <v>0</v>
      </c>
    </row>
    <row r="2303" spans="2:8">
      <c r="B2303" s="14" t="s">
        <v>8246</v>
      </c>
      <c r="C2303" s="245" t="s">
        <v>1709</v>
      </c>
      <c r="D2303" s="15">
        <v>0</v>
      </c>
      <c r="E2303" s="15">
        <v>0</v>
      </c>
      <c r="F2303" s="15">
        <v>0</v>
      </c>
      <c r="G2303" s="15">
        <v>0</v>
      </c>
      <c r="H2303" s="15">
        <v>0</v>
      </c>
    </row>
    <row r="2304" spans="2:8">
      <c r="B2304" s="17" t="s">
        <v>8247</v>
      </c>
      <c r="C2304" s="246" t="s">
        <v>2815</v>
      </c>
      <c r="D2304" s="18">
        <v>0</v>
      </c>
      <c r="E2304" s="18">
        <v>0</v>
      </c>
      <c r="F2304" s="18">
        <v>0</v>
      </c>
      <c r="G2304" s="18">
        <v>0</v>
      </c>
      <c r="H2304" s="18">
        <v>0</v>
      </c>
    </row>
    <row r="2305" spans="2:8">
      <c r="B2305" s="14" t="s">
        <v>8248</v>
      </c>
      <c r="C2305" s="245" t="s">
        <v>2816</v>
      </c>
      <c r="D2305" s="15">
        <v>0</v>
      </c>
      <c r="E2305" s="15">
        <v>0</v>
      </c>
      <c r="F2305" s="15">
        <v>4</v>
      </c>
      <c r="G2305" s="15">
        <v>21</v>
      </c>
      <c r="H2305" s="15">
        <v>0</v>
      </c>
    </row>
    <row r="2306" spans="2:8">
      <c r="B2306" s="17" t="s">
        <v>8249</v>
      </c>
      <c r="C2306" s="246" t="s">
        <v>2817</v>
      </c>
      <c r="D2306" s="18">
        <v>0</v>
      </c>
      <c r="E2306" s="18">
        <v>0</v>
      </c>
      <c r="F2306" s="18">
        <v>0</v>
      </c>
      <c r="G2306" s="18">
        <v>0</v>
      </c>
      <c r="H2306" s="18">
        <v>0</v>
      </c>
    </row>
    <row r="2307" spans="2:8">
      <c r="B2307" s="14" t="s">
        <v>8250</v>
      </c>
      <c r="C2307" s="245" t="s">
        <v>2818</v>
      </c>
      <c r="D2307" s="15">
        <v>0</v>
      </c>
      <c r="E2307" s="15">
        <v>5</v>
      </c>
      <c r="F2307" s="15">
        <v>0</v>
      </c>
      <c r="G2307" s="15">
        <v>0</v>
      </c>
      <c r="H2307" s="15">
        <v>0</v>
      </c>
    </row>
    <row r="2308" spans="2:8">
      <c r="B2308" s="17" t="s">
        <v>8251</v>
      </c>
      <c r="C2308" s="246" t="s">
        <v>2819</v>
      </c>
      <c r="D2308" s="18">
        <v>0</v>
      </c>
      <c r="E2308" s="18">
        <v>0</v>
      </c>
      <c r="F2308" s="18">
        <v>0</v>
      </c>
      <c r="G2308" s="18">
        <v>0</v>
      </c>
      <c r="H2308" s="18">
        <v>0</v>
      </c>
    </row>
    <row r="2309" spans="2:8">
      <c r="B2309" s="14" t="s">
        <v>8252</v>
      </c>
      <c r="C2309" s="245" t="s">
        <v>2820</v>
      </c>
      <c r="D2309" s="15">
        <v>0</v>
      </c>
      <c r="E2309" s="15">
        <v>3</v>
      </c>
      <c r="F2309" s="15">
        <v>0</v>
      </c>
      <c r="G2309" s="15">
        <v>23</v>
      </c>
      <c r="H2309" s="15">
        <v>0</v>
      </c>
    </row>
    <row r="2310" spans="2:8">
      <c r="B2310" s="17" t="s">
        <v>8253</v>
      </c>
      <c r="C2310" s="246" t="s">
        <v>2821</v>
      </c>
      <c r="D2310" s="18">
        <v>0</v>
      </c>
      <c r="E2310" s="18">
        <v>0</v>
      </c>
      <c r="F2310" s="18">
        <v>0</v>
      </c>
      <c r="G2310" s="18">
        <v>0</v>
      </c>
      <c r="H2310" s="18">
        <v>0</v>
      </c>
    </row>
    <row r="2311" spans="2:8">
      <c r="B2311" s="14" t="s">
        <v>8254</v>
      </c>
      <c r="C2311" s="245" t="s">
        <v>2822</v>
      </c>
      <c r="D2311" s="15">
        <v>0</v>
      </c>
      <c r="E2311" s="15">
        <v>0</v>
      </c>
      <c r="F2311" s="15">
        <v>0</v>
      </c>
      <c r="G2311" s="15">
        <v>0</v>
      </c>
      <c r="H2311" s="15">
        <v>0</v>
      </c>
    </row>
    <row r="2312" spans="2:8">
      <c r="B2312" s="17" t="s">
        <v>8255</v>
      </c>
      <c r="C2312" s="246" t="s">
        <v>2823</v>
      </c>
      <c r="D2312" s="18">
        <v>0</v>
      </c>
      <c r="E2312" s="18">
        <v>0</v>
      </c>
      <c r="F2312" s="18">
        <v>0</v>
      </c>
      <c r="G2312" s="18">
        <v>0</v>
      </c>
      <c r="H2312" s="18">
        <v>0</v>
      </c>
    </row>
    <row r="2313" spans="2:8">
      <c r="B2313" s="14" t="s">
        <v>8256</v>
      </c>
      <c r="C2313" s="245" t="s">
        <v>2824</v>
      </c>
      <c r="D2313" s="15">
        <v>0</v>
      </c>
      <c r="E2313" s="15">
        <v>0</v>
      </c>
      <c r="F2313" s="15">
        <v>0</v>
      </c>
      <c r="G2313" s="15">
        <v>0</v>
      </c>
      <c r="H2313" s="15">
        <v>0</v>
      </c>
    </row>
    <row r="2314" spans="2:8">
      <c r="B2314" s="17" t="s">
        <v>8257</v>
      </c>
      <c r="C2314" s="246" t="s">
        <v>2825</v>
      </c>
      <c r="D2314" s="18">
        <v>0</v>
      </c>
      <c r="E2314" s="18">
        <v>0</v>
      </c>
      <c r="F2314" s="18">
        <v>0</v>
      </c>
      <c r="G2314" s="18">
        <v>0</v>
      </c>
      <c r="H2314" s="18">
        <v>0</v>
      </c>
    </row>
    <row r="2315" spans="2:8">
      <c r="B2315" s="14" t="s">
        <v>8258</v>
      </c>
      <c r="C2315" s="245" t="s">
        <v>2826</v>
      </c>
      <c r="D2315" s="15">
        <v>14</v>
      </c>
      <c r="E2315" s="15">
        <v>0</v>
      </c>
      <c r="F2315" s="15">
        <v>0</v>
      </c>
      <c r="G2315" s="15">
        <v>0</v>
      </c>
      <c r="H2315" s="15">
        <v>0</v>
      </c>
    </row>
    <row r="2316" spans="2:8">
      <c r="B2316" s="17" t="s">
        <v>8259</v>
      </c>
      <c r="C2316" s="246" t="s">
        <v>2827</v>
      </c>
      <c r="D2316" s="18">
        <v>0</v>
      </c>
      <c r="E2316" s="18">
        <v>0</v>
      </c>
      <c r="F2316" s="18">
        <v>0</v>
      </c>
      <c r="G2316" s="18">
        <v>0</v>
      </c>
      <c r="H2316" s="18">
        <v>0</v>
      </c>
    </row>
    <row r="2317" spans="2:8">
      <c r="B2317" s="14" t="s">
        <v>8260</v>
      </c>
      <c r="C2317" s="245" t="s">
        <v>2828</v>
      </c>
      <c r="D2317" s="15">
        <v>0</v>
      </c>
      <c r="E2317" s="15">
        <v>0</v>
      </c>
      <c r="F2317" s="15">
        <v>0</v>
      </c>
      <c r="G2317" s="15">
        <v>0</v>
      </c>
      <c r="H2317" s="15">
        <v>0</v>
      </c>
    </row>
    <row r="2318" spans="2:8">
      <c r="B2318" s="17" t="s">
        <v>8261</v>
      </c>
      <c r="C2318" s="246" t="s">
        <v>2829</v>
      </c>
      <c r="D2318" s="18">
        <v>0</v>
      </c>
      <c r="E2318" s="18">
        <v>0</v>
      </c>
      <c r="F2318" s="18">
        <v>0</v>
      </c>
      <c r="G2318" s="18">
        <v>0</v>
      </c>
      <c r="H2318" s="18">
        <v>0</v>
      </c>
    </row>
    <row r="2319" spans="2:8">
      <c r="B2319" s="14" t="s">
        <v>8262</v>
      </c>
      <c r="C2319" s="245" t="s">
        <v>2830</v>
      </c>
      <c r="D2319" s="15">
        <v>0</v>
      </c>
      <c r="E2319" s="15">
        <v>0</v>
      </c>
      <c r="F2319" s="15">
        <v>0</v>
      </c>
      <c r="G2319" s="15">
        <v>0</v>
      </c>
      <c r="H2319" s="15">
        <v>0</v>
      </c>
    </row>
    <row r="2320" spans="2:8">
      <c r="B2320" s="17" t="s">
        <v>8263</v>
      </c>
      <c r="C2320" s="246" t="s">
        <v>2831</v>
      </c>
      <c r="D2320" s="18">
        <v>0</v>
      </c>
      <c r="E2320" s="18">
        <v>0</v>
      </c>
      <c r="F2320" s="18">
        <v>0</v>
      </c>
      <c r="G2320" s="18">
        <v>0</v>
      </c>
      <c r="H2320" s="18">
        <v>0</v>
      </c>
    </row>
    <row r="2321" spans="2:8">
      <c r="B2321" s="14" t="s">
        <v>8264</v>
      </c>
      <c r="C2321" s="245" t="s">
        <v>2832</v>
      </c>
      <c r="D2321" s="15">
        <v>0</v>
      </c>
      <c r="E2321" s="15">
        <v>0</v>
      </c>
      <c r="F2321" s="15">
        <v>0</v>
      </c>
      <c r="G2321" s="15">
        <v>0</v>
      </c>
      <c r="H2321" s="15">
        <v>0</v>
      </c>
    </row>
    <row r="2322" spans="2:8">
      <c r="B2322" s="17" t="s">
        <v>8265</v>
      </c>
      <c r="C2322" s="246" t="s">
        <v>2833</v>
      </c>
      <c r="D2322" s="18">
        <v>0</v>
      </c>
      <c r="E2322" s="18">
        <v>0</v>
      </c>
      <c r="F2322" s="18">
        <v>0</v>
      </c>
      <c r="G2322" s="18">
        <v>0</v>
      </c>
      <c r="H2322" s="18">
        <v>0</v>
      </c>
    </row>
    <row r="2323" spans="2:8">
      <c r="B2323" s="14" t="s">
        <v>8266</v>
      </c>
      <c r="C2323" s="245" t="s">
        <v>2834</v>
      </c>
      <c r="D2323" s="15">
        <v>0</v>
      </c>
      <c r="E2323" s="15">
        <v>0</v>
      </c>
      <c r="F2323" s="15">
        <v>0</v>
      </c>
      <c r="G2323" s="15">
        <v>0</v>
      </c>
      <c r="H2323" s="15">
        <v>0</v>
      </c>
    </row>
    <row r="2324" spans="2:8">
      <c r="B2324" s="17" t="s">
        <v>8267</v>
      </c>
      <c r="C2324" s="246" t="s">
        <v>2835</v>
      </c>
      <c r="D2324" s="18">
        <v>0</v>
      </c>
      <c r="E2324" s="18">
        <v>0</v>
      </c>
      <c r="F2324" s="18">
        <v>0</v>
      </c>
      <c r="G2324" s="18">
        <v>0</v>
      </c>
      <c r="H2324" s="18">
        <v>0</v>
      </c>
    </row>
    <row r="2325" spans="2:8">
      <c r="B2325" s="14" t="s">
        <v>8268</v>
      </c>
      <c r="C2325" s="245" t="s">
        <v>2836</v>
      </c>
      <c r="D2325" s="15">
        <v>0</v>
      </c>
      <c r="E2325" s="15">
        <v>0</v>
      </c>
      <c r="F2325" s="15">
        <v>0</v>
      </c>
      <c r="G2325" s="15">
        <v>0</v>
      </c>
      <c r="H2325" s="15">
        <v>0</v>
      </c>
    </row>
    <row r="2326" spans="2:8">
      <c r="B2326" s="17" t="s">
        <v>8269</v>
      </c>
      <c r="C2326" s="246" t="s">
        <v>2837</v>
      </c>
      <c r="D2326" s="18">
        <v>0</v>
      </c>
      <c r="E2326" s="18">
        <v>0</v>
      </c>
      <c r="F2326" s="18">
        <v>0</v>
      </c>
      <c r="G2326" s="18">
        <v>0</v>
      </c>
      <c r="H2326" s="18">
        <v>0</v>
      </c>
    </row>
    <row r="2327" spans="2:8">
      <c r="B2327" s="14" t="s">
        <v>8270</v>
      </c>
      <c r="C2327" s="245" t="s">
        <v>2838</v>
      </c>
      <c r="D2327" s="15">
        <v>0</v>
      </c>
      <c r="E2327" s="15">
        <v>0</v>
      </c>
      <c r="F2327" s="15">
        <v>0</v>
      </c>
      <c r="G2327" s="15">
        <v>0</v>
      </c>
      <c r="H2327" s="15">
        <v>0</v>
      </c>
    </row>
    <row r="2328" spans="2:8">
      <c r="B2328" s="17" t="s">
        <v>8271</v>
      </c>
      <c r="C2328" s="246" t="s">
        <v>2839</v>
      </c>
      <c r="D2328" s="18">
        <v>0</v>
      </c>
      <c r="E2328" s="18">
        <v>0</v>
      </c>
      <c r="F2328" s="18">
        <v>0</v>
      </c>
      <c r="G2328" s="18">
        <v>0</v>
      </c>
      <c r="H2328" s="18">
        <v>0</v>
      </c>
    </row>
    <row r="2329" spans="2:8">
      <c r="B2329" s="14" t="s">
        <v>8272</v>
      </c>
      <c r="C2329" s="245" t="s">
        <v>2840</v>
      </c>
      <c r="D2329" s="15">
        <v>0</v>
      </c>
      <c r="E2329" s="15">
        <v>0</v>
      </c>
      <c r="F2329" s="15">
        <v>0</v>
      </c>
      <c r="G2329" s="15">
        <v>0</v>
      </c>
      <c r="H2329" s="15">
        <v>0</v>
      </c>
    </row>
    <row r="2330" spans="2:8">
      <c r="B2330" s="17" t="s">
        <v>8273</v>
      </c>
      <c r="C2330" s="246" t="s">
        <v>2841</v>
      </c>
      <c r="D2330" s="18">
        <v>0</v>
      </c>
      <c r="E2330" s="18">
        <v>0</v>
      </c>
      <c r="F2330" s="18">
        <v>0</v>
      </c>
      <c r="G2330" s="18">
        <v>0</v>
      </c>
      <c r="H2330" s="18">
        <v>0</v>
      </c>
    </row>
    <row r="2331" spans="2:8">
      <c r="B2331" s="14" t="s">
        <v>8274</v>
      </c>
      <c r="C2331" s="245" t="s">
        <v>2842</v>
      </c>
      <c r="D2331" s="15">
        <v>0</v>
      </c>
      <c r="E2331" s="15">
        <v>0</v>
      </c>
      <c r="F2331" s="15">
        <v>0</v>
      </c>
      <c r="G2331" s="15">
        <v>0</v>
      </c>
      <c r="H2331" s="15">
        <v>0</v>
      </c>
    </row>
    <row r="2332" spans="2:8">
      <c r="B2332" s="17" t="s">
        <v>8275</v>
      </c>
      <c r="C2332" s="246" t="s">
        <v>2843</v>
      </c>
      <c r="D2332" s="18">
        <v>0</v>
      </c>
      <c r="E2332" s="18">
        <v>0</v>
      </c>
      <c r="F2332" s="18">
        <v>0</v>
      </c>
      <c r="G2332" s="18">
        <v>0</v>
      </c>
      <c r="H2332" s="18">
        <v>0</v>
      </c>
    </row>
    <row r="2333" spans="2:8">
      <c r="B2333" s="14" t="s">
        <v>8276</v>
      </c>
      <c r="C2333" s="245" t="s">
        <v>2844</v>
      </c>
      <c r="D2333" s="15">
        <v>0</v>
      </c>
      <c r="E2333" s="15">
        <v>0</v>
      </c>
      <c r="F2333" s="15">
        <v>0</v>
      </c>
      <c r="G2333" s="15">
        <v>0</v>
      </c>
      <c r="H2333" s="15">
        <v>0</v>
      </c>
    </row>
    <row r="2334" spans="2:8">
      <c r="B2334" s="17" t="s">
        <v>8277</v>
      </c>
      <c r="C2334" s="246" t="s">
        <v>2845</v>
      </c>
      <c r="D2334" s="18">
        <v>0</v>
      </c>
      <c r="E2334" s="18">
        <v>0</v>
      </c>
      <c r="F2334" s="18">
        <v>2</v>
      </c>
      <c r="G2334" s="18">
        <v>0</v>
      </c>
      <c r="H2334" s="18">
        <v>0</v>
      </c>
    </row>
    <row r="2335" spans="2:8">
      <c r="B2335" s="14" t="s">
        <v>8278</v>
      </c>
      <c r="C2335" s="245" t="s">
        <v>2846</v>
      </c>
      <c r="D2335" s="15">
        <v>0</v>
      </c>
      <c r="E2335" s="15">
        <v>0</v>
      </c>
      <c r="F2335" s="15">
        <v>0</v>
      </c>
      <c r="G2335" s="15">
        <v>0</v>
      </c>
      <c r="H2335" s="15">
        <v>0</v>
      </c>
    </row>
    <row r="2336" spans="2:8">
      <c r="B2336" s="17" t="s">
        <v>8279</v>
      </c>
      <c r="C2336" s="246" t="s">
        <v>2847</v>
      </c>
      <c r="D2336" s="18">
        <v>52</v>
      </c>
      <c r="E2336" s="18">
        <v>40</v>
      </c>
      <c r="F2336" s="18">
        <v>0</v>
      </c>
      <c r="G2336" s="18">
        <v>0</v>
      </c>
      <c r="H2336" s="18">
        <v>0</v>
      </c>
    </row>
    <row r="2337" spans="2:8">
      <c r="B2337" s="14" t="s">
        <v>8280</v>
      </c>
      <c r="C2337" s="245" t="s">
        <v>2848</v>
      </c>
      <c r="D2337" s="15">
        <v>0</v>
      </c>
      <c r="E2337" s="15">
        <v>0</v>
      </c>
      <c r="F2337" s="15">
        <v>0</v>
      </c>
      <c r="G2337" s="15">
        <v>0</v>
      </c>
      <c r="H2337" s="15">
        <v>0</v>
      </c>
    </row>
    <row r="2338" spans="2:8">
      <c r="B2338" s="17" t="s">
        <v>8281</v>
      </c>
      <c r="C2338" s="246" t="s">
        <v>2849</v>
      </c>
      <c r="D2338" s="18">
        <v>4</v>
      </c>
      <c r="E2338" s="18">
        <v>7</v>
      </c>
      <c r="F2338" s="18">
        <v>9</v>
      </c>
      <c r="G2338" s="18">
        <v>12</v>
      </c>
      <c r="H2338" s="18">
        <v>0</v>
      </c>
    </row>
    <row r="2339" spans="2:8">
      <c r="B2339" s="14" t="s">
        <v>8282</v>
      </c>
      <c r="C2339" s="245" t="s">
        <v>2850</v>
      </c>
      <c r="D2339" s="15">
        <v>0</v>
      </c>
      <c r="E2339" s="15">
        <v>0</v>
      </c>
      <c r="F2339" s="15">
        <v>0</v>
      </c>
      <c r="G2339" s="15">
        <v>0</v>
      </c>
      <c r="H2339" s="15">
        <v>0</v>
      </c>
    </row>
    <row r="2340" spans="2:8">
      <c r="B2340" s="17" t="s">
        <v>8283</v>
      </c>
      <c r="C2340" s="246" t="s">
        <v>2851</v>
      </c>
      <c r="D2340" s="18">
        <v>0</v>
      </c>
      <c r="E2340" s="18">
        <v>0</v>
      </c>
      <c r="F2340" s="18">
        <v>0</v>
      </c>
      <c r="G2340" s="18">
        <v>0</v>
      </c>
      <c r="H2340" s="18">
        <v>0</v>
      </c>
    </row>
    <row r="2341" spans="2:8">
      <c r="B2341" s="14" t="s">
        <v>8284</v>
      </c>
      <c r="C2341" s="245" t="s">
        <v>2852</v>
      </c>
      <c r="D2341" s="15">
        <v>0</v>
      </c>
      <c r="E2341" s="15">
        <v>0</v>
      </c>
      <c r="F2341" s="15">
        <v>0</v>
      </c>
      <c r="G2341" s="15">
        <v>0</v>
      </c>
      <c r="H2341" s="15">
        <v>0</v>
      </c>
    </row>
    <row r="2342" spans="2:8">
      <c r="B2342" s="17" t="s">
        <v>8285</v>
      </c>
      <c r="C2342" s="246" t="s">
        <v>2853</v>
      </c>
      <c r="D2342" s="18">
        <v>0</v>
      </c>
      <c r="E2342" s="18">
        <v>0</v>
      </c>
      <c r="F2342" s="18">
        <v>0</v>
      </c>
      <c r="G2342" s="18">
        <v>0</v>
      </c>
      <c r="H2342" s="18">
        <v>0</v>
      </c>
    </row>
    <row r="2343" spans="2:8">
      <c r="B2343" s="14" t="s">
        <v>8286</v>
      </c>
      <c r="C2343" s="245" t="s">
        <v>2854</v>
      </c>
      <c r="D2343" s="15">
        <v>34</v>
      </c>
      <c r="E2343" s="15">
        <v>0</v>
      </c>
      <c r="F2343" s="15">
        <v>0</v>
      </c>
      <c r="G2343" s="15">
        <v>0</v>
      </c>
      <c r="H2343" s="15">
        <v>0</v>
      </c>
    </row>
    <row r="2344" spans="2:8">
      <c r="B2344" s="17" t="s">
        <v>8287</v>
      </c>
      <c r="C2344" s="246" t="s">
        <v>2855</v>
      </c>
      <c r="D2344" s="18">
        <v>0</v>
      </c>
      <c r="E2344" s="18">
        <v>0</v>
      </c>
      <c r="F2344" s="18">
        <v>0</v>
      </c>
      <c r="G2344" s="18">
        <v>0</v>
      </c>
      <c r="H2344" s="18">
        <v>0</v>
      </c>
    </row>
    <row r="2345" spans="2:8">
      <c r="B2345" s="14" t="s">
        <v>8288</v>
      </c>
      <c r="C2345" s="245" t="s">
        <v>2856</v>
      </c>
      <c r="D2345" s="15">
        <v>0</v>
      </c>
      <c r="E2345" s="15">
        <v>0</v>
      </c>
      <c r="F2345" s="15">
        <v>111</v>
      </c>
      <c r="G2345" s="15">
        <v>0</v>
      </c>
      <c r="H2345" s="15">
        <v>0</v>
      </c>
    </row>
    <row r="2346" spans="2:8">
      <c r="B2346" s="17" t="s">
        <v>8289</v>
      </c>
      <c r="C2346" s="246" t="s">
        <v>2857</v>
      </c>
      <c r="D2346" s="18">
        <v>0</v>
      </c>
      <c r="E2346" s="18">
        <v>0</v>
      </c>
      <c r="F2346" s="18">
        <v>0</v>
      </c>
      <c r="G2346" s="18">
        <v>0</v>
      </c>
      <c r="H2346" s="18">
        <v>0</v>
      </c>
    </row>
    <row r="2347" spans="2:8">
      <c r="B2347" s="14" t="s">
        <v>8290</v>
      </c>
      <c r="C2347" s="245" t="s">
        <v>2858</v>
      </c>
      <c r="D2347" s="15">
        <v>0</v>
      </c>
      <c r="E2347" s="15">
        <v>0</v>
      </c>
      <c r="F2347" s="15">
        <v>0</v>
      </c>
      <c r="G2347" s="15">
        <v>0</v>
      </c>
      <c r="H2347" s="15">
        <v>0</v>
      </c>
    </row>
    <row r="2348" spans="2:8">
      <c r="B2348" s="17" t="s">
        <v>8291</v>
      </c>
      <c r="C2348" s="246" t="s">
        <v>2378</v>
      </c>
      <c r="D2348" s="18">
        <v>0</v>
      </c>
      <c r="E2348" s="18">
        <v>0</v>
      </c>
      <c r="F2348" s="18">
        <v>0</v>
      </c>
      <c r="G2348" s="18">
        <v>0</v>
      </c>
      <c r="H2348" s="18">
        <v>0</v>
      </c>
    </row>
    <row r="2349" spans="2:8">
      <c r="B2349" s="14" t="s">
        <v>8292</v>
      </c>
      <c r="C2349" s="245" t="s">
        <v>2859</v>
      </c>
      <c r="D2349" s="15">
        <v>0</v>
      </c>
      <c r="E2349" s="15">
        <v>0</v>
      </c>
      <c r="F2349" s="15">
        <v>0</v>
      </c>
      <c r="G2349" s="15">
        <v>0</v>
      </c>
      <c r="H2349" s="15">
        <v>0</v>
      </c>
    </row>
    <row r="2350" spans="2:8">
      <c r="B2350" s="17" t="s">
        <v>8293</v>
      </c>
      <c r="C2350" s="246" t="s">
        <v>2860</v>
      </c>
      <c r="D2350" s="18">
        <v>0</v>
      </c>
      <c r="E2350" s="18">
        <v>0</v>
      </c>
      <c r="F2350" s="18">
        <v>0</v>
      </c>
      <c r="G2350" s="18">
        <v>0</v>
      </c>
      <c r="H2350" s="18">
        <v>0</v>
      </c>
    </row>
    <row r="2351" spans="2:8">
      <c r="B2351" s="14" t="s">
        <v>8294</v>
      </c>
      <c r="C2351" s="245" t="s">
        <v>2861</v>
      </c>
      <c r="D2351" s="15">
        <v>119</v>
      </c>
      <c r="E2351" s="15">
        <v>97</v>
      </c>
      <c r="F2351" s="15">
        <v>0</v>
      </c>
      <c r="G2351" s="15">
        <v>3</v>
      </c>
      <c r="H2351" s="15">
        <v>0</v>
      </c>
    </row>
    <row r="2352" spans="2:8">
      <c r="B2352" s="17" t="s">
        <v>8295</v>
      </c>
      <c r="C2352" s="246" t="s">
        <v>2862</v>
      </c>
      <c r="D2352" s="18">
        <v>0</v>
      </c>
      <c r="E2352" s="18">
        <v>0</v>
      </c>
      <c r="F2352" s="18">
        <v>0</v>
      </c>
      <c r="G2352" s="18">
        <v>0</v>
      </c>
      <c r="H2352" s="18">
        <v>0</v>
      </c>
    </row>
    <row r="2353" spans="2:8">
      <c r="B2353" s="14" t="s">
        <v>8296</v>
      </c>
      <c r="C2353" s="245" t="s">
        <v>2863</v>
      </c>
      <c r="D2353" s="15">
        <v>0</v>
      </c>
      <c r="E2353" s="15">
        <v>0</v>
      </c>
      <c r="F2353" s="15">
        <v>0</v>
      </c>
      <c r="G2353" s="15">
        <v>0</v>
      </c>
      <c r="H2353" s="15">
        <v>0</v>
      </c>
    </row>
    <row r="2354" spans="2:8">
      <c r="B2354" s="17" t="s">
        <v>8297</v>
      </c>
      <c r="C2354" s="246" t="s">
        <v>2864</v>
      </c>
      <c r="D2354" s="18">
        <v>0</v>
      </c>
      <c r="E2354" s="18">
        <v>0</v>
      </c>
      <c r="F2354" s="18">
        <v>0</v>
      </c>
      <c r="G2354" s="18">
        <v>0</v>
      </c>
      <c r="H2354" s="18">
        <v>0</v>
      </c>
    </row>
    <row r="2355" spans="2:8">
      <c r="B2355" s="14" t="s">
        <v>8298</v>
      </c>
      <c r="C2355" s="245" t="s">
        <v>2865</v>
      </c>
      <c r="D2355" s="15">
        <v>0</v>
      </c>
      <c r="E2355" s="15">
        <v>0</v>
      </c>
      <c r="F2355" s="15">
        <v>0</v>
      </c>
      <c r="G2355" s="15">
        <v>0</v>
      </c>
      <c r="H2355" s="15">
        <v>0</v>
      </c>
    </row>
    <row r="2356" spans="2:8">
      <c r="B2356" s="17" t="s">
        <v>8299</v>
      </c>
      <c r="C2356" s="246" t="s">
        <v>2866</v>
      </c>
      <c r="D2356" s="18">
        <v>0</v>
      </c>
      <c r="E2356" s="18">
        <v>0</v>
      </c>
      <c r="F2356" s="18">
        <v>0</v>
      </c>
      <c r="G2356" s="18">
        <v>0</v>
      </c>
      <c r="H2356" s="18">
        <v>0</v>
      </c>
    </row>
    <row r="2357" spans="2:8">
      <c r="B2357" s="14" t="s">
        <v>8300</v>
      </c>
      <c r="C2357" s="245" t="s">
        <v>2867</v>
      </c>
      <c r="D2357" s="15">
        <v>0</v>
      </c>
      <c r="E2357" s="15">
        <v>0</v>
      </c>
      <c r="F2357" s="15">
        <v>0</v>
      </c>
      <c r="G2357" s="15">
        <v>0</v>
      </c>
      <c r="H2357" s="15">
        <v>0</v>
      </c>
    </row>
    <row r="2358" spans="2:8">
      <c r="B2358" s="17" t="s">
        <v>8301</v>
      </c>
      <c r="C2358" s="246" t="s">
        <v>2868</v>
      </c>
      <c r="D2358" s="18">
        <v>0</v>
      </c>
      <c r="E2358" s="18">
        <v>0</v>
      </c>
      <c r="F2358" s="18">
        <v>0</v>
      </c>
      <c r="G2358" s="18">
        <v>0</v>
      </c>
      <c r="H2358" s="18">
        <v>0</v>
      </c>
    </row>
    <row r="2359" spans="2:8">
      <c r="B2359" s="14" t="s">
        <v>8302</v>
      </c>
      <c r="C2359" s="245" t="s">
        <v>2869</v>
      </c>
      <c r="D2359" s="15">
        <v>0</v>
      </c>
      <c r="E2359" s="15">
        <v>0</v>
      </c>
      <c r="F2359" s="15">
        <v>0</v>
      </c>
      <c r="G2359" s="15">
        <v>0</v>
      </c>
      <c r="H2359" s="15">
        <v>0</v>
      </c>
    </row>
    <row r="2360" spans="2:8">
      <c r="B2360" s="17" t="s">
        <v>8303</v>
      </c>
      <c r="C2360" s="246" t="s">
        <v>2870</v>
      </c>
      <c r="D2360" s="18">
        <v>0</v>
      </c>
      <c r="E2360" s="18">
        <v>0</v>
      </c>
      <c r="F2360" s="18">
        <v>0</v>
      </c>
      <c r="G2360" s="18">
        <v>0</v>
      </c>
      <c r="H2360" s="18">
        <v>0</v>
      </c>
    </row>
    <row r="2361" spans="2:8">
      <c r="B2361" s="14" t="s">
        <v>8304</v>
      </c>
      <c r="C2361" s="245" t="s">
        <v>2871</v>
      </c>
      <c r="D2361" s="15">
        <v>0</v>
      </c>
      <c r="E2361" s="15">
        <v>0</v>
      </c>
      <c r="F2361" s="15">
        <v>0</v>
      </c>
      <c r="G2361" s="15">
        <v>0</v>
      </c>
      <c r="H2361" s="15">
        <v>0</v>
      </c>
    </row>
    <row r="2362" spans="2:8">
      <c r="B2362" s="17" t="s">
        <v>8305</v>
      </c>
      <c r="C2362" s="246" t="s">
        <v>2872</v>
      </c>
      <c r="D2362" s="18">
        <v>0</v>
      </c>
      <c r="E2362" s="18">
        <v>0</v>
      </c>
      <c r="F2362" s="18">
        <v>0</v>
      </c>
      <c r="G2362" s="18">
        <v>0</v>
      </c>
      <c r="H2362" s="18">
        <v>0</v>
      </c>
    </row>
    <row r="2363" spans="2:8">
      <c r="B2363" s="14" t="s">
        <v>8306</v>
      </c>
      <c r="C2363" s="245" t="s">
        <v>2873</v>
      </c>
      <c r="D2363" s="15">
        <v>0</v>
      </c>
      <c r="E2363" s="15">
        <v>0</v>
      </c>
      <c r="F2363" s="15">
        <v>0</v>
      </c>
      <c r="G2363" s="15">
        <v>0</v>
      </c>
      <c r="H2363" s="15">
        <v>0</v>
      </c>
    </row>
    <row r="2364" spans="2:8">
      <c r="B2364" s="17" t="s">
        <v>8307</v>
      </c>
      <c r="C2364" s="246" t="s">
        <v>2874</v>
      </c>
      <c r="D2364" s="18">
        <v>0</v>
      </c>
      <c r="E2364" s="18">
        <v>0</v>
      </c>
      <c r="F2364" s="18">
        <v>0</v>
      </c>
      <c r="G2364" s="18">
        <v>0</v>
      </c>
      <c r="H2364" s="18">
        <v>0</v>
      </c>
    </row>
    <row r="2365" spans="2:8">
      <c r="B2365" s="14" t="s">
        <v>8308</v>
      </c>
      <c r="C2365" s="245" t="s">
        <v>2875</v>
      </c>
      <c r="D2365" s="15">
        <v>0</v>
      </c>
      <c r="E2365" s="15">
        <v>0</v>
      </c>
      <c r="F2365" s="15">
        <v>0</v>
      </c>
      <c r="G2365" s="15">
        <v>0</v>
      </c>
      <c r="H2365" s="15">
        <v>0</v>
      </c>
    </row>
    <row r="2366" spans="2:8">
      <c r="B2366" s="17" t="s">
        <v>8309</v>
      </c>
      <c r="C2366" s="246" t="s">
        <v>2876</v>
      </c>
      <c r="D2366" s="18">
        <v>0</v>
      </c>
      <c r="E2366" s="18">
        <v>0</v>
      </c>
      <c r="F2366" s="18">
        <v>0</v>
      </c>
      <c r="G2366" s="18">
        <v>0</v>
      </c>
      <c r="H2366" s="18">
        <v>0</v>
      </c>
    </row>
    <row r="2367" spans="2:8">
      <c r="B2367" s="14" t="s">
        <v>8310</v>
      </c>
      <c r="C2367" s="245" t="s">
        <v>2877</v>
      </c>
      <c r="D2367" s="15">
        <v>0</v>
      </c>
      <c r="E2367" s="15">
        <v>0</v>
      </c>
      <c r="F2367" s="15">
        <v>0</v>
      </c>
      <c r="G2367" s="15">
        <v>138</v>
      </c>
      <c r="H2367" s="15">
        <v>0</v>
      </c>
    </row>
    <row r="2368" spans="2:8">
      <c r="B2368" s="17" t="s">
        <v>8311</v>
      </c>
      <c r="C2368" s="246" t="s">
        <v>2878</v>
      </c>
      <c r="D2368" s="18">
        <v>0</v>
      </c>
      <c r="E2368" s="18">
        <v>0</v>
      </c>
      <c r="F2368" s="18">
        <v>0</v>
      </c>
      <c r="G2368" s="18">
        <v>0</v>
      </c>
      <c r="H2368" s="18">
        <v>0</v>
      </c>
    </row>
    <row r="2369" spans="2:8">
      <c r="B2369" s="14" t="s">
        <v>8312</v>
      </c>
      <c r="C2369" s="245" t="s">
        <v>2879</v>
      </c>
      <c r="D2369" s="15">
        <v>0</v>
      </c>
      <c r="E2369" s="15">
        <v>0</v>
      </c>
      <c r="F2369" s="15">
        <v>0</v>
      </c>
      <c r="G2369" s="15">
        <v>0</v>
      </c>
      <c r="H2369" s="15">
        <v>0</v>
      </c>
    </row>
    <row r="2370" spans="2:8">
      <c r="B2370" s="17" t="s">
        <v>8313</v>
      </c>
      <c r="C2370" s="246" t="s">
        <v>2880</v>
      </c>
      <c r="D2370" s="18">
        <v>0</v>
      </c>
      <c r="E2370" s="18">
        <v>0</v>
      </c>
      <c r="F2370" s="18">
        <v>0</v>
      </c>
      <c r="G2370" s="18">
        <v>0</v>
      </c>
      <c r="H2370" s="18">
        <v>0</v>
      </c>
    </row>
    <row r="2371" spans="2:8">
      <c r="B2371" s="14" t="s">
        <v>8314</v>
      </c>
      <c r="C2371" s="245" t="s">
        <v>2881</v>
      </c>
      <c r="D2371" s="15">
        <v>0</v>
      </c>
      <c r="E2371" s="15">
        <v>0</v>
      </c>
      <c r="F2371" s="15">
        <v>0</v>
      </c>
      <c r="G2371" s="15">
        <v>0</v>
      </c>
      <c r="H2371" s="15">
        <v>0</v>
      </c>
    </row>
    <row r="2372" spans="2:8">
      <c r="B2372" s="17" t="s">
        <v>8315</v>
      </c>
      <c r="C2372" s="246" t="s">
        <v>2882</v>
      </c>
      <c r="D2372" s="18">
        <v>0</v>
      </c>
      <c r="E2372" s="18">
        <v>0</v>
      </c>
      <c r="F2372" s="18">
        <v>0</v>
      </c>
      <c r="G2372" s="18">
        <v>0</v>
      </c>
      <c r="H2372" s="18">
        <v>0</v>
      </c>
    </row>
    <row r="2373" spans="2:8">
      <c r="B2373" s="14" t="s">
        <v>8316</v>
      </c>
      <c r="C2373" s="245" t="s">
        <v>2883</v>
      </c>
      <c r="D2373" s="15">
        <v>0</v>
      </c>
      <c r="E2373" s="15">
        <v>0</v>
      </c>
      <c r="F2373" s="15">
        <v>0</v>
      </c>
      <c r="G2373" s="15">
        <v>0</v>
      </c>
      <c r="H2373" s="15">
        <v>0</v>
      </c>
    </row>
    <row r="2374" spans="2:8">
      <c r="B2374" s="17" t="s">
        <v>8317</v>
      </c>
      <c r="C2374" s="246" t="s">
        <v>2884</v>
      </c>
      <c r="D2374" s="18">
        <v>0</v>
      </c>
      <c r="E2374" s="18">
        <v>0</v>
      </c>
      <c r="F2374" s="18">
        <v>0</v>
      </c>
      <c r="G2374" s="18">
        <v>0</v>
      </c>
      <c r="H2374" s="18">
        <v>0</v>
      </c>
    </row>
    <row r="2375" spans="2:8">
      <c r="B2375" s="14" t="s">
        <v>8318</v>
      </c>
      <c r="C2375" s="245" t="s">
        <v>2885</v>
      </c>
      <c r="D2375" s="15">
        <v>0</v>
      </c>
      <c r="E2375" s="15">
        <v>0</v>
      </c>
      <c r="F2375" s="15">
        <v>0</v>
      </c>
      <c r="G2375" s="15">
        <v>0</v>
      </c>
      <c r="H2375" s="15">
        <v>0</v>
      </c>
    </row>
    <row r="2376" spans="2:8">
      <c r="B2376" s="17" t="s">
        <v>8319</v>
      </c>
      <c r="C2376" s="246" t="s">
        <v>2886</v>
      </c>
      <c r="D2376" s="18">
        <v>0</v>
      </c>
      <c r="E2376" s="18">
        <v>0</v>
      </c>
      <c r="F2376" s="18">
        <v>0</v>
      </c>
      <c r="G2376" s="18">
        <v>0</v>
      </c>
      <c r="H2376" s="18">
        <v>0</v>
      </c>
    </row>
    <row r="2377" spans="2:8">
      <c r="B2377" s="14" t="s">
        <v>8320</v>
      </c>
      <c r="C2377" s="245" t="s">
        <v>2887</v>
      </c>
      <c r="D2377" s="15">
        <v>0</v>
      </c>
      <c r="E2377" s="15">
        <v>0</v>
      </c>
      <c r="F2377" s="15">
        <v>0</v>
      </c>
      <c r="G2377" s="15">
        <v>0</v>
      </c>
      <c r="H2377" s="15">
        <v>0</v>
      </c>
    </row>
    <row r="2378" spans="2:8">
      <c r="B2378" s="17" t="s">
        <v>8321</v>
      </c>
      <c r="C2378" s="246" t="s">
        <v>2888</v>
      </c>
      <c r="D2378" s="18">
        <v>0</v>
      </c>
      <c r="E2378" s="18">
        <v>0</v>
      </c>
      <c r="F2378" s="18">
        <v>0</v>
      </c>
      <c r="G2378" s="18">
        <v>0</v>
      </c>
      <c r="H2378" s="18">
        <v>0</v>
      </c>
    </row>
    <row r="2379" spans="2:8">
      <c r="B2379" s="14" t="s">
        <v>8322</v>
      </c>
      <c r="C2379" s="245" t="s">
        <v>820</v>
      </c>
      <c r="D2379" s="15">
        <v>0</v>
      </c>
      <c r="E2379" s="15">
        <v>36</v>
      </c>
      <c r="F2379" s="15">
        <v>0</v>
      </c>
      <c r="G2379" s="15">
        <v>0</v>
      </c>
      <c r="H2379" s="15">
        <v>0</v>
      </c>
    </row>
    <row r="2380" spans="2:8">
      <c r="B2380" s="17" t="s">
        <v>8323</v>
      </c>
      <c r="C2380" s="246" t="s">
        <v>2889</v>
      </c>
      <c r="D2380" s="18">
        <v>4</v>
      </c>
      <c r="E2380" s="18">
        <v>0</v>
      </c>
      <c r="F2380" s="18">
        <v>6</v>
      </c>
      <c r="G2380" s="18">
        <v>0</v>
      </c>
      <c r="H2380" s="18">
        <v>0</v>
      </c>
    </row>
    <row r="2381" spans="2:8">
      <c r="B2381" s="14" t="s">
        <v>8324</v>
      </c>
      <c r="C2381" s="245" t="s">
        <v>2890</v>
      </c>
      <c r="D2381" s="15">
        <v>0</v>
      </c>
      <c r="E2381" s="15">
        <v>0</v>
      </c>
      <c r="F2381" s="15">
        <v>0</v>
      </c>
      <c r="G2381" s="15">
        <v>0</v>
      </c>
      <c r="H2381" s="15">
        <v>0</v>
      </c>
    </row>
    <row r="2382" spans="2:8">
      <c r="B2382" s="17" t="s">
        <v>8325</v>
      </c>
      <c r="C2382" s="246" t="s">
        <v>2891</v>
      </c>
      <c r="D2382" s="18">
        <v>0</v>
      </c>
      <c r="E2382" s="18">
        <v>0</v>
      </c>
      <c r="F2382" s="18">
        <v>0</v>
      </c>
      <c r="G2382" s="18">
        <v>0</v>
      </c>
      <c r="H2382" s="18">
        <v>0</v>
      </c>
    </row>
    <row r="2383" spans="2:8">
      <c r="B2383" s="14" t="s">
        <v>8326</v>
      </c>
      <c r="C2383" s="245" t="s">
        <v>2892</v>
      </c>
      <c r="D2383" s="15">
        <v>0</v>
      </c>
      <c r="E2383" s="15">
        <v>6</v>
      </c>
      <c r="F2383" s="15">
        <v>0</v>
      </c>
      <c r="G2383" s="15">
        <v>9</v>
      </c>
      <c r="H2383" s="15">
        <v>0</v>
      </c>
    </row>
    <row r="2384" spans="2:8">
      <c r="B2384" s="17" t="s">
        <v>8327</v>
      </c>
      <c r="C2384" s="246" t="s">
        <v>2893</v>
      </c>
      <c r="D2384" s="18">
        <v>0</v>
      </c>
      <c r="E2384" s="18">
        <v>0</v>
      </c>
      <c r="F2384" s="18">
        <v>0</v>
      </c>
      <c r="G2384" s="18">
        <v>0</v>
      </c>
      <c r="H2384" s="18">
        <v>0</v>
      </c>
    </row>
    <row r="2385" spans="2:8">
      <c r="B2385" s="14" t="s">
        <v>8328</v>
      </c>
      <c r="C2385" s="245" t="s">
        <v>2894</v>
      </c>
      <c r="D2385" s="15">
        <v>0</v>
      </c>
      <c r="E2385" s="15">
        <v>0</v>
      </c>
      <c r="F2385" s="15">
        <v>0</v>
      </c>
      <c r="G2385" s="15">
        <v>0</v>
      </c>
      <c r="H2385" s="15">
        <v>0</v>
      </c>
    </row>
    <row r="2386" spans="2:8">
      <c r="B2386" s="17" t="s">
        <v>8329</v>
      </c>
      <c r="C2386" s="246" t="s">
        <v>2895</v>
      </c>
      <c r="D2386" s="18">
        <v>0</v>
      </c>
      <c r="E2386" s="18">
        <v>0</v>
      </c>
      <c r="F2386" s="18">
        <v>0</v>
      </c>
      <c r="G2386" s="18">
        <v>0</v>
      </c>
      <c r="H2386" s="18">
        <v>0</v>
      </c>
    </row>
    <row r="2387" spans="2:8">
      <c r="B2387" s="14" t="s">
        <v>8330</v>
      </c>
      <c r="C2387" s="245" t="s">
        <v>2896</v>
      </c>
      <c r="D2387" s="15">
        <v>0</v>
      </c>
      <c r="E2387" s="15">
        <v>0</v>
      </c>
      <c r="F2387" s="15">
        <v>0</v>
      </c>
      <c r="G2387" s="15">
        <v>0</v>
      </c>
      <c r="H2387" s="15">
        <v>0</v>
      </c>
    </row>
    <row r="2388" spans="2:8">
      <c r="B2388" s="17" t="s">
        <v>8331</v>
      </c>
      <c r="C2388" s="246" t="s">
        <v>2897</v>
      </c>
      <c r="D2388" s="18">
        <v>47</v>
      </c>
      <c r="E2388" s="18">
        <v>0</v>
      </c>
      <c r="F2388" s="18">
        <v>0</v>
      </c>
      <c r="G2388" s="18">
        <v>0</v>
      </c>
      <c r="H2388" s="18">
        <v>0</v>
      </c>
    </row>
    <row r="2389" spans="2:8">
      <c r="B2389" s="14" t="s">
        <v>8332</v>
      </c>
      <c r="C2389" s="245" t="s">
        <v>2898</v>
      </c>
      <c r="D2389" s="15">
        <v>0</v>
      </c>
      <c r="E2389" s="15">
        <v>0</v>
      </c>
      <c r="F2389" s="15">
        <v>0</v>
      </c>
      <c r="G2389" s="15">
        <v>0</v>
      </c>
      <c r="H2389" s="15">
        <v>0</v>
      </c>
    </row>
    <row r="2390" spans="2:8">
      <c r="B2390" s="17" t="s">
        <v>8333</v>
      </c>
      <c r="C2390" s="246" t="s">
        <v>2899</v>
      </c>
      <c r="D2390" s="18">
        <v>0</v>
      </c>
      <c r="E2390" s="18">
        <v>0</v>
      </c>
      <c r="F2390" s="18">
        <v>0</v>
      </c>
      <c r="G2390" s="18">
        <v>0</v>
      </c>
      <c r="H2390" s="18">
        <v>0</v>
      </c>
    </row>
    <row r="2391" spans="2:8">
      <c r="B2391" s="14" t="s">
        <v>8334</v>
      </c>
      <c r="C2391" s="245" t="s">
        <v>2900</v>
      </c>
      <c r="D2391" s="15">
        <v>0</v>
      </c>
      <c r="E2391" s="15">
        <v>0</v>
      </c>
      <c r="F2391" s="15">
        <v>0</v>
      </c>
      <c r="G2391" s="15">
        <v>0</v>
      </c>
      <c r="H2391" s="15">
        <v>0</v>
      </c>
    </row>
    <row r="2392" spans="2:8">
      <c r="B2392" s="17" t="s">
        <v>8335</v>
      </c>
      <c r="C2392" s="246" t="s">
        <v>2901</v>
      </c>
      <c r="D2392" s="18">
        <v>0</v>
      </c>
      <c r="E2392" s="18">
        <v>0</v>
      </c>
      <c r="F2392" s="18">
        <v>0</v>
      </c>
      <c r="G2392" s="18">
        <v>0</v>
      </c>
      <c r="H2392" s="18">
        <v>0</v>
      </c>
    </row>
    <row r="2393" spans="2:8">
      <c r="B2393" s="14" t="s">
        <v>8336</v>
      </c>
      <c r="C2393" s="245" t="s">
        <v>2902</v>
      </c>
      <c r="D2393" s="15">
        <v>0</v>
      </c>
      <c r="E2393" s="15">
        <v>0</v>
      </c>
      <c r="F2393" s="15">
        <v>0</v>
      </c>
      <c r="G2393" s="15">
        <v>0</v>
      </c>
      <c r="H2393" s="15">
        <v>0</v>
      </c>
    </row>
    <row r="2394" spans="2:8">
      <c r="B2394" s="17" t="s">
        <v>8337</v>
      </c>
      <c r="C2394" s="246" t="s">
        <v>2903</v>
      </c>
      <c r="D2394" s="18">
        <v>0</v>
      </c>
      <c r="E2394" s="18">
        <v>0</v>
      </c>
      <c r="F2394" s="18">
        <v>0</v>
      </c>
      <c r="G2394" s="18">
        <v>0</v>
      </c>
      <c r="H2394" s="18">
        <v>0</v>
      </c>
    </row>
    <row r="2395" spans="2:8">
      <c r="B2395" s="14" t="s">
        <v>8338</v>
      </c>
      <c r="C2395" s="245" t="s">
        <v>2904</v>
      </c>
      <c r="D2395" s="15">
        <v>0</v>
      </c>
      <c r="E2395" s="15">
        <v>0</v>
      </c>
      <c r="F2395" s="15">
        <v>0</v>
      </c>
      <c r="G2395" s="15">
        <v>0</v>
      </c>
      <c r="H2395" s="15">
        <v>0</v>
      </c>
    </row>
    <row r="2396" spans="2:8">
      <c r="B2396" s="17" t="s">
        <v>8339</v>
      </c>
      <c r="C2396" s="246" t="s">
        <v>2905</v>
      </c>
      <c r="D2396" s="18">
        <v>0</v>
      </c>
      <c r="E2396" s="18">
        <v>0</v>
      </c>
      <c r="F2396" s="18">
        <v>0</v>
      </c>
      <c r="G2396" s="18">
        <v>0</v>
      </c>
      <c r="H2396" s="18">
        <v>0</v>
      </c>
    </row>
    <row r="2397" spans="2:8">
      <c r="B2397" s="14" t="s">
        <v>8340</v>
      </c>
      <c r="C2397" s="245" t="s">
        <v>2906</v>
      </c>
      <c r="D2397" s="15">
        <v>0</v>
      </c>
      <c r="E2397" s="15">
        <v>0</v>
      </c>
      <c r="F2397" s="15">
        <v>0</v>
      </c>
      <c r="G2397" s="15">
        <v>0</v>
      </c>
      <c r="H2397" s="15">
        <v>0</v>
      </c>
    </row>
    <row r="2398" spans="2:8">
      <c r="B2398" s="17" t="s">
        <v>8341</v>
      </c>
      <c r="C2398" s="246" t="s">
        <v>2907</v>
      </c>
      <c r="D2398" s="18">
        <v>0</v>
      </c>
      <c r="E2398" s="18">
        <v>0</v>
      </c>
      <c r="F2398" s="18">
        <v>0</v>
      </c>
      <c r="G2398" s="18">
        <v>2</v>
      </c>
      <c r="H2398" s="18">
        <v>0</v>
      </c>
    </row>
    <row r="2399" spans="2:8">
      <c r="B2399" s="14" t="s">
        <v>8342</v>
      </c>
      <c r="C2399" s="245" t="s">
        <v>2908</v>
      </c>
      <c r="D2399" s="15">
        <v>0</v>
      </c>
      <c r="E2399" s="15">
        <v>0</v>
      </c>
      <c r="F2399" s="15">
        <v>0</v>
      </c>
      <c r="G2399" s="15">
        <v>0</v>
      </c>
      <c r="H2399" s="15">
        <v>0</v>
      </c>
    </row>
    <row r="2400" spans="2:8">
      <c r="B2400" s="17" t="s">
        <v>8343</v>
      </c>
      <c r="C2400" s="246" t="s">
        <v>2909</v>
      </c>
      <c r="D2400" s="18">
        <v>0</v>
      </c>
      <c r="E2400" s="18">
        <v>0</v>
      </c>
      <c r="F2400" s="18">
        <v>0</v>
      </c>
      <c r="G2400" s="18">
        <v>0</v>
      </c>
      <c r="H2400" s="18">
        <v>0</v>
      </c>
    </row>
    <row r="2401" spans="2:8">
      <c r="B2401" s="14" t="s">
        <v>8344</v>
      </c>
      <c r="C2401" s="245" t="s">
        <v>2910</v>
      </c>
      <c r="D2401" s="15">
        <v>0</v>
      </c>
      <c r="E2401" s="15">
        <v>0</v>
      </c>
      <c r="F2401" s="15">
        <v>0</v>
      </c>
      <c r="G2401" s="15">
        <v>0</v>
      </c>
      <c r="H2401" s="15">
        <v>0</v>
      </c>
    </row>
    <row r="2402" spans="2:8">
      <c r="B2402" s="17" t="s">
        <v>8345</v>
      </c>
      <c r="C2402" s="246" t="s">
        <v>2911</v>
      </c>
      <c r="D2402" s="18">
        <v>0</v>
      </c>
      <c r="E2402" s="18">
        <v>0</v>
      </c>
      <c r="F2402" s="18">
        <v>0</v>
      </c>
      <c r="G2402" s="18">
        <v>0</v>
      </c>
      <c r="H2402" s="18">
        <v>0</v>
      </c>
    </row>
    <row r="2403" spans="2:8">
      <c r="B2403" s="14" t="s">
        <v>8346</v>
      </c>
      <c r="C2403" s="245" t="s">
        <v>2912</v>
      </c>
      <c r="D2403" s="15">
        <v>0</v>
      </c>
      <c r="E2403" s="15">
        <v>0</v>
      </c>
      <c r="F2403" s="15">
        <v>0</v>
      </c>
      <c r="G2403" s="15">
        <v>0</v>
      </c>
      <c r="H2403" s="15">
        <v>0</v>
      </c>
    </row>
    <row r="2404" spans="2:8">
      <c r="B2404" s="17" t="s">
        <v>8347</v>
      </c>
      <c r="C2404" s="246" t="s">
        <v>2913</v>
      </c>
      <c r="D2404" s="18">
        <v>0</v>
      </c>
      <c r="E2404" s="18">
        <v>0</v>
      </c>
      <c r="F2404" s="18">
        <v>0</v>
      </c>
      <c r="G2404" s="18">
        <v>0</v>
      </c>
      <c r="H2404" s="18">
        <v>0</v>
      </c>
    </row>
    <row r="2405" spans="2:8">
      <c r="B2405" s="14" t="s">
        <v>8348</v>
      </c>
      <c r="C2405" s="245" t="s">
        <v>2914</v>
      </c>
      <c r="D2405" s="15">
        <v>0</v>
      </c>
      <c r="E2405" s="15">
        <v>0</v>
      </c>
      <c r="F2405" s="15">
        <v>0</v>
      </c>
      <c r="G2405" s="15">
        <v>0</v>
      </c>
      <c r="H2405" s="15">
        <v>0</v>
      </c>
    </row>
    <row r="2406" spans="2:8">
      <c r="B2406" s="17" t="s">
        <v>8349</v>
      </c>
      <c r="C2406" s="246" t="s">
        <v>2915</v>
      </c>
      <c r="D2406" s="18">
        <v>0</v>
      </c>
      <c r="E2406" s="18">
        <v>0</v>
      </c>
      <c r="F2406" s="18">
        <v>0</v>
      </c>
      <c r="G2406" s="18">
        <v>0</v>
      </c>
      <c r="H2406" s="18">
        <v>0</v>
      </c>
    </row>
    <row r="2407" spans="2:8">
      <c r="B2407" s="14" t="s">
        <v>8350</v>
      </c>
      <c r="C2407" s="245" t="s">
        <v>2916</v>
      </c>
      <c r="D2407" s="15">
        <v>0</v>
      </c>
      <c r="E2407" s="15">
        <v>0</v>
      </c>
      <c r="F2407" s="15">
        <v>0</v>
      </c>
      <c r="G2407" s="15">
        <v>0</v>
      </c>
      <c r="H2407" s="15">
        <v>0</v>
      </c>
    </row>
    <row r="2408" spans="2:8">
      <c r="B2408" s="17" t="s">
        <v>8351</v>
      </c>
      <c r="C2408" s="246" t="s">
        <v>2917</v>
      </c>
      <c r="D2408" s="18">
        <v>0</v>
      </c>
      <c r="E2408" s="18">
        <v>0</v>
      </c>
      <c r="F2408" s="18">
        <v>0</v>
      </c>
      <c r="G2408" s="18">
        <v>0</v>
      </c>
      <c r="H2408" s="18">
        <v>0</v>
      </c>
    </row>
    <row r="2409" spans="2:8">
      <c r="B2409" s="14" t="s">
        <v>8352</v>
      </c>
      <c r="C2409" s="245" t="s">
        <v>2918</v>
      </c>
      <c r="D2409" s="15">
        <v>4</v>
      </c>
      <c r="E2409" s="15">
        <v>7</v>
      </c>
      <c r="F2409" s="15">
        <v>7</v>
      </c>
      <c r="G2409" s="15">
        <v>0</v>
      </c>
      <c r="H2409" s="15">
        <v>0</v>
      </c>
    </row>
    <row r="2410" spans="2:8">
      <c r="B2410" s="17" t="s">
        <v>8353</v>
      </c>
      <c r="C2410" s="246" t="s">
        <v>2919</v>
      </c>
      <c r="D2410" s="18">
        <v>0</v>
      </c>
      <c r="E2410" s="18">
        <v>47</v>
      </c>
      <c r="F2410" s="18">
        <v>0</v>
      </c>
      <c r="G2410" s="18">
        <v>146</v>
      </c>
      <c r="H2410" s="18">
        <v>0</v>
      </c>
    </row>
    <row r="2411" spans="2:8">
      <c r="B2411" s="14" t="s">
        <v>8354</v>
      </c>
      <c r="C2411" s="245" t="s">
        <v>2920</v>
      </c>
      <c r="D2411" s="15">
        <v>0</v>
      </c>
      <c r="E2411" s="15">
        <v>0</v>
      </c>
      <c r="F2411" s="15">
        <v>0</v>
      </c>
      <c r="G2411" s="15">
        <v>0</v>
      </c>
      <c r="H2411" s="15">
        <v>0</v>
      </c>
    </row>
    <row r="2412" spans="2:8">
      <c r="B2412" s="17" t="s">
        <v>8355</v>
      </c>
      <c r="C2412" s="246" t="s">
        <v>2921</v>
      </c>
      <c r="D2412" s="18">
        <v>0</v>
      </c>
      <c r="E2412" s="18">
        <v>0</v>
      </c>
      <c r="F2412" s="18">
        <v>0</v>
      </c>
      <c r="G2412" s="18">
        <v>0</v>
      </c>
      <c r="H2412" s="18">
        <v>0</v>
      </c>
    </row>
    <row r="2413" spans="2:8">
      <c r="B2413" s="14" t="s">
        <v>8356</v>
      </c>
      <c r="C2413" s="245" t="s">
        <v>2922</v>
      </c>
      <c r="D2413" s="15">
        <v>0</v>
      </c>
      <c r="E2413" s="15">
        <v>0</v>
      </c>
      <c r="F2413" s="15">
        <v>0</v>
      </c>
      <c r="G2413" s="15">
        <v>0</v>
      </c>
      <c r="H2413" s="15">
        <v>0</v>
      </c>
    </row>
    <row r="2414" spans="2:8">
      <c r="B2414" s="17" t="s">
        <v>8357</v>
      </c>
      <c r="C2414" s="246" t="s">
        <v>2923</v>
      </c>
      <c r="D2414" s="18">
        <v>460</v>
      </c>
      <c r="E2414" s="18">
        <v>0</v>
      </c>
      <c r="F2414" s="18">
        <v>0</v>
      </c>
      <c r="G2414" s="18">
        <v>25</v>
      </c>
      <c r="H2414" s="18">
        <v>0</v>
      </c>
    </row>
    <row r="2415" spans="2:8">
      <c r="B2415" s="14" t="s">
        <v>8358</v>
      </c>
      <c r="C2415" s="245" t="s">
        <v>2924</v>
      </c>
      <c r="D2415" s="15">
        <v>0</v>
      </c>
      <c r="E2415" s="15">
        <v>5</v>
      </c>
      <c r="F2415" s="15">
        <v>0</v>
      </c>
      <c r="G2415" s="15">
        <v>67</v>
      </c>
      <c r="H2415" s="15">
        <v>0</v>
      </c>
    </row>
    <row r="2416" spans="2:8">
      <c r="B2416" s="17" t="s">
        <v>8359</v>
      </c>
      <c r="C2416" s="246" t="s">
        <v>2925</v>
      </c>
      <c r="D2416" s="18">
        <v>0</v>
      </c>
      <c r="E2416" s="18">
        <v>0</v>
      </c>
      <c r="F2416" s="18">
        <v>0</v>
      </c>
      <c r="G2416" s="18">
        <v>64</v>
      </c>
      <c r="H2416" s="18">
        <v>0</v>
      </c>
    </row>
    <row r="2417" spans="2:8">
      <c r="B2417" s="14" t="s">
        <v>8360</v>
      </c>
      <c r="C2417" s="245" t="s">
        <v>2926</v>
      </c>
      <c r="D2417" s="15">
        <v>0</v>
      </c>
      <c r="E2417" s="15">
        <v>0</v>
      </c>
      <c r="F2417" s="15">
        <v>0</v>
      </c>
      <c r="G2417" s="15">
        <v>0</v>
      </c>
      <c r="H2417" s="15">
        <v>0</v>
      </c>
    </row>
    <row r="2418" spans="2:8">
      <c r="B2418" s="17" t="s">
        <v>8361</v>
      </c>
      <c r="C2418" s="246" t="s">
        <v>2927</v>
      </c>
      <c r="D2418" s="18">
        <v>0</v>
      </c>
      <c r="E2418" s="18">
        <v>0</v>
      </c>
      <c r="F2418" s="18">
        <v>0</v>
      </c>
      <c r="G2418" s="18">
        <v>0</v>
      </c>
      <c r="H2418" s="18">
        <v>0</v>
      </c>
    </row>
    <row r="2419" spans="2:8">
      <c r="B2419" s="14" t="s">
        <v>8362</v>
      </c>
      <c r="C2419" s="245" t="s">
        <v>2928</v>
      </c>
      <c r="D2419" s="15">
        <v>0</v>
      </c>
      <c r="E2419" s="15">
        <v>0</v>
      </c>
      <c r="F2419" s="15">
        <v>0</v>
      </c>
      <c r="G2419" s="15">
        <v>0</v>
      </c>
      <c r="H2419" s="15">
        <v>0</v>
      </c>
    </row>
    <row r="2420" spans="2:8">
      <c r="B2420" s="17" t="s">
        <v>8363</v>
      </c>
      <c r="C2420" s="246" t="s">
        <v>2929</v>
      </c>
      <c r="D2420" s="18">
        <v>0</v>
      </c>
      <c r="E2420" s="18">
        <v>0</v>
      </c>
      <c r="F2420" s="18">
        <v>0</v>
      </c>
      <c r="G2420" s="18">
        <v>0</v>
      </c>
      <c r="H2420" s="18">
        <v>0</v>
      </c>
    </row>
    <row r="2421" spans="2:8">
      <c r="B2421" s="14" t="s">
        <v>8364</v>
      </c>
      <c r="C2421" s="245" t="s">
        <v>2930</v>
      </c>
      <c r="D2421" s="15">
        <v>0</v>
      </c>
      <c r="E2421" s="15">
        <v>0</v>
      </c>
      <c r="F2421" s="15">
        <v>0</v>
      </c>
      <c r="G2421" s="15">
        <v>0</v>
      </c>
      <c r="H2421" s="15">
        <v>0</v>
      </c>
    </row>
    <row r="2422" spans="2:8">
      <c r="B2422" s="17" t="s">
        <v>8365</v>
      </c>
      <c r="C2422" s="246" t="s">
        <v>2931</v>
      </c>
      <c r="D2422" s="18">
        <v>0</v>
      </c>
      <c r="E2422" s="18">
        <v>0</v>
      </c>
      <c r="F2422" s="18">
        <v>0</v>
      </c>
      <c r="G2422" s="18">
        <v>0</v>
      </c>
      <c r="H2422" s="18">
        <v>0</v>
      </c>
    </row>
    <row r="2423" spans="2:8">
      <c r="B2423" s="14" t="s">
        <v>8366</v>
      </c>
      <c r="C2423" s="245" t="s">
        <v>2932</v>
      </c>
      <c r="D2423" s="15">
        <v>0</v>
      </c>
      <c r="E2423" s="15">
        <v>0</v>
      </c>
      <c r="F2423" s="15">
        <v>0</v>
      </c>
      <c r="G2423" s="15">
        <v>0</v>
      </c>
      <c r="H2423" s="15">
        <v>0</v>
      </c>
    </row>
    <row r="2424" spans="2:8">
      <c r="B2424" s="17" t="s">
        <v>8367</v>
      </c>
      <c r="C2424" s="246" t="s">
        <v>2933</v>
      </c>
      <c r="D2424" s="18">
        <v>0</v>
      </c>
      <c r="E2424" s="18">
        <v>0</v>
      </c>
      <c r="F2424" s="18">
        <v>0</v>
      </c>
      <c r="G2424" s="18">
        <v>0</v>
      </c>
      <c r="H2424" s="18">
        <v>0</v>
      </c>
    </row>
    <row r="2425" spans="2:8">
      <c r="B2425" s="14" t="s">
        <v>8368</v>
      </c>
      <c r="C2425" s="245" t="s">
        <v>2934</v>
      </c>
      <c r="D2425" s="15">
        <v>0</v>
      </c>
      <c r="E2425" s="15">
        <v>0</v>
      </c>
      <c r="F2425" s="15">
        <v>0</v>
      </c>
      <c r="G2425" s="15">
        <v>0</v>
      </c>
      <c r="H2425" s="15">
        <v>0</v>
      </c>
    </row>
    <row r="2426" spans="2:8">
      <c r="B2426" s="17" t="s">
        <v>8369</v>
      </c>
      <c r="C2426" s="246" t="s">
        <v>2935</v>
      </c>
      <c r="D2426" s="18">
        <v>0</v>
      </c>
      <c r="E2426" s="18">
        <v>0</v>
      </c>
      <c r="F2426" s="18">
        <v>0</v>
      </c>
      <c r="G2426" s="18">
        <v>0</v>
      </c>
      <c r="H2426" s="18">
        <v>0</v>
      </c>
    </row>
    <row r="2427" spans="2:8">
      <c r="B2427" s="14" t="s">
        <v>8370</v>
      </c>
      <c r="C2427" s="245" t="s">
        <v>2936</v>
      </c>
      <c r="D2427" s="15">
        <v>0</v>
      </c>
      <c r="E2427" s="15">
        <v>0</v>
      </c>
      <c r="F2427" s="15">
        <v>0</v>
      </c>
      <c r="G2427" s="15">
        <v>0</v>
      </c>
      <c r="H2427" s="15">
        <v>0</v>
      </c>
    </row>
    <row r="2428" spans="2:8">
      <c r="B2428" s="17" t="s">
        <v>8371</v>
      </c>
      <c r="C2428" s="246" t="s">
        <v>2937</v>
      </c>
      <c r="D2428" s="18">
        <v>0</v>
      </c>
      <c r="E2428" s="18">
        <v>0</v>
      </c>
      <c r="F2428" s="18">
        <v>0</v>
      </c>
      <c r="G2428" s="18">
        <v>0</v>
      </c>
      <c r="H2428" s="18">
        <v>0</v>
      </c>
    </row>
    <row r="2429" spans="2:8">
      <c r="B2429" s="14" t="s">
        <v>8372</v>
      </c>
      <c r="C2429" s="245" t="s">
        <v>2938</v>
      </c>
      <c r="D2429" s="15">
        <v>0</v>
      </c>
      <c r="E2429" s="15">
        <v>0</v>
      </c>
      <c r="F2429" s="15">
        <v>0</v>
      </c>
      <c r="G2429" s="15">
        <v>0</v>
      </c>
      <c r="H2429" s="15">
        <v>0</v>
      </c>
    </row>
    <row r="2430" spans="2:8">
      <c r="B2430" s="17" t="s">
        <v>8373</v>
      </c>
      <c r="C2430" s="246" t="s">
        <v>2939</v>
      </c>
      <c r="D2430" s="18">
        <v>0</v>
      </c>
      <c r="E2430" s="18">
        <v>0</v>
      </c>
      <c r="F2430" s="18">
        <v>0</v>
      </c>
      <c r="G2430" s="18">
        <v>0</v>
      </c>
      <c r="H2430" s="18">
        <v>0</v>
      </c>
    </row>
    <row r="2431" spans="2:8">
      <c r="B2431" s="14" t="s">
        <v>8374</v>
      </c>
      <c r="C2431" s="245" t="s">
        <v>2940</v>
      </c>
      <c r="D2431" s="15">
        <v>0</v>
      </c>
      <c r="E2431" s="15">
        <v>0</v>
      </c>
      <c r="F2431" s="15">
        <v>0</v>
      </c>
      <c r="G2431" s="15">
        <v>0</v>
      </c>
      <c r="H2431" s="15">
        <v>0</v>
      </c>
    </row>
    <row r="2432" spans="2:8">
      <c r="B2432" s="17" t="s">
        <v>8375</v>
      </c>
      <c r="C2432" s="246" t="s">
        <v>2941</v>
      </c>
      <c r="D2432" s="18">
        <v>0</v>
      </c>
      <c r="E2432" s="18">
        <v>0</v>
      </c>
      <c r="F2432" s="18">
        <v>0</v>
      </c>
      <c r="G2432" s="18">
        <v>0</v>
      </c>
      <c r="H2432" s="18">
        <v>0</v>
      </c>
    </row>
    <row r="2433" spans="2:8">
      <c r="B2433" s="14" t="s">
        <v>8376</v>
      </c>
      <c r="C2433" s="245" t="s">
        <v>2942</v>
      </c>
      <c r="D2433" s="15">
        <v>0</v>
      </c>
      <c r="E2433" s="15">
        <v>0</v>
      </c>
      <c r="F2433" s="15">
        <v>0</v>
      </c>
      <c r="G2433" s="15">
        <v>0</v>
      </c>
      <c r="H2433" s="15">
        <v>0</v>
      </c>
    </row>
    <row r="2434" spans="2:8">
      <c r="B2434" s="17" t="s">
        <v>8377</v>
      </c>
      <c r="C2434" s="246" t="s">
        <v>2943</v>
      </c>
      <c r="D2434" s="18">
        <v>0</v>
      </c>
      <c r="E2434" s="18">
        <v>0</v>
      </c>
      <c r="F2434" s="18">
        <v>0</v>
      </c>
      <c r="G2434" s="18">
        <v>0</v>
      </c>
      <c r="H2434" s="18">
        <v>0</v>
      </c>
    </row>
    <row r="2435" spans="2:8">
      <c r="B2435" s="14" t="s">
        <v>8378</v>
      </c>
      <c r="C2435" s="245" t="s">
        <v>2944</v>
      </c>
      <c r="D2435" s="15">
        <v>0</v>
      </c>
      <c r="E2435" s="15">
        <v>0</v>
      </c>
      <c r="F2435" s="15">
        <v>0</v>
      </c>
      <c r="G2435" s="15">
        <v>1</v>
      </c>
      <c r="H2435" s="15">
        <v>0</v>
      </c>
    </row>
    <row r="2436" spans="2:8">
      <c r="B2436" s="17" t="s">
        <v>8379</v>
      </c>
      <c r="C2436" s="246" t="s">
        <v>2945</v>
      </c>
      <c r="D2436" s="18">
        <v>0</v>
      </c>
      <c r="E2436" s="18">
        <v>0</v>
      </c>
      <c r="F2436" s="18">
        <v>2</v>
      </c>
      <c r="G2436" s="18">
        <v>2</v>
      </c>
      <c r="H2436" s="18">
        <v>0</v>
      </c>
    </row>
    <row r="2437" spans="2:8">
      <c r="B2437" s="14" t="s">
        <v>8380</v>
      </c>
      <c r="C2437" s="245" t="s">
        <v>2946</v>
      </c>
      <c r="D2437" s="15">
        <v>0</v>
      </c>
      <c r="E2437" s="15">
        <v>0</v>
      </c>
      <c r="F2437" s="15">
        <v>0</v>
      </c>
      <c r="G2437" s="15">
        <v>0</v>
      </c>
      <c r="H2437" s="15">
        <v>0</v>
      </c>
    </row>
    <row r="2438" spans="2:8">
      <c r="B2438" s="17" t="s">
        <v>8381</v>
      </c>
      <c r="C2438" s="246" t="s">
        <v>2947</v>
      </c>
      <c r="D2438" s="18">
        <v>0</v>
      </c>
      <c r="E2438" s="18">
        <v>0</v>
      </c>
      <c r="F2438" s="18">
        <v>0</v>
      </c>
      <c r="G2438" s="18">
        <v>0</v>
      </c>
      <c r="H2438" s="18">
        <v>0</v>
      </c>
    </row>
    <row r="2439" spans="2:8">
      <c r="B2439" s="14" t="s">
        <v>8382</v>
      </c>
      <c r="C2439" s="245" t="s">
        <v>2948</v>
      </c>
      <c r="D2439" s="15">
        <v>0</v>
      </c>
      <c r="E2439" s="15">
        <v>0</v>
      </c>
      <c r="F2439" s="15">
        <v>0</v>
      </c>
      <c r="G2439" s="15">
        <v>0</v>
      </c>
      <c r="H2439" s="15">
        <v>0</v>
      </c>
    </row>
    <row r="2440" spans="2:8">
      <c r="B2440" s="17" t="s">
        <v>8383</v>
      </c>
      <c r="C2440" s="246" t="s">
        <v>2949</v>
      </c>
      <c r="D2440" s="18">
        <v>0</v>
      </c>
      <c r="E2440" s="18">
        <v>0</v>
      </c>
      <c r="F2440" s="18">
        <v>0</v>
      </c>
      <c r="G2440" s="18">
        <v>0</v>
      </c>
      <c r="H2440" s="18">
        <v>0</v>
      </c>
    </row>
    <row r="2441" spans="2:8">
      <c r="B2441" s="14" t="s">
        <v>8384</v>
      </c>
      <c r="C2441" s="245" t="s">
        <v>2950</v>
      </c>
      <c r="D2441" s="15">
        <v>0</v>
      </c>
      <c r="E2441" s="15">
        <v>0</v>
      </c>
      <c r="F2441" s="15">
        <v>0</v>
      </c>
      <c r="G2441" s="15">
        <v>0</v>
      </c>
      <c r="H2441" s="15">
        <v>0</v>
      </c>
    </row>
    <row r="2442" spans="2:8">
      <c r="B2442" s="17" t="s">
        <v>8385</v>
      </c>
      <c r="C2442" s="246" t="s">
        <v>2951</v>
      </c>
      <c r="D2442" s="18">
        <v>0</v>
      </c>
      <c r="E2442" s="18">
        <v>0</v>
      </c>
      <c r="F2442" s="18">
        <v>0</v>
      </c>
      <c r="G2442" s="18">
        <v>0</v>
      </c>
      <c r="H2442" s="18">
        <v>0</v>
      </c>
    </row>
    <row r="2443" spans="2:8">
      <c r="B2443" s="14" t="s">
        <v>8386</v>
      </c>
      <c r="C2443" s="245" t="s">
        <v>2952</v>
      </c>
      <c r="D2443" s="15">
        <v>0</v>
      </c>
      <c r="E2443" s="15">
        <v>0</v>
      </c>
      <c r="F2443" s="15">
        <v>0</v>
      </c>
      <c r="G2443" s="15">
        <v>0</v>
      </c>
      <c r="H2443" s="15">
        <v>0</v>
      </c>
    </row>
    <row r="2444" spans="2:8">
      <c r="B2444" s="17" t="s">
        <v>8387</v>
      </c>
      <c r="C2444" s="246" t="s">
        <v>2953</v>
      </c>
      <c r="D2444" s="18">
        <v>4</v>
      </c>
      <c r="E2444" s="18">
        <v>0</v>
      </c>
      <c r="F2444" s="18">
        <v>0</v>
      </c>
      <c r="G2444" s="18">
        <v>0</v>
      </c>
      <c r="H2444" s="18">
        <v>0</v>
      </c>
    </row>
    <row r="2445" spans="2:8">
      <c r="B2445" s="14" t="s">
        <v>8388</v>
      </c>
      <c r="C2445" s="245" t="s">
        <v>2954</v>
      </c>
      <c r="D2445" s="15">
        <v>0</v>
      </c>
      <c r="E2445" s="15">
        <v>0</v>
      </c>
      <c r="F2445" s="15">
        <v>0</v>
      </c>
      <c r="G2445" s="15">
        <v>0</v>
      </c>
      <c r="H2445" s="15">
        <v>0</v>
      </c>
    </row>
    <row r="2446" spans="2:8">
      <c r="B2446" s="17" t="s">
        <v>8389</v>
      </c>
      <c r="C2446" s="246" t="s">
        <v>2955</v>
      </c>
      <c r="D2446" s="18">
        <v>0</v>
      </c>
      <c r="E2446" s="18">
        <v>0</v>
      </c>
      <c r="F2446" s="18">
        <v>0</v>
      </c>
      <c r="G2446" s="18">
        <v>0</v>
      </c>
      <c r="H2446" s="18">
        <v>0</v>
      </c>
    </row>
    <row r="2447" spans="2:8">
      <c r="B2447" s="14" t="s">
        <v>8390</v>
      </c>
      <c r="C2447" s="245" t="s">
        <v>2956</v>
      </c>
      <c r="D2447" s="15">
        <v>0</v>
      </c>
      <c r="E2447" s="15">
        <v>8</v>
      </c>
      <c r="F2447" s="15">
        <v>0</v>
      </c>
      <c r="G2447" s="15">
        <v>0</v>
      </c>
      <c r="H2447" s="15">
        <v>0</v>
      </c>
    </row>
    <row r="2448" spans="2:8">
      <c r="B2448" s="17" t="s">
        <v>8391</v>
      </c>
      <c r="C2448" s="246" t="s">
        <v>2957</v>
      </c>
      <c r="D2448" s="18">
        <v>1</v>
      </c>
      <c r="E2448" s="18">
        <v>0</v>
      </c>
      <c r="F2448" s="18">
        <v>0</v>
      </c>
      <c r="G2448" s="18">
        <v>0</v>
      </c>
      <c r="H2448" s="18">
        <v>0</v>
      </c>
    </row>
    <row r="2449" spans="2:8">
      <c r="B2449" s="14" t="s">
        <v>8392</v>
      </c>
      <c r="C2449" s="245" t="s">
        <v>2958</v>
      </c>
      <c r="D2449" s="15">
        <v>0</v>
      </c>
      <c r="E2449" s="15">
        <v>0</v>
      </c>
      <c r="F2449" s="15">
        <v>0</v>
      </c>
      <c r="G2449" s="15">
        <v>0</v>
      </c>
      <c r="H2449" s="15">
        <v>0</v>
      </c>
    </row>
    <row r="2450" spans="2:8">
      <c r="B2450" s="17" t="s">
        <v>8393</v>
      </c>
      <c r="C2450" s="246" t="s">
        <v>2959</v>
      </c>
      <c r="D2450" s="18">
        <v>0</v>
      </c>
      <c r="E2450" s="18">
        <v>0</v>
      </c>
      <c r="F2450" s="18">
        <v>0</v>
      </c>
      <c r="G2450" s="18">
        <v>0</v>
      </c>
      <c r="H2450" s="18">
        <v>0</v>
      </c>
    </row>
    <row r="2451" spans="2:8">
      <c r="B2451" s="14" t="s">
        <v>8394</v>
      </c>
      <c r="C2451" s="245" t="s">
        <v>2960</v>
      </c>
      <c r="D2451" s="15">
        <v>0</v>
      </c>
      <c r="E2451" s="15">
        <v>0</v>
      </c>
      <c r="F2451" s="15">
        <v>0</v>
      </c>
      <c r="G2451" s="15">
        <v>0</v>
      </c>
      <c r="H2451" s="15">
        <v>0</v>
      </c>
    </row>
    <row r="2452" spans="2:8">
      <c r="B2452" s="17" t="s">
        <v>8395</v>
      </c>
      <c r="C2452" s="246" t="s">
        <v>2961</v>
      </c>
      <c r="D2452" s="18">
        <v>0</v>
      </c>
      <c r="E2452" s="18">
        <v>0</v>
      </c>
      <c r="F2452" s="18">
        <v>0</v>
      </c>
      <c r="G2452" s="18">
        <v>0</v>
      </c>
      <c r="H2452" s="18">
        <v>0</v>
      </c>
    </row>
    <row r="2453" spans="2:8">
      <c r="B2453" s="14" t="s">
        <v>8396</v>
      </c>
      <c r="C2453" s="245" t="s">
        <v>2962</v>
      </c>
      <c r="D2453" s="15">
        <v>0</v>
      </c>
      <c r="E2453" s="15">
        <v>0</v>
      </c>
      <c r="F2453" s="15">
        <v>0</v>
      </c>
      <c r="G2453" s="15">
        <v>0</v>
      </c>
      <c r="H2453" s="15">
        <v>0</v>
      </c>
    </row>
    <row r="2454" spans="2:8">
      <c r="B2454" s="17" t="s">
        <v>8397</v>
      </c>
      <c r="C2454" s="246" t="s">
        <v>2963</v>
      </c>
      <c r="D2454" s="18">
        <v>0</v>
      </c>
      <c r="E2454" s="18">
        <v>0</v>
      </c>
      <c r="F2454" s="18">
        <v>0</v>
      </c>
      <c r="G2454" s="18">
        <v>0</v>
      </c>
      <c r="H2454" s="18">
        <v>0</v>
      </c>
    </row>
    <row r="2455" spans="2:8">
      <c r="B2455" s="14" t="s">
        <v>8398</v>
      </c>
      <c r="C2455" s="245" t="s">
        <v>2964</v>
      </c>
      <c r="D2455" s="15">
        <v>0</v>
      </c>
      <c r="E2455" s="15">
        <v>0</v>
      </c>
      <c r="F2455" s="15">
        <v>0</v>
      </c>
      <c r="G2455" s="15">
        <v>0</v>
      </c>
      <c r="H2455" s="15">
        <v>0</v>
      </c>
    </row>
    <row r="2456" spans="2:8">
      <c r="B2456" s="17" t="s">
        <v>8399</v>
      </c>
      <c r="C2456" s="246" t="s">
        <v>2965</v>
      </c>
      <c r="D2456" s="18">
        <v>0</v>
      </c>
      <c r="E2456" s="18">
        <v>0</v>
      </c>
      <c r="F2456" s="18">
        <v>0</v>
      </c>
      <c r="G2456" s="18">
        <v>0</v>
      </c>
      <c r="H2456" s="18">
        <v>0</v>
      </c>
    </row>
    <row r="2457" spans="2:8">
      <c r="B2457" s="14" t="s">
        <v>8400</v>
      </c>
      <c r="C2457" s="245" t="s">
        <v>2966</v>
      </c>
      <c r="D2457" s="15">
        <v>0</v>
      </c>
      <c r="E2457" s="15">
        <v>0</v>
      </c>
      <c r="F2457" s="15">
        <v>0</v>
      </c>
      <c r="G2457" s="15">
        <v>0</v>
      </c>
      <c r="H2457" s="15">
        <v>0</v>
      </c>
    </row>
    <row r="2458" spans="2:8">
      <c r="B2458" s="17" t="s">
        <v>8401</v>
      </c>
      <c r="C2458" s="246" t="s">
        <v>2728</v>
      </c>
      <c r="D2458" s="18">
        <v>0</v>
      </c>
      <c r="E2458" s="18">
        <v>0</v>
      </c>
      <c r="F2458" s="18">
        <v>0</v>
      </c>
      <c r="G2458" s="18">
        <v>0</v>
      </c>
      <c r="H2458" s="18">
        <v>0</v>
      </c>
    </row>
    <row r="2459" spans="2:8">
      <c r="B2459" s="14" t="s">
        <v>8402</v>
      </c>
      <c r="C2459" s="245" t="s">
        <v>2967</v>
      </c>
      <c r="D2459" s="15">
        <v>0</v>
      </c>
      <c r="E2459" s="15">
        <v>10</v>
      </c>
      <c r="F2459" s="15">
        <v>0</v>
      </c>
      <c r="G2459" s="15">
        <v>0</v>
      </c>
      <c r="H2459" s="15">
        <v>0</v>
      </c>
    </row>
    <row r="2460" spans="2:8">
      <c r="B2460" s="17" t="s">
        <v>8403</v>
      </c>
      <c r="C2460" s="246" t="s">
        <v>2968</v>
      </c>
      <c r="D2460" s="18">
        <v>19</v>
      </c>
      <c r="E2460" s="18">
        <v>0</v>
      </c>
      <c r="F2460" s="18">
        <v>0</v>
      </c>
      <c r="G2460" s="18">
        <v>0</v>
      </c>
      <c r="H2460" s="18">
        <v>0</v>
      </c>
    </row>
    <row r="2461" spans="2:8">
      <c r="B2461" s="14" t="s">
        <v>8404</v>
      </c>
      <c r="C2461" s="245" t="s">
        <v>2968</v>
      </c>
      <c r="D2461" s="15">
        <v>0</v>
      </c>
      <c r="E2461" s="15">
        <v>21</v>
      </c>
      <c r="F2461" s="15">
        <v>123</v>
      </c>
      <c r="G2461" s="15">
        <v>108</v>
      </c>
      <c r="H2461" s="15">
        <v>0</v>
      </c>
    </row>
    <row r="2462" spans="2:8">
      <c r="B2462" s="17" t="s">
        <v>8405</v>
      </c>
      <c r="C2462" s="246" t="s">
        <v>2969</v>
      </c>
      <c r="D2462" s="18">
        <v>0</v>
      </c>
      <c r="E2462" s="18">
        <v>0</v>
      </c>
      <c r="F2462" s="18">
        <v>0</v>
      </c>
      <c r="G2462" s="18">
        <v>0</v>
      </c>
      <c r="H2462" s="18">
        <v>0</v>
      </c>
    </row>
    <row r="2463" spans="2:8">
      <c r="B2463" s="14" t="s">
        <v>8406</v>
      </c>
      <c r="C2463" s="245" t="s">
        <v>2970</v>
      </c>
      <c r="D2463" s="15">
        <v>0</v>
      </c>
      <c r="E2463" s="15">
        <v>0</v>
      </c>
      <c r="F2463" s="15">
        <v>0</v>
      </c>
      <c r="G2463" s="15">
        <v>0</v>
      </c>
      <c r="H2463" s="15">
        <v>0</v>
      </c>
    </row>
    <row r="2464" spans="2:8">
      <c r="B2464" s="17" t="s">
        <v>8407</v>
      </c>
      <c r="C2464" s="246" t="s">
        <v>2971</v>
      </c>
      <c r="D2464" s="18">
        <v>0</v>
      </c>
      <c r="E2464" s="18">
        <v>2</v>
      </c>
      <c r="F2464" s="18">
        <v>0</v>
      </c>
      <c r="G2464" s="18">
        <v>12</v>
      </c>
      <c r="H2464" s="18">
        <v>0</v>
      </c>
    </row>
    <row r="2465" spans="2:8">
      <c r="B2465" s="14" t="s">
        <v>8408</v>
      </c>
      <c r="C2465" s="245" t="s">
        <v>2972</v>
      </c>
      <c r="D2465" s="15">
        <v>0</v>
      </c>
      <c r="E2465" s="15">
        <v>0</v>
      </c>
      <c r="F2465" s="15">
        <v>0</v>
      </c>
      <c r="G2465" s="15">
        <v>0</v>
      </c>
      <c r="H2465" s="15">
        <v>0</v>
      </c>
    </row>
    <row r="2466" spans="2:8">
      <c r="B2466" s="17" t="s">
        <v>8409</v>
      </c>
      <c r="C2466" s="246" t="s">
        <v>2973</v>
      </c>
      <c r="D2466" s="18">
        <v>0</v>
      </c>
      <c r="E2466" s="18">
        <v>0</v>
      </c>
      <c r="F2466" s="18">
        <v>0</v>
      </c>
      <c r="G2466" s="18">
        <v>0</v>
      </c>
      <c r="H2466" s="18">
        <v>0</v>
      </c>
    </row>
    <row r="2467" spans="2:8">
      <c r="B2467" s="14" t="s">
        <v>8410</v>
      </c>
      <c r="C2467" s="245" t="s">
        <v>2974</v>
      </c>
      <c r="D2467" s="15">
        <v>0</v>
      </c>
      <c r="E2467" s="15">
        <v>0</v>
      </c>
      <c r="F2467" s="15">
        <v>0</v>
      </c>
      <c r="G2467" s="15">
        <v>0</v>
      </c>
      <c r="H2467" s="15">
        <v>0</v>
      </c>
    </row>
    <row r="2468" spans="2:8">
      <c r="B2468" s="17" t="s">
        <v>8411</v>
      </c>
      <c r="C2468" s="246" t="s">
        <v>2975</v>
      </c>
      <c r="D2468" s="18">
        <v>0</v>
      </c>
      <c r="E2468" s="18">
        <v>0</v>
      </c>
      <c r="F2468" s="18">
        <v>0</v>
      </c>
      <c r="G2468" s="18">
        <v>0</v>
      </c>
      <c r="H2468" s="18">
        <v>0</v>
      </c>
    </row>
    <row r="2469" spans="2:8">
      <c r="B2469" s="14" t="s">
        <v>8412</v>
      </c>
      <c r="C2469" s="245" t="s">
        <v>1151</v>
      </c>
      <c r="D2469" s="15">
        <v>0</v>
      </c>
      <c r="E2469" s="15">
        <v>0</v>
      </c>
      <c r="F2469" s="15">
        <v>56</v>
      </c>
      <c r="G2469" s="15">
        <v>30</v>
      </c>
      <c r="H2469" s="15">
        <v>0</v>
      </c>
    </row>
    <row r="2470" spans="2:8">
      <c r="B2470" s="17" t="s">
        <v>8413</v>
      </c>
      <c r="C2470" s="246" t="s">
        <v>2976</v>
      </c>
      <c r="D2470" s="18">
        <v>0</v>
      </c>
      <c r="E2470" s="18">
        <v>0</v>
      </c>
      <c r="F2470" s="18">
        <v>0</v>
      </c>
      <c r="G2470" s="18">
        <v>0</v>
      </c>
      <c r="H2470" s="18">
        <v>0</v>
      </c>
    </row>
    <row r="2471" spans="2:8">
      <c r="B2471" s="14" t="s">
        <v>8414</v>
      </c>
      <c r="C2471" s="245" t="s">
        <v>2977</v>
      </c>
      <c r="D2471" s="15">
        <v>0</v>
      </c>
      <c r="E2471" s="15">
        <v>0</v>
      </c>
      <c r="F2471" s="15">
        <v>0</v>
      </c>
      <c r="G2471" s="15">
        <v>0</v>
      </c>
      <c r="H2471" s="15">
        <v>0</v>
      </c>
    </row>
    <row r="2472" spans="2:8">
      <c r="B2472" s="17" t="s">
        <v>8415</v>
      </c>
      <c r="C2472" s="246" t="s">
        <v>2978</v>
      </c>
      <c r="D2472" s="18">
        <v>0</v>
      </c>
      <c r="E2472" s="18">
        <v>0</v>
      </c>
      <c r="F2472" s="18">
        <v>0</v>
      </c>
      <c r="G2472" s="18">
        <v>0</v>
      </c>
      <c r="H2472" s="18">
        <v>0</v>
      </c>
    </row>
    <row r="2473" spans="2:8">
      <c r="B2473" s="14" t="s">
        <v>8416</v>
      </c>
      <c r="C2473" s="245" t="s">
        <v>2979</v>
      </c>
      <c r="D2473" s="15">
        <v>0</v>
      </c>
      <c r="E2473" s="15">
        <v>0</v>
      </c>
      <c r="F2473" s="15">
        <v>0</v>
      </c>
      <c r="G2473" s="15">
        <v>0</v>
      </c>
      <c r="H2473" s="15">
        <v>0</v>
      </c>
    </row>
    <row r="2474" spans="2:8">
      <c r="B2474" s="17" t="s">
        <v>8417</v>
      </c>
      <c r="C2474" s="246" t="s">
        <v>2980</v>
      </c>
      <c r="D2474" s="18">
        <v>0</v>
      </c>
      <c r="E2474" s="18">
        <v>0</v>
      </c>
      <c r="F2474" s="18">
        <v>0</v>
      </c>
      <c r="G2474" s="18">
        <v>0</v>
      </c>
      <c r="H2474" s="18">
        <v>0</v>
      </c>
    </row>
    <row r="2475" spans="2:8">
      <c r="B2475" s="14" t="s">
        <v>8418</v>
      </c>
      <c r="C2475" s="245" t="s">
        <v>2981</v>
      </c>
      <c r="D2475" s="15">
        <v>0</v>
      </c>
      <c r="E2475" s="15">
        <v>0</v>
      </c>
      <c r="F2475" s="15">
        <v>0</v>
      </c>
      <c r="G2475" s="15">
        <v>0</v>
      </c>
      <c r="H2475" s="15">
        <v>0</v>
      </c>
    </row>
    <row r="2476" spans="2:8">
      <c r="B2476" s="17" t="s">
        <v>8419</v>
      </c>
      <c r="C2476" s="246" t="s">
        <v>2982</v>
      </c>
      <c r="D2476" s="18">
        <v>0</v>
      </c>
      <c r="E2476" s="18">
        <v>0</v>
      </c>
      <c r="F2476" s="18">
        <v>0</v>
      </c>
      <c r="G2476" s="18">
        <v>0</v>
      </c>
      <c r="H2476" s="18">
        <v>0</v>
      </c>
    </row>
    <row r="2477" spans="2:8">
      <c r="B2477" s="14" t="s">
        <v>8420</v>
      </c>
      <c r="C2477" s="245" t="s">
        <v>2983</v>
      </c>
      <c r="D2477" s="15">
        <v>0</v>
      </c>
      <c r="E2477" s="15">
        <v>0</v>
      </c>
      <c r="F2477" s="15">
        <v>0</v>
      </c>
      <c r="G2477" s="15">
        <v>0</v>
      </c>
      <c r="H2477" s="15">
        <v>0</v>
      </c>
    </row>
    <row r="2478" spans="2:8">
      <c r="B2478" s="17" t="s">
        <v>8421</v>
      </c>
      <c r="C2478" s="246" t="s">
        <v>2984</v>
      </c>
      <c r="D2478" s="18">
        <v>0</v>
      </c>
      <c r="E2478" s="18">
        <v>0</v>
      </c>
      <c r="F2478" s="18">
        <v>0</v>
      </c>
      <c r="G2478" s="18">
        <v>0</v>
      </c>
      <c r="H2478" s="18">
        <v>0</v>
      </c>
    </row>
    <row r="2479" spans="2:8">
      <c r="B2479" s="14" t="s">
        <v>8422</v>
      </c>
      <c r="C2479" s="245" t="s">
        <v>2985</v>
      </c>
      <c r="D2479" s="15">
        <v>7</v>
      </c>
      <c r="E2479" s="15">
        <v>0</v>
      </c>
      <c r="F2479" s="15">
        <v>0</v>
      </c>
      <c r="G2479" s="15">
        <v>4</v>
      </c>
      <c r="H2479" s="15">
        <v>0</v>
      </c>
    </row>
    <row r="2480" spans="2:8">
      <c r="B2480" s="17" t="s">
        <v>8423</v>
      </c>
      <c r="C2480" s="246" t="s">
        <v>2986</v>
      </c>
      <c r="D2480" s="18">
        <v>0</v>
      </c>
      <c r="E2480" s="18">
        <v>0</v>
      </c>
      <c r="F2480" s="18">
        <v>0</v>
      </c>
      <c r="G2480" s="18">
        <v>0</v>
      </c>
      <c r="H2480" s="18">
        <v>0</v>
      </c>
    </row>
    <row r="2481" spans="2:8">
      <c r="B2481" s="14" t="s">
        <v>8424</v>
      </c>
      <c r="C2481" s="245" t="s">
        <v>1196</v>
      </c>
      <c r="D2481" s="15">
        <v>1</v>
      </c>
      <c r="E2481" s="15">
        <v>0</v>
      </c>
      <c r="F2481" s="15">
        <v>1</v>
      </c>
      <c r="G2481" s="15">
        <v>3</v>
      </c>
      <c r="H2481" s="15">
        <v>0</v>
      </c>
    </row>
    <row r="2482" spans="2:8">
      <c r="B2482" s="17" t="s">
        <v>8425</v>
      </c>
      <c r="C2482" s="246" t="s">
        <v>2987</v>
      </c>
      <c r="D2482" s="18">
        <v>0</v>
      </c>
      <c r="E2482" s="18">
        <v>0</v>
      </c>
      <c r="F2482" s="18">
        <v>6</v>
      </c>
      <c r="G2482" s="18">
        <v>0</v>
      </c>
      <c r="H2482" s="18">
        <v>0</v>
      </c>
    </row>
    <row r="2483" spans="2:8">
      <c r="B2483" s="14" t="s">
        <v>8426</v>
      </c>
      <c r="C2483" s="245" t="s">
        <v>2988</v>
      </c>
      <c r="D2483" s="15">
        <v>17</v>
      </c>
      <c r="E2483" s="15">
        <v>15</v>
      </c>
      <c r="F2483" s="15">
        <v>4</v>
      </c>
      <c r="G2483" s="15">
        <v>11</v>
      </c>
      <c r="H2483" s="15">
        <v>0</v>
      </c>
    </row>
    <row r="2484" spans="2:8">
      <c r="B2484" s="17" t="s">
        <v>8427</v>
      </c>
      <c r="C2484" s="246" t="s">
        <v>2989</v>
      </c>
      <c r="D2484" s="18">
        <v>22</v>
      </c>
      <c r="E2484" s="18">
        <v>20</v>
      </c>
      <c r="F2484" s="18">
        <v>22</v>
      </c>
      <c r="G2484" s="18">
        <v>20</v>
      </c>
      <c r="H2484" s="18">
        <v>0</v>
      </c>
    </row>
    <row r="2485" spans="2:8">
      <c r="B2485" s="14" t="s">
        <v>8428</v>
      </c>
      <c r="C2485" s="245" t="s">
        <v>2990</v>
      </c>
      <c r="D2485" s="15">
        <v>0</v>
      </c>
      <c r="E2485" s="15">
        <v>0</v>
      </c>
      <c r="F2485" s="15">
        <v>0</v>
      </c>
      <c r="G2485" s="15">
        <v>0</v>
      </c>
      <c r="H2485" s="15">
        <v>0</v>
      </c>
    </row>
    <row r="2486" spans="2:8">
      <c r="B2486" s="17" t="s">
        <v>8429</v>
      </c>
      <c r="C2486" s="246" t="s">
        <v>2991</v>
      </c>
      <c r="D2486" s="18">
        <v>0</v>
      </c>
      <c r="E2486" s="18">
        <v>0</v>
      </c>
      <c r="F2486" s="18">
        <v>0</v>
      </c>
      <c r="G2486" s="18">
        <v>0</v>
      </c>
      <c r="H2486" s="18">
        <v>0</v>
      </c>
    </row>
    <row r="2487" spans="2:8">
      <c r="B2487" s="14" t="s">
        <v>8430</v>
      </c>
      <c r="C2487" s="245" t="s">
        <v>2992</v>
      </c>
      <c r="D2487" s="15">
        <v>0</v>
      </c>
      <c r="E2487" s="15">
        <v>0</v>
      </c>
      <c r="F2487" s="15">
        <v>0</v>
      </c>
      <c r="G2487" s="15">
        <v>0</v>
      </c>
      <c r="H2487" s="15">
        <v>0</v>
      </c>
    </row>
    <row r="2488" spans="2:8">
      <c r="B2488" s="17" t="s">
        <v>8431</v>
      </c>
      <c r="C2488" s="246" t="s">
        <v>2993</v>
      </c>
      <c r="D2488" s="18">
        <v>0</v>
      </c>
      <c r="E2488" s="18">
        <v>0</v>
      </c>
      <c r="F2488" s="18">
        <v>0</v>
      </c>
      <c r="G2488" s="18">
        <v>0</v>
      </c>
      <c r="H2488" s="18">
        <v>0</v>
      </c>
    </row>
    <row r="2489" spans="2:8">
      <c r="B2489" s="14" t="s">
        <v>8432</v>
      </c>
      <c r="C2489" s="245" t="s">
        <v>2994</v>
      </c>
      <c r="D2489" s="15">
        <v>0</v>
      </c>
      <c r="E2489" s="15">
        <v>0</v>
      </c>
      <c r="F2489" s="15">
        <v>0</v>
      </c>
      <c r="G2489" s="15">
        <v>0</v>
      </c>
      <c r="H2489" s="15">
        <v>0</v>
      </c>
    </row>
    <row r="2490" spans="2:8">
      <c r="B2490" s="17" t="s">
        <v>8433</v>
      </c>
      <c r="C2490" s="246" t="s">
        <v>1800</v>
      </c>
      <c r="D2490" s="18">
        <v>0</v>
      </c>
      <c r="E2490" s="18">
        <v>0</v>
      </c>
      <c r="F2490" s="18">
        <v>0</v>
      </c>
      <c r="G2490" s="18">
        <v>0</v>
      </c>
      <c r="H2490" s="18">
        <v>0</v>
      </c>
    </row>
    <row r="2491" spans="2:8">
      <c r="B2491" s="14" t="s">
        <v>8434</v>
      </c>
      <c r="C2491" s="245" t="s">
        <v>1800</v>
      </c>
      <c r="D2491" s="15">
        <v>0</v>
      </c>
      <c r="E2491" s="15">
        <v>0</v>
      </c>
      <c r="F2491" s="15">
        <v>0</v>
      </c>
      <c r="G2491" s="15">
        <v>0</v>
      </c>
      <c r="H2491" s="15">
        <v>0</v>
      </c>
    </row>
    <row r="2492" spans="2:8">
      <c r="B2492" s="17" t="s">
        <v>8435</v>
      </c>
      <c r="C2492" s="246" t="s">
        <v>2494</v>
      </c>
      <c r="D2492" s="18">
        <v>0</v>
      </c>
      <c r="E2492" s="18">
        <v>0</v>
      </c>
      <c r="F2492" s="18">
        <v>0</v>
      </c>
      <c r="G2492" s="18">
        <v>0</v>
      </c>
      <c r="H2492" s="18">
        <v>0</v>
      </c>
    </row>
    <row r="2493" spans="2:8">
      <c r="B2493" s="14" t="s">
        <v>8436</v>
      </c>
      <c r="C2493" s="245" t="s">
        <v>2995</v>
      </c>
      <c r="D2493" s="15">
        <v>0</v>
      </c>
      <c r="E2493" s="15">
        <v>0</v>
      </c>
      <c r="F2493" s="15">
        <v>0</v>
      </c>
      <c r="G2493" s="15">
        <v>0</v>
      </c>
      <c r="H2493" s="15">
        <v>0</v>
      </c>
    </row>
    <row r="2494" spans="2:8">
      <c r="B2494" s="17" t="s">
        <v>8437</v>
      </c>
      <c r="C2494" s="246" t="s">
        <v>990</v>
      </c>
      <c r="D2494" s="18">
        <v>57</v>
      </c>
      <c r="E2494" s="18">
        <v>5</v>
      </c>
      <c r="F2494" s="18">
        <v>14</v>
      </c>
      <c r="G2494" s="18">
        <v>2</v>
      </c>
      <c r="H2494" s="18">
        <v>0</v>
      </c>
    </row>
    <row r="2495" spans="2:8">
      <c r="B2495" s="14" t="s">
        <v>8438</v>
      </c>
      <c r="C2495" s="245" t="s">
        <v>2996</v>
      </c>
      <c r="D2495" s="15">
        <v>13</v>
      </c>
      <c r="E2495" s="15">
        <v>0</v>
      </c>
      <c r="F2495" s="15">
        <v>0</v>
      </c>
      <c r="G2495" s="15">
        <v>0</v>
      </c>
      <c r="H2495" s="15">
        <v>0</v>
      </c>
    </row>
    <row r="2496" spans="2:8">
      <c r="B2496" s="17" t="s">
        <v>8439</v>
      </c>
      <c r="C2496" s="246" t="s">
        <v>2997</v>
      </c>
      <c r="D2496" s="18">
        <v>0</v>
      </c>
      <c r="E2496" s="18">
        <v>0</v>
      </c>
      <c r="F2496" s="18">
        <v>0</v>
      </c>
      <c r="G2496" s="18">
        <v>0</v>
      </c>
      <c r="H2496" s="18">
        <v>0</v>
      </c>
    </row>
    <row r="2497" spans="2:8">
      <c r="B2497" s="14" t="s">
        <v>8440</v>
      </c>
      <c r="C2497" s="245" t="s">
        <v>2998</v>
      </c>
      <c r="D2497" s="15">
        <v>0</v>
      </c>
      <c r="E2497" s="15">
        <v>0</v>
      </c>
      <c r="F2497" s="15">
        <v>0</v>
      </c>
      <c r="G2497" s="15">
        <v>0</v>
      </c>
      <c r="H2497" s="15">
        <v>0</v>
      </c>
    </row>
    <row r="2498" spans="2:8">
      <c r="B2498" s="17" t="s">
        <v>8441</v>
      </c>
      <c r="C2498" s="246" t="s">
        <v>2999</v>
      </c>
      <c r="D2498" s="18">
        <v>0</v>
      </c>
      <c r="E2498" s="18">
        <v>0</v>
      </c>
      <c r="F2498" s="18">
        <v>0</v>
      </c>
      <c r="G2498" s="18">
        <v>0</v>
      </c>
      <c r="H2498" s="18">
        <v>0</v>
      </c>
    </row>
    <row r="2499" spans="2:8">
      <c r="B2499" s="14" t="s">
        <v>8442</v>
      </c>
      <c r="C2499" s="245" t="s">
        <v>3000</v>
      </c>
      <c r="D2499" s="15">
        <v>0</v>
      </c>
      <c r="E2499" s="15">
        <v>0</v>
      </c>
      <c r="F2499" s="15">
        <v>0</v>
      </c>
      <c r="G2499" s="15">
        <v>0</v>
      </c>
      <c r="H2499" s="15">
        <v>0</v>
      </c>
    </row>
    <row r="2500" spans="2:8">
      <c r="B2500" s="17" t="s">
        <v>8443</v>
      </c>
      <c r="C2500" s="246" t="s">
        <v>3001</v>
      </c>
      <c r="D2500" s="18">
        <v>0</v>
      </c>
      <c r="E2500" s="18">
        <v>0</v>
      </c>
      <c r="F2500" s="18">
        <v>0</v>
      </c>
      <c r="G2500" s="18">
        <v>0</v>
      </c>
      <c r="H2500" s="18">
        <v>0</v>
      </c>
    </row>
    <row r="2501" spans="2:8">
      <c r="B2501" s="14" t="s">
        <v>8444</v>
      </c>
      <c r="C2501" s="245" t="s">
        <v>3002</v>
      </c>
      <c r="D2501" s="15">
        <v>0</v>
      </c>
      <c r="E2501" s="15">
        <v>0</v>
      </c>
      <c r="F2501" s="15">
        <v>0</v>
      </c>
      <c r="G2501" s="15">
        <v>0</v>
      </c>
      <c r="H2501" s="15">
        <v>0</v>
      </c>
    </row>
    <row r="2502" spans="2:8">
      <c r="B2502" s="17" t="s">
        <v>8445</v>
      </c>
      <c r="C2502" s="246" t="s">
        <v>3003</v>
      </c>
      <c r="D2502" s="18">
        <v>0</v>
      </c>
      <c r="E2502" s="18">
        <v>0</v>
      </c>
      <c r="F2502" s="18">
        <v>0</v>
      </c>
      <c r="G2502" s="18">
        <v>0</v>
      </c>
      <c r="H2502" s="18">
        <v>0</v>
      </c>
    </row>
    <row r="2503" spans="2:8">
      <c r="B2503" s="14" t="s">
        <v>8446</v>
      </c>
      <c r="C2503" s="245" t="s">
        <v>3004</v>
      </c>
      <c r="D2503" s="15">
        <v>0</v>
      </c>
      <c r="E2503" s="15">
        <v>0</v>
      </c>
      <c r="F2503" s="15">
        <v>0</v>
      </c>
      <c r="G2503" s="15">
        <v>0</v>
      </c>
      <c r="H2503" s="15">
        <v>0</v>
      </c>
    </row>
    <row r="2504" spans="2:8">
      <c r="B2504" s="17" t="s">
        <v>8447</v>
      </c>
      <c r="C2504" s="246" t="s">
        <v>3005</v>
      </c>
      <c r="D2504" s="18">
        <v>0</v>
      </c>
      <c r="E2504" s="18">
        <v>0</v>
      </c>
      <c r="F2504" s="18">
        <v>0</v>
      </c>
      <c r="G2504" s="18">
        <v>0</v>
      </c>
      <c r="H2504" s="18">
        <v>0</v>
      </c>
    </row>
    <row r="2505" spans="2:8">
      <c r="B2505" s="14" t="s">
        <v>8448</v>
      </c>
      <c r="C2505" s="245" t="s">
        <v>3006</v>
      </c>
      <c r="D2505" s="15">
        <v>0</v>
      </c>
      <c r="E2505" s="15">
        <v>24</v>
      </c>
      <c r="F2505" s="15">
        <v>0</v>
      </c>
      <c r="G2505" s="15">
        <v>3</v>
      </c>
      <c r="H2505" s="15">
        <v>0</v>
      </c>
    </row>
    <row r="2506" spans="2:8">
      <c r="B2506" s="17" t="s">
        <v>8449</v>
      </c>
      <c r="C2506" s="246" t="s">
        <v>3007</v>
      </c>
      <c r="D2506" s="18">
        <v>0</v>
      </c>
      <c r="E2506" s="18">
        <v>0</v>
      </c>
      <c r="F2506" s="18">
        <v>0</v>
      </c>
      <c r="G2506" s="18">
        <v>0</v>
      </c>
      <c r="H2506" s="18">
        <v>0</v>
      </c>
    </row>
    <row r="2507" spans="2:8">
      <c r="B2507" s="14" t="s">
        <v>8450</v>
      </c>
      <c r="C2507" s="245" t="s">
        <v>3008</v>
      </c>
      <c r="D2507" s="15">
        <v>0</v>
      </c>
      <c r="E2507" s="15">
        <v>0</v>
      </c>
      <c r="F2507" s="15">
        <v>0</v>
      </c>
      <c r="G2507" s="15">
        <v>0</v>
      </c>
      <c r="H2507" s="15">
        <v>0</v>
      </c>
    </row>
    <row r="2508" spans="2:8">
      <c r="B2508" s="17" t="s">
        <v>8451</v>
      </c>
      <c r="C2508" s="246" t="s">
        <v>3009</v>
      </c>
      <c r="D2508" s="18">
        <v>0</v>
      </c>
      <c r="E2508" s="18">
        <v>0</v>
      </c>
      <c r="F2508" s="18">
        <v>0</v>
      </c>
      <c r="G2508" s="18">
        <v>0</v>
      </c>
      <c r="H2508" s="18">
        <v>0</v>
      </c>
    </row>
    <row r="2509" spans="2:8">
      <c r="B2509" s="14" t="s">
        <v>8452</v>
      </c>
      <c r="C2509" s="245" t="s">
        <v>3010</v>
      </c>
      <c r="D2509" s="15">
        <v>37</v>
      </c>
      <c r="E2509" s="15">
        <v>10</v>
      </c>
      <c r="F2509" s="15">
        <v>9</v>
      </c>
      <c r="G2509" s="15">
        <v>0</v>
      </c>
      <c r="H2509" s="15">
        <v>0</v>
      </c>
    </row>
    <row r="2510" spans="2:8">
      <c r="B2510" s="17" t="s">
        <v>8453</v>
      </c>
      <c r="C2510" s="246" t="s">
        <v>1396</v>
      </c>
      <c r="D2510" s="18">
        <v>0</v>
      </c>
      <c r="E2510" s="18">
        <v>0</v>
      </c>
      <c r="F2510" s="18">
        <v>0</v>
      </c>
      <c r="G2510" s="18">
        <v>0</v>
      </c>
      <c r="H2510" s="18">
        <v>0</v>
      </c>
    </row>
    <row r="2511" spans="2:8">
      <c r="B2511" s="14" t="s">
        <v>8454</v>
      </c>
      <c r="C2511" s="245" t="s">
        <v>1396</v>
      </c>
      <c r="D2511" s="15">
        <v>0</v>
      </c>
      <c r="E2511" s="15">
        <v>0</v>
      </c>
      <c r="F2511" s="15">
        <v>0</v>
      </c>
      <c r="G2511" s="15">
        <v>0</v>
      </c>
      <c r="H2511" s="15">
        <v>0</v>
      </c>
    </row>
    <row r="2512" spans="2:8">
      <c r="B2512" s="17" t="s">
        <v>8455</v>
      </c>
      <c r="C2512" s="246" t="s">
        <v>1396</v>
      </c>
      <c r="D2512" s="18">
        <v>0</v>
      </c>
      <c r="E2512" s="18">
        <v>0</v>
      </c>
      <c r="F2512" s="18">
        <v>0</v>
      </c>
      <c r="G2512" s="18">
        <v>0</v>
      </c>
      <c r="H2512" s="18">
        <v>0</v>
      </c>
    </row>
    <row r="2513" spans="2:8">
      <c r="B2513" s="14" t="s">
        <v>8456</v>
      </c>
      <c r="C2513" s="245" t="s">
        <v>2200</v>
      </c>
      <c r="D2513" s="15">
        <v>0</v>
      </c>
      <c r="E2513" s="15">
        <v>0</v>
      </c>
      <c r="F2513" s="15">
        <v>0</v>
      </c>
      <c r="G2513" s="15">
        <v>0</v>
      </c>
      <c r="H2513" s="15">
        <v>0</v>
      </c>
    </row>
    <row r="2514" spans="2:8">
      <c r="B2514" s="17" t="s">
        <v>8457</v>
      </c>
      <c r="C2514" s="246" t="s">
        <v>2203</v>
      </c>
      <c r="D2514" s="18">
        <v>0</v>
      </c>
      <c r="E2514" s="18">
        <v>0</v>
      </c>
      <c r="F2514" s="18">
        <v>0</v>
      </c>
      <c r="G2514" s="18">
        <v>0</v>
      </c>
      <c r="H2514" s="18">
        <v>0</v>
      </c>
    </row>
    <row r="2515" spans="2:8">
      <c r="B2515" s="14" t="s">
        <v>8458</v>
      </c>
      <c r="C2515" s="245" t="s">
        <v>3011</v>
      </c>
      <c r="D2515" s="15">
        <v>0</v>
      </c>
      <c r="E2515" s="15">
        <v>0</v>
      </c>
      <c r="F2515" s="15">
        <v>0</v>
      </c>
      <c r="G2515" s="15">
        <v>0</v>
      </c>
      <c r="H2515" s="15">
        <v>0</v>
      </c>
    </row>
    <row r="2516" spans="2:8">
      <c r="B2516" s="17" t="s">
        <v>8459</v>
      </c>
      <c r="C2516" s="246" t="s">
        <v>1716</v>
      </c>
      <c r="D2516" s="18">
        <v>0</v>
      </c>
      <c r="E2516" s="18">
        <v>0</v>
      </c>
      <c r="F2516" s="18">
        <v>0</v>
      </c>
      <c r="G2516" s="18">
        <v>0</v>
      </c>
      <c r="H2516" s="18">
        <v>0</v>
      </c>
    </row>
    <row r="2517" spans="2:8">
      <c r="B2517" s="14" t="s">
        <v>8460</v>
      </c>
      <c r="C2517" s="245" t="s">
        <v>1523</v>
      </c>
      <c r="D2517" s="15">
        <v>0</v>
      </c>
      <c r="E2517" s="15">
        <v>0</v>
      </c>
      <c r="F2517" s="15">
        <v>0</v>
      </c>
      <c r="G2517" s="15">
        <v>0</v>
      </c>
      <c r="H2517" s="15">
        <v>0</v>
      </c>
    </row>
    <row r="2518" spans="2:8">
      <c r="B2518" s="17" t="s">
        <v>8461</v>
      </c>
      <c r="C2518" s="246" t="s">
        <v>1523</v>
      </c>
      <c r="D2518" s="18">
        <v>0</v>
      </c>
      <c r="E2518" s="18">
        <v>0</v>
      </c>
      <c r="F2518" s="18">
        <v>0</v>
      </c>
      <c r="G2518" s="18">
        <v>0</v>
      </c>
      <c r="H2518" s="18">
        <v>0</v>
      </c>
    </row>
    <row r="2519" spans="2:8">
      <c r="B2519" s="14" t="s">
        <v>8462</v>
      </c>
      <c r="C2519" s="245" t="s">
        <v>2181</v>
      </c>
      <c r="D2519" s="15">
        <v>0</v>
      </c>
      <c r="E2519" s="15">
        <v>0</v>
      </c>
      <c r="F2519" s="15">
        <v>0</v>
      </c>
      <c r="G2519" s="15">
        <v>0</v>
      </c>
      <c r="H2519" s="15">
        <v>0</v>
      </c>
    </row>
    <row r="2520" spans="2:8">
      <c r="B2520" s="17" t="s">
        <v>8463</v>
      </c>
      <c r="C2520" s="246" t="s">
        <v>1375</v>
      </c>
      <c r="D2520" s="18">
        <v>0</v>
      </c>
      <c r="E2520" s="18">
        <v>0</v>
      </c>
      <c r="F2520" s="18">
        <v>0</v>
      </c>
      <c r="G2520" s="18">
        <v>0</v>
      </c>
      <c r="H2520" s="18">
        <v>0</v>
      </c>
    </row>
    <row r="2521" spans="2:8">
      <c r="B2521" s="14" t="s">
        <v>8464</v>
      </c>
      <c r="C2521" s="245" t="s">
        <v>3012</v>
      </c>
      <c r="D2521" s="15">
        <v>0</v>
      </c>
      <c r="E2521" s="15">
        <v>0</v>
      </c>
      <c r="F2521" s="15">
        <v>0</v>
      </c>
      <c r="G2521" s="15">
        <v>0</v>
      </c>
      <c r="H2521" s="15">
        <v>0</v>
      </c>
    </row>
    <row r="2522" spans="2:8">
      <c r="B2522" s="17" t="s">
        <v>8465</v>
      </c>
      <c r="C2522" s="246" t="s">
        <v>1375</v>
      </c>
      <c r="D2522" s="18">
        <v>0</v>
      </c>
      <c r="E2522" s="18">
        <v>0</v>
      </c>
      <c r="F2522" s="18">
        <v>0</v>
      </c>
      <c r="G2522" s="18">
        <v>0</v>
      </c>
      <c r="H2522" s="18">
        <v>0</v>
      </c>
    </row>
    <row r="2523" spans="2:8">
      <c r="B2523" s="14" t="s">
        <v>8466</v>
      </c>
      <c r="C2523" s="245" t="s">
        <v>2183</v>
      </c>
      <c r="D2523" s="15">
        <v>0</v>
      </c>
      <c r="E2523" s="15">
        <v>0</v>
      </c>
      <c r="F2523" s="15">
        <v>0</v>
      </c>
      <c r="G2523" s="15">
        <v>0</v>
      </c>
      <c r="H2523" s="15">
        <v>0</v>
      </c>
    </row>
    <row r="2524" spans="2:8">
      <c r="B2524" s="17" t="s">
        <v>8467</v>
      </c>
      <c r="C2524" s="246" t="s">
        <v>3013</v>
      </c>
      <c r="D2524" s="18">
        <v>0</v>
      </c>
      <c r="E2524" s="18">
        <v>0</v>
      </c>
      <c r="F2524" s="18">
        <v>0</v>
      </c>
      <c r="G2524" s="18">
        <v>0</v>
      </c>
      <c r="H2524" s="18">
        <v>0</v>
      </c>
    </row>
    <row r="2525" spans="2:8">
      <c r="B2525" s="14" t="s">
        <v>8468</v>
      </c>
      <c r="C2525" s="245" t="s">
        <v>3014</v>
      </c>
      <c r="D2525" s="15">
        <v>0</v>
      </c>
      <c r="E2525" s="15">
        <v>0</v>
      </c>
      <c r="F2525" s="15">
        <v>0</v>
      </c>
      <c r="G2525" s="15">
        <v>0</v>
      </c>
      <c r="H2525" s="15">
        <v>0</v>
      </c>
    </row>
    <row r="2526" spans="2:8">
      <c r="B2526" s="17" t="s">
        <v>8469</v>
      </c>
      <c r="C2526" s="246" t="s">
        <v>3015</v>
      </c>
      <c r="D2526" s="18">
        <v>0</v>
      </c>
      <c r="E2526" s="18">
        <v>0</v>
      </c>
      <c r="F2526" s="18">
        <v>0</v>
      </c>
      <c r="G2526" s="18">
        <v>0</v>
      </c>
      <c r="H2526" s="18">
        <v>0</v>
      </c>
    </row>
    <row r="2527" spans="2:8">
      <c r="B2527" s="14" t="s">
        <v>8470</v>
      </c>
      <c r="C2527" s="245" t="s">
        <v>3016</v>
      </c>
      <c r="D2527" s="15">
        <v>0</v>
      </c>
      <c r="E2527" s="15">
        <v>0</v>
      </c>
      <c r="F2527" s="15">
        <v>0</v>
      </c>
      <c r="G2527" s="15">
        <v>0</v>
      </c>
      <c r="H2527" s="15">
        <v>0</v>
      </c>
    </row>
    <row r="2528" spans="2:8">
      <c r="B2528" s="17" t="s">
        <v>8471</v>
      </c>
      <c r="C2528" s="246" t="s">
        <v>3017</v>
      </c>
      <c r="D2528" s="18">
        <v>0</v>
      </c>
      <c r="E2528" s="18">
        <v>0</v>
      </c>
      <c r="F2528" s="18">
        <v>0</v>
      </c>
      <c r="G2528" s="18">
        <v>0</v>
      </c>
      <c r="H2528" s="18">
        <v>0</v>
      </c>
    </row>
    <row r="2529" spans="2:8">
      <c r="B2529" s="14" t="s">
        <v>8472</v>
      </c>
      <c r="C2529" s="245" t="s">
        <v>1653</v>
      </c>
      <c r="D2529" s="15">
        <v>0</v>
      </c>
      <c r="E2529" s="15">
        <v>0</v>
      </c>
      <c r="F2529" s="15">
        <v>0</v>
      </c>
      <c r="G2529" s="15">
        <v>0</v>
      </c>
      <c r="H2529" s="15">
        <v>0</v>
      </c>
    </row>
    <row r="2530" spans="2:8">
      <c r="B2530" s="17" t="s">
        <v>8473</v>
      </c>
      <c r="C2530" s="246" t="s">
        <v>2501</v>
      </c>
      <c r="D2530" s="18">
        <v>0</v>
      </c>
      <c r="E2530" s="18">
        <v>0</v>
      </c>
      <c r="F2530" s="18">
        <v>0</v>
      </c>
      <c r="G2530" s="18">
        <v>0</v>
      </c>
      <c r="H2530" s="18">
        <v>0</v>
      </c>
    </row>
    <row r="2531" spans="2:8">
      <c r="B2531" s="14" t="s">
        <v>8474</v>
      </c>
      <c r="C2531" s="245" t="s">
        <v>2500</v>
      </c>
      <c r="D2531" s="15">
        <v>0</v>
      </c>
      <c r="E2531" s="15">
        <v>0</v>
      </c>
      <c r="F2531" s="15">
        <v>0</v>
      </c>
      <c r="G2531" s="15">
        <v>0</v>
      </c>
      <c r="H2531" s="15">
        <v>0</v>
      </c>
    </row>
    <row r="2532" spans="2:8">
      <c r="B2532" s="17" t="s">
        <v>8475</v>
      </c>
      <c r="C2532" s="246" t="s">
        <v>3018</v>
      </c>
      <c r="D2532" s="18">
        <v>0</v>
      </c>
      <c r="E2532" s="18">
        <v>0</v>
      </c>
      <c r="F2532" s="18">
        <v>0</v>
      </c>
      <c r="G2532" s="18">
        <v>0</v>
      </c>
      <c r="H2532" s="18">
        <v>0</v>
      </c>
    </row>
    <row r="2533" spans="2:8">
      <c r="B2533" s="14" t="s">
        <v>8476</v>
      </c>
      <c r="C2533" s="245" t="s">
        <v>3019</v>
      </c>
      <c r="D2533" s="15">
        <v>0</v>
      </c>
      <c r="E2533" s="15">
        <v>0</v>
      </c>
      <c r="F2533" s="15">
        <v>0</v>
      </c>
      <c r="G2533" s="15">
        <v>0</v>
      </c>
      <c r="H2533" s="15">
        <v>0</v>
      </c>
    </row>
    <row r="2534" spans="2:8">
      <c r="B2534" s="17" t="s">
        <v>8477</v>
      </c>
      <c r="C2534" s="246" t="s">
        <v>3020</v>
      </c>
      <c r="D2534" s="18">
        <v>0</v>
      </c>
      <c r="E2534" s="18">
        <v>0</v>
      </c>
      <c r="F2534" s="18">
        <v>0</v>
      </c>
      <c r="G2534" s="18">
        <v>0</v>
      </c>
      <c r="H2534" s="18">
        <v>0</v>
      </c>
    </row>
    <row r="2535" spans="2:8">
      <c r="B2535" s="14" t="s">
        <v>8478</v>
      </c>
      <c r="C2535" s="245" t="s">
        <v>3021</v>
      </c>
      <c r="D2535" s="15">
        <v>18</v>
      </c>
      <c r="E2535" s="15">
        <v>0</v>
      </c>
      <c r="F2535" s="15">
        <v>0</v>
      </c>
      <c r="G2535" s="15">
        <v>0</v>
      </c>
      <c r="H2535" s="15">
        <v>0</v>
      </c>
    </row>
    <row r="2536" spans="2:8">
      <c r="B2536" s="17" t="s">
        <v>8479</v>
      </c>
      <c r="C2536" s="246" t="s">
        <v>3022</v>
      </c>
      <c r="D2536" s="18">
        <v>0</v>
      </c>
      <c r="E2536" s="18">
        <v>0</v>
      </c>
      <c r="F2536" s="18">
        <v>0</v>
      </c>
      <c r="G2536" s="18">
        <v>0</v>
      </c>
      <c r="H2536" s="18">
        <v>0</v>
      </c>
    </row>
    <row r="2537" spans="2:8">
      <c r="B2537" s="14" t="s">
        <v>8480</v>
      </c>
      <c r="C2537" s="245" t="s">
        <v>2190</v>
      </c>
      <c r="D2537" s="15">
        <v>0</v>
      </c>
      <c r="E2537" s="15">
        <v>0</v>
      </c>
      <c r="F2537" s="15">
        <v>0</v>
      </c>
      <c r="G2537" s="15">
        <v>0</v>
      </c>
      <c r="H2537" s="15">
        <v>0</v>
      </c>
    </row>
    <row r="2538" spans="2:8">
      <c r="B2538" s="17" t="s">
        <v>8481</v>
      </c>
      <c r="C2538" s="246" t="s">
        <v>3023</v>
      </c>
      <c r="D2538" s="18">
        <v>0</v>
      </c>
      <c r="E2538" s="18">
        <v>0</v>
      </c>
      <c r="F2538" s="18">
        <v>0</v>
      </c>
      <c r="G2538" s="18">
        <v>0</v>
      </c>
      <c r="H2538" s="18">
        <v>0</v>
      </c>
    </row>
    <row r="2539" spans="2:8">
      <c r="B2539" s="14" t="s">
        <v>8482</v>
      </c>
      <c r="C2539" s="245" t="s">
        <v>3024</v>
      </c>
      <c r="D2539" s="15">
        <v>0</v>
      </c>
      <c r="E2539" s="15">
        <v>0</v>
      </c>
      <c r="F2539" s="15">
        <v>0</v>
      </c>
      <c r="G2539" s="15">
        <v>0</v>
      </c>
      <c r="H2539" s="15">
        <v>0</v>
      </c>
    </row>
    <row r="2540" spans="2:8">
      <c r="B2540" s="17" t="s">
        <v>8483</v>
      </c>
      <c r="C2540" s="246" t="s">
        <v>3025</v>
      </c>
      <c r="D2540" s="18">
        <v>0</v>
      </c>
      <c r="E2540" s="18">
        <v>0</v>
      </c>
      <c r="F2540" s="18">
        <v>0</v>
      </c>
      <c r="G2540" s="18">
        <v>0</v>
      </c>
      <c r="H2540" s="18">
        <v>0</v>
      </c>
    </row>
    <row r="2541" spans="2:8">
      <c r="B2541" s="14" t="s">
        <v>8484</v>
      </c>
      <c r="C2541" s="245" t="s">
        <v>3026</v>
      </c>
      <c r="D2541" s="15">
        <v>0</v>
      </c>
      <c r="E2541" s="15">
        <v>0</v>
      </c>
      <c r="F2541" s="15">
        <v>0</v>
      </c>
      <c r="G2541" s="15">
        <v>0</v>
      </c>
      <c r="H2541" s="15">
        <v>0</v>
      </c>
    </row>
    <row r="2542" spans="2:8">
      <c r="B2542" s="17" t="s">
        <v>8485</v>
      </c>
      <c r="C2542" s="246" t="s">
        <v>1455</v>
      </c>
      <c r="D2542" s="18">
        <v>0</v>
      </c>
      <c r="E2542" s="18">
        <v>0</v>
      </c>
      <c r="F2542" s="18">
        <v>0</v>
      </c>
      <c r="G2542" s="18">
        <v>0</v>
      </c>
      <c r="H2542" s="18">
        <v>0</v>
      </c>
    </row>
    <row r="2543" spans="2:8">
      <c r="B2543" s="14" t="s">
        <v>8486</v>
      </c>
      <c r="C2543" s="245" t="s">
        <v>3027</v>
      </c>
      <c r="D2543" s="15">
        <v>0</v>
      </c>
      <c r="E2543" s="15">
        <v>0</v>
      </c>
      <c r="F2543" s="15">
        <v>0</v>
      </c>
      <c r="G2543" s="15">
        <v>0</v>
      </c>
      <c r="H2543" s="15">
        <v>0</v>
      </c>
    </row>
    <row r="2544" spans="2:8">
      <c r="B2544" s="17" t="s">
        <v>8487</v>
      </c>
      <c r="C2544" s="246" t="s">
        <v>2199</v>
      </c>
      <c r="D2544" s="18">
        <v>0</v>
      </c>
      <c r="E2544" s="18">
        <v>0</v>
      </c>
      <c r="F2544" s="18">
        <v>0</v>
      </c>
      <c r="G2544" s="18">
        <v>0</v>
      </c>
      <c r="H2544" s="18">
        <v>0</v>
      </c>
    </row>
    <row r="2545" spans="2:8">
      <c r="B2545" s="14" t="s">
        <v>8488</v>
      </c>
      <c r="C2545" s="245" t="s">
        <v>3028</v>
      </c>
      <c r="D2545" s="15">
        <v>0</v>
      </c>
      <c r="E2545" s="15">
        <v>0</v>
      </c>
      <c r="F2545" s="15">
        <v>0</v>
      </c>
      <c r="G2545" s="15">
        <v>0</v>
      </c>
      <c r="H2545" s="15">
        <v>0</v>
      </c>
    </row>
    <row r="2546" spans="2:8">
      <c r="B2546" s="17" t="s">
        <v>8489</v>
      </c>
      <c r="C2546" s="246" t="s">
        <v>3029</v>
      </c>
      <c r="D2546" s="18">
        <v>0</v>
      </c>
      <c r="E2546" s="18">
        <v>0</v>
      </c>
      <c r="F2546" s="18">
        <v>0</v>
      </c>
      <c r="G2546" s="18">
        <v>0</v>
      </c>
      <c r="H2546" s="18">
        <v>0</v>
      </c>
    </row>
    <row r="2547" spans="2:8">
      <c r="B2547" s="14" t="s">
        <v>8490</v>
      </c>
      <c r="C2547" s="245" t="s">
        <v>3030</v>
      </c>
      <c r="D2547" s="15">
        <v>0</v>
      </c>
      <c r="E2547" s="15">
        <v>0</v>
      </c>
      <c r="F2547" s="15">
        <v>0</v>
      </c>
      <c r="G2547" s="15">
        <v>0</v>
      </c>
      <c r="H2547" s="15">
        <v>0</v>
      </c>
    </row>
    <row r="2548" spans="2:8">
      <c r="B2548" s="17" t="s">
        <v>8491</v>
      </c>
      <c r="C2548" s="246" t="s">
        <v>2548</v>
      </c>
      <c r="D2548" s="18">
        <v>0</v>
      </c>
      <c r="E2548" s="18">
        <v>0</v>
      </c>
      <c r="F2548" s="18">
        <v>0</v>
      </c>
      <c r="G2548" s="18">
        <v>0</v>
      </c>
      <c r="H2548" s="18">
        <v>0</v>
      </c>
    </row>
    <row r="2549" spans="2:8">
      <c r="B2549" s="14" t="s">
        <v>8492</v>
      </c>
      <c r="C2549" s="245" t="s">
        <v>1923</v>
      </c>
      <c r="D2549" s="15">
        <v>0</v>
      </c>
      <c r="E2549" s="15">
        <v>0</v>
      </c>
      <c r="F2549" s="15">
        <v>0</v>
      </c>
      <c r="G2549" s="15">
        <v>0</v>
      </c>
      <c r="H2549" s="15">
        <v>0</v>
      </c>
    </row>
    <row r="2550" spans="2:8">
      <c r="B2550" s="17" t="s">
        <v>8493</v>
      </c>
      <c r="C2550" s="246" t="s">
        <v>3031</v>
      </c>
      <c r="D2550" s="18">
        <v>0</v>
      </c>
      <c r="E2550" s="18">
        <v>0</v>
      </c>
      <c r="F2550" s="18">
        <v>0</v>
      </c>
      <c r="G2550" s="18">
        <v>0</v>
      </c>
      <c r="H2550" s="18">
        <v>0</v>
      </c>
    </row>
    <row r="2551" spans="2:8">
      <c r="B2551" s="14" t="s">
        <v>8494</v>
      </c>
      <c r="C2551" s="245" t="s">
        <v>3032</v>
      </c>
      <c r="D2551" s="15">
        <v>0</v>
      </c>
      <c r="E2551" s="15">
        <v>0</v>
      </c>
      <c r="F2551" s="15">
        <v>0</v>
      </c>
      <c r="G2551" s="15">
        <v>0</v>
      </c>
      <c r="H2551" s="15">
        <v>0</v>
      </c>
    </row>
    <row r="2552" spans="2:8">
      <c r="B2552" s="17" t="s">
        <v>8495</v>
      </c>
      <c r="C2552" s="246" t="s">
        <v>3033</v>
      </c>
      <c r="D2552" s="18">
        <v>0</v>
      </c>
      <c r="E2552" s="18">
        <v>0</v>
      </c>
      <c r="F2552" s="18">
        <v>0</v>
      </c>
      <c r="G2552" s="18">
        <v>0</v>
      </c>
      <c r="H2552" s="18">
        <v>0</v>
      </c>
    </row>
    <row r="2553" spans="2:8">
      <c r="B2553" s="14" t="s">
        <v>8496</v>
      </c>
      <c r="C2553" s="245" t="s">
        <v>3034</v>
      </c>
      <c r="D2553" s="15">
        <v>0</v>
      </c>
      <c r="E2553" s="15">
        <v>0</v>
      </c>
      <c r="F2553" s="15">
        <v>0</v>
      </c>
      <c r="G2553" s="15">
        <v>0</v>
      </c>
      <c r="H2553" s="15">
        <v>0</v>
      </c>
    </row>
    <row r="2554" spans="2:8">
      <c r="B2554" s="17" t="s">
        <v>8497</v>
      </c>
      <c r="C2554" s="246" t="s">
        <v>3035</v>
      </c>
      <c r="D2554" s="18">
        <v>0</v>
      </c>
      <c r="E2554" s="18">
        <v>0</v>
      </c>
      <c r="F2554" s="18">
        <v>0</v>
      </c>
      <c r="G2554" s="18">
        <v>0</v>
      </c>
      <c r="H2554" s="18">
        <v>0</v>
      </c>
    </row>
    <row r="2555" spans="2:8">
      <c r="B2555" s="14" t="s">
        <v>8498</v>
      </c>
      <c r="C2555" s="245" t="s">
        <v>3036</v>
      </c>
      <c r="D2555" s="15">
        <v>0</v>
      </c>
      <c r="E2555" s="15">
        <v>0</v>
      </c>
      <c r="F2555" s="15">
        <v>0</v>
      </c>
      <c r="G2555" s="15">
        <v>0</v>
      </c>
      <c r="H2555" s="15">
        <v>0</v>
      </c>
    </row>
    <row r="2556" spans="2:8">
      <c r="B2556" s="17" t="s">
        <v>8499</v>
      </c>
      <c r="C2556" s="246" t="s">
        <v>3037</v>
      </c>
      <c r="D2556" s="18">
        <v>0</v>
      </c>
      <c r="E2556" s="18">
        <v>0</v>
      </c>
      <c r="F2556" s="18">
        <v>0</v>
      </c>
      <c r="G2556" s="18">
        <v>0</v>
      </c>
      <c r="H2556" s="18">
        <v>0</v>
      </c>
    </row>
    <row r="2557" spans="2:8">
      <c r="B2557" s="14" t="s">
        <v>8500</v>
      </c>
      <c r="C2557" s="245" t="s">
        <v>3038</v>
      </c>
      <c r="D2557" s="15">
        <v>0</v>
      </c>
      <c r="E2557" s="15">
        <v>0</v>
      </c>
      <c r="F2557" s="15">
        <v>0</v>
      </c>
      <c r="G2557" s="15">
        <v>0</v>
      </c>
      <c r="H2557" s="15">
        <v>0</v>
      </c>
    </row>
    <row r="2558" spans="2:8">
      <c r="B2558" s="17" t="s">
        <v>8501</v>
      </c>
      <c r="C2558" s="246" t="s">
        <v>3039</v>
      </c>
      <c r="D2558" s="18">
        <v>0</v>
      </c>
      <c r="E2558" s="18">
        <v>0</v>
      </c>
      <c r="F2558" s="18">
        <v>0</v>
      </c>
      <c r="G2558" s="18">
        <v>0</v>
      </c>
      <c r="H2558" s="18">
        <v>0</v>
      </c>
    </row>
    <row r="2559" spans="2:8">
      <c r="B2559" s="14" t="s">
        <v>8502</v>
      </c>
      <c r="C2559" s="245" t="s">
        <v>3040</v>
      </c>
      <c r="D2559" s="15">
        <v>0</v>
      </c>
      <c r="E2559" s="15">
        <v>0</v>
      </c>
      <c r="F2559" s="15">
        <v>0</v>
      </c>
      <c r="G2559" s="15">
        <v>0</v>
      </c>
      <c r="H2559" s="15">
        <v>0</v>
      </c>
    </row>
    <row r="2560" spans="2:8">
      <c r="B2560" s="17" t="s">
        <v>8503</v>
      </c>
      <c r="C2560" s="246" t="s">
        <v>3041</v>
      </c>
      <c r="D2560" s="18">
        <v>0</v>
      </c>
      <c r="E2560" s="18">
        <v>0</v>
      </c>
      <c r="F2560" s="18">
        <v>0</v>
      </c>
      <c r="G2560" s="18">
        <v>0</v>
      </c>
      <c r="H2560" s="18">
        <v>0</v>
      </c>
    </row>
    <row r="2561" spans="2:8">
      <c r="B2561" s="14" t="s">
        <v>8504</v>
      </c>
      <c r="C2561" s="245" t="s">
        <v>3042</v>
      </c>
      <c r="D2561" s="15">
        <v>0</v>
      </c>
      <c r="E2561" s="15">
        <v>0</v>
      </c>
      <c r="F2561" s="15">
        <v>0</v>
      </c>
      <c r="G2561" s="15">
        <v>0</v>
      </c>
      <c r="H2561" s="15">
        <v>0</v>
      </c>
    </row>
    <row r="2562" spans="2:8">
      <c r="B2562" s="17" t="s">
        <v>8505</v>
      </c>
      <c r="C2562" s="246" t="s">
        <v>3043</v>
      </c>
      <c r="D2562" s="18">
        <v>0</v>
      </c>
      <c r="E2562" s="18">
        <v>0</v>
      </c>
      <c r="F2562" s="18">
        <v>0</v>
      </c>
      <c r="G2562" s="18">
        <v>0</v>
      </c>
      <c r="H2562" s="18">
        <v>0</v>
      </c>
    </row>
    <row r="2563" spans="2:8">
      <c r="B2563" s="14" t="s">
        <v>8506</v>
      </c>
      <c r="C2563" s="245" t="s">
        <v>3044</v>
      </c>
      <c r="D2563" s="15">
        <v>0</v>
      </c>
      <c r="E2563" s="15">
        <v>0</v>
      </c>
      <c r="F2563" s="15">
        <v>0</v>
      </c>
      <c r="G2563" s="15">
        <v>0</v>
      </c>
      <c r="H2563" s="15">
        <v>0</v>
      </c>
    </row>
    <row r="2564" spans="2:8">
      <c r="B2564" s="17" t="s">
        <v>8507</v>
      </c>
      <c r="C2564" s="246" t="s">
        <v>3045</v>
      </c>
      <c r="D2564" s="18">
        <v>2</v>
      </c>
      <c r="E2564" s="18">
        <v>0</v>
      </c>
      <c r="F2564" s="18">
        <v>0</v>
      </c>
      <c r="G2564" s="18">
        <v>0</v>
      </c>
      <c r="H2564" s="18">
        <v>0</v>
      </c>
    </row>
    <row r="2565" spans="2:8">
      <c r="B2565" s="14" t="s">
        <v>8508</v>
      </c>
      <c r="C2565" s="245" t="s">
        <v>3046</v>
      </c>
      <c r="D2565" s="15">
        <v>401</v>
      </c>
      <c r="E2565" s="15">
        <v>0</v>
      </c>
      <c r="F2565" s="15">
        <v>0</v>
      </c>
      <c r="G2565" s="15">
        <v>0</v>
      </c>
      <c r="H2565" s="15">
        <v>0</v>
      </c>
    </row>
    <row r="2566" spans="2:8">
      <c r="B2566" s="17" t="s">
        <v>8509</v>
      </c>
      <c r="C2566" s="246" t="s">
        <v>3047</v>
      </c>
      <c r="D2566" s="18">
        <v>0</v>
      </c>
      <c r="E2566" s="18">
        <v>0</v>
      </c>
      <c r="F2566" s="18">
        <v>0</v>
      </c>
      <c r="G2566" s="18">
        <v>0</v>
      </c>
      <c r="H2566" s="18">
        <v>0</v>
      </c>
    </row>
    <row r="2567" spans="2:8">
      <c r="B2567" s="14" t="s">
        <v>8510</v>
      </c>
      <c r="C2567" s="245" t="s">
        <v>3048</v>
      </c>
      <c r="D2567" s="15">
        <v>58</v>
      </c>
      <c r="E2567" s="15">
        <v>0</v>
      </c>
      <c r="F2567" s="15">
        <v>0</v>
      </c>
      <c r="G2567" s="15">
        <v>0</v>
      </c>
      <c r="H2567" s="15">
        <v>0</v>
      </c>
    </row>
    <row r="2568" spans="2:8">
      <c r="B2568" s="17" t="s">
        <v>8511</v>
      </c>
      <c r="C2568" s="246" t="s">
        <v>3049</v>
      </c>
      <c r="D2568" s="18">
        <v>0</v>
      </c>
      <c r="E2568" s="18">
        <v>0</v>
      </c>
      <c r="F2568" s="18">
        <v>0</v>
      </c>
      <c r="G2568" s="18">
        <v>0</v>
      </c>
      <c r="H2568" s="18">
        <v>0</v>
      </c>
    </row>
    <row r="2569" spans="2:8">
      <c r="B2569" s="14" t="s">
        <v>8512</v>
      </c>
      <c r="C2569" s="245" t="s">
        <v>3050</v>
      </c>
      <c r="D2569" s="15">
        <v>0</v>
      </c>
      <c r="E2569" s="15">
        <v>0</v>
      </c>
      <c r="F2569" s="15">
        <v>0</v>
      </c>
      <c r="G2569" s="15">
        <v>0</v>
      </c>
      <c r="H2569" s="15">
        <v>0</v>
      </c>
    </row>
    <row r="2570" spans="2:8">
      <c r="B2570" s="17" t="s">
        <v>8513</v>
      </c>
      <c r="C2570" s="246" t="s">
        <v>3051</v>
      </c>
      <c r="D2570" s="18">
        <v>0</v>
      </c>
      <c r="E2570" s="18">
        <v>0</v>
      </c>
      <c r="F2570" s="18">
        <v>0</v>
      </c>
      <c r="G2570" s="18">
        <v>0</v>
      </c>
      <c r="H2570" s="18">
        <v>0</v>
      </c>
    </row>
    <row r="2571" spans="2:8">
      <c r="B2571" s="14" t="s">
        <v>8514</v>
      </c>
      <c r="C2571" s="245" t="s">
        <v>3052</v>
      </c>
      <c r="D2571" s="15">
        <v>0</v>
      </c>
      <c r="E2571" s="15">
        <v>0</v>
      </c>
      <c r="F2571" s="15">
        <v>0</v>
      </c>
      <c r="G2571" s="15">
        <v>0</v>
      </c>
      <c r="H2571" s="15">
        <v>0</v>
      </c>
    </row>
    <row r="2572" spans="2:8">
      <c r="B2572" s="17" t="s">
        <v>8515</v>
      </c>
      <c r="C2572" s="246" t="s">
        <v>3053</v>
      </c>
      <c r="D2572" s="18">
        <v>0</v>
      </c>
      <c r="E2572" s="18">
        <v>0</v>
      </c>
      <c r="F2572" s="18">
        <v>0</v>
      </c>
      <c r="G2572" s="18">
        <v>0</v>
      </c>
      <c r="H2572" s="18">
        <v>0</v>
      </c>
    </row>
    <row r="2573" spans="2:8">
      <c r="B2573" s="14" t="s">
        <v>8516</v>
      </c>
      <c r="C2573" s="245" t="s">
        <v>3054</v>
      </c>
      <c r="D2573" s="15">
        <v>0</v>
      </c>
      <c r="E2573" s="15">
        <v>0</v>
      </c>
      <c r="F2573" s="15">
        <v>0</v>
      </c>
      <c r="G2573" s="15">
        <v>0</v>
      </c>
      <c r="H2573" s="15">
        <v>0</v>
      </c>
    </row>
    <row r="2574" spans="2:8">
      <c r="B2574" s="17" t="s">
        <v>8517</v>
      </c>
      <c r="C2574" s="246" t="s">
        <v>3055</v>
      </c>
      <c r="D2574" s="18">
        <v>0</v>
      </c>
      <c r="E2574" s="18">
        <v>0</v>
      </c>
      <c r="F2574" s="18">
        <v>0</v>
      </c>
      <c r="G2574" s="18">
        <v>0</v>
      </c>
      <c r="H2574" s="18">
        <v>0</v>
      </c>
    </row>
    <row r="2575" spans="2:8">
      <c r="B2575" s="14" t="s">
        <v>8518</v>
      </c>
      <c r="C2575" s="245" t="s">
        <v>3056</v>
      </c>
      <c r="D2575" s="15">
        <v>0</v>
      </c>
      <c r="E2575" s="15">
        <v>0</v>
      </c>
      <c r="F2575" s="15">
        <v>0</v>
      </c>
      <c r="G2575" s="15">
        <v>0</v>
      </c>
      <c r="H2575" s="15">
        <v>0</v>
      </c>
    </row>
    <row r="2576" spans="2:8">
      <c r="B2576" s="17" t="s">
        <v>8519</v>
      </c>
      <c r="C2576" s="246" t="s">
        <v>3057</v>
      </c>
      <c r="D2576" s="18">
        <v>0</v>
      </c>
      <c r="E2576" s="18">
        <v>3</v>
      </c>
      <c r="F2576" s="18">
        <v>0</v>
      </c>
      <c r="G2576" s="18">
        <v>0</v>
      </c>
      <c r="H2576" s="18">
        <v>0</v>
      </c>
    </row>
    <row r="2577" spans="2:8">
      <c r="B2577" s="14" t="s">
        <v>8520</v>
      </c>
      <c r="C2577" s="245" t="s">
        <v>3058</v>
      </c>
      <c r="D2577" s="15">
        <v>0</v>
      </c>
      <c r="E2577" s="15">
        <v>0</v>
      </c>
      <c r="F2577" s="15">
        <v>0</v>
      </c>
      <c r="G2577" s="15">
        <v>0</v>
      </c>
      <c r="H2577" s="15">
        <v>0</v>
      </c>
    </row>
    <row r="2578" spans="2:8">
      <c r="B2578" s="17" t="s">
        <v>8521</v>
      </c>
      <c r="C2578" s="246" t="s">
        <v>3059</v>
      </c>
      <c r="D2578" s="18">
        <v>0</v>
      </c>
      <c r="E2578" s="18">
        <v>0</v>
      </c>
      <c r="F2578" s="18">
        <v>0</v>
      </c>
      <c r="G2578" s="18">
        <v>0</v>
      </c>
      <c r="H2578" s="18">
        <v>0</v>
      </c>
    </row>
    <row r="2579" spans="2:8">
      <c r="B2579" s="14" t="s">
        <v>8522</v>
      </c>
      <c r="C2579" s="245" t="s">
        <v>3060</v>
      </c>
      <c r="D2579" s="15">
        <v>0</v>
      </c>
      <c r="E2579" s="15">
        <v>0</v>
      </c>
      <c r="F2579" s="15">
        <v>0</v>
      </c>
      <c r="G2579" s="15">
        <v>0</v>
      </c>
      <c r="H2579" s="15">
        <v>0</v>
      </c>
    </row>
    <row r="2580" spans="2:8">
      <c r="B2580" s="17" t="s">
        <v>8523</v>
      </c>
      <c r="C2580" s="246" t="s">
        <v>3061</v>
      </c>
      <c r="D2580" s="18">
        <v>0</v>
      </c>
      <c r="E2580" s="18">
        <v>0</v>
      </c>
      <c r="F2580" s="18">
        <v>0</v>
      </c>
      <c r="G2580" s="18">
        <v>0</v>
      </c>
      <c r="H2580" s="18">
        <v>0</v>
      </c>
    </row>
    <row r="2581" spans="2:8">
      <c r="B2581" s="14" t="s">
        <v>8524</v>
      </c>
      <c r="C2581" s="245" t="s">
        <v>3062</v>
      </c>
      <c r="D2581" s="15">
        <v>0</v>
      </c>
      <c r="E2581" s="15">
        <v>0</v>
      </c>
      <c r="F2581" s="15">
        <v>0</v>
      </c>
      <c r="G2581" s="15">
        <v>0</v>
      </c>
      <c r="H2581" s="15">
        <v>0</v>
      </c>
    </row>
    <row r="2582" spans="2:8">
      <c r="B2582" s="17" t="s">
        <v>8525</v>
      </c>
      <c r="C2582" s="246" t="s">
        <v>3063</v>
      </c>
      <c r="D2582" s="18">
        <v>0</v>
      </c>
      <c r="E2582" s="18">
        <v>0</v>
      </c>
      <c r="F2582" s="18">
        <v>0</v>
      </c>
      <c r="G2582" s="18">
        <v>0</v>
      </c>
      <c r="H2582" s="18">
        <v>0</v>
      </c>
    </row>
    <row r="2583" spans="2:8">
      <c r="B2583" s="14" t="s">
        <v>8526</v>
      </c>
      <c r="C2583" s="245" t="s">
        <v>3064</v>
      </c>
      <c r="D2583" s="15">
        <v>0</v>
      </c>
      <c r="E2583" s="15">
        <v>0</v>
      </c>
      <c r="F2583" s="15">
        <v>0</v>
      </c>
      <c r="G2583" s="15">
        <v>0</v>
      </c>
      <c r="H2583" s="15">
        <v>0</v>
      </c>
    </row>
    <row r="2584" spans="2:8">
      <c r="B2584" s="17" t="s">
        <v>8527</v>
      </c>
      <c r="C2584" s="246" t="s">
        <v>3065</v>
      </c>
      <c r="D2584" s="18">
        <v>0</v>
      </c>
      <c r="E2584" s="18">
        <v>0</v>
      </c>
      <c r="F2584" s="18">
        <v>0</v>
      </c>
      <c r="G2584" s="18">
        <v>0</v>
      </c>
      <c r="H2584" s="18">
        <v>0</v>
      </c>
    </row>
    <row r="2585" spans="2:8">
      <c r="B2585" s="14" t="s">
        <v>8528</v>
      </c>
      <c r="C2585" s="245" t="s">
        <v>3066</v>
      </c>
      <c r="D2585" s="15">
        <v>0</v>
      </c>
      <c r="E2585" s="15">
        <v>0</v>
      </c>
      <c r="F2585" s="15">
        <v>0</v>
      </c>
      <c r="G2585" s="15">
        <v>0</v>
      </c>
      <c r="H2585" s="15">
        <v>0</v>
      </c>
    </row>
    <row r="2586" spans="2:8">
      <c r="B2586" s="17" t="s">
        <v>8529</v>
      </c>
      <c r="C2586" s="246" t="s">
        <v>3067</v>
      </c>
      <c r="D2586" s="18">
        <v>0</v>
      </c>
      <c r="E2586" s="18">
        <v>0</v>
      </c>
      <c r="F2586" s="18">
        <v>0</v>
      </c>
      <c r="G2586" s="18">
        <v>0</v>
      </c>
      <c r="H2586" s="18">
        <v>0</v>
      </c>
    </row>
    <row r="2587" spans="2:8">
      <c r="B2587" s="14" t="s">
        <v>8530</v>
      </c>
      <c r="C2587" s="245" t="s">
        <v>3068</v>
      </c>
      <c r="D2587" s="15">
        <v>4</v>
      </c>
      <c r="E2587" s="15">
        <v>0</v>
      </c>
      <c r="F2587" s="15">
        <v>0</v>
      </c>
      <c r="G2587" s="15">
        <v>25</v>
      </c>
      <c r="H2587" s="15">
        <v>0</v>
      </c>
    </row>
    <row r="2588" spans="2:8">
      <c r="B2588" s="17" t="s">
        <v>8531</v>
      </c>
      <c r="C2588" s="246" t="s">
        <v>3069</v>
      </c>
      <c r="D2588" s="18">
        <v>0</v>
      </c>
      <c r="E2588" s="18">
        <v>4</v>
      </c>
      <c r="F2588" s="18">
        <v>0</v>
      </c>
      <c r="G2588" s="18">
        <v>0</v>
      </c>
      <c r="H2588" s="18">
        <v>0</v>
      </c>
    </row>
    <row r="2589" spans="2:8">
      <c r="B2589" s="14" t="s">
        <v>8532</v>
      </c>
      <c r="C2589" s="245" t="s">
        <v>3070</v>
      </c>
      <c r="D2589" s="15">
        <v>0</v>
      </c>
      <c r="E2589" s="15">
        <v>0</v>
      </c>
      <c r="F2589" s="15">
        <v>0</v>
      </c>
      <c r="G2589" s="15">
        <v>0</v>
      </c>
      <c r="H2589" s="15">
        <v>0</v>
      </c>
    </row>
    <row r="2590" spans="2:8">
      <c r="B2590" s="17" t="s">
        <v>8533</v>
      </c>
      <c r="C2590" s="246" t="s">
        <v>3071</v>
      </c>
      <c r="D2590" s="18">
        <v>0</v>
      </c>
      <c r="E2590" s="18">
        <v>0</v>
      </c>
      <c r="F2590" s="18">
        <v>0</v>
      </c>
      <c r="G2590" s="18">
        <v>0</v>
      </c>
      <c r="H2590" s="18">
        <v>0</v>
      </c>
    </row>
    <row r="2591" spans="2:8">
      <c r="B2591" s="14" t="s">
        <v>8534</v>
      </c>
      <c r="C2591" s="245" t="s">
        <v>3072</v>
      </c>
      <c r="D2591" s="15">
        <v>0</v>
      </c>
      <c r="E2591" s="15">
        <v>0</v>
      </c>
      <c r="F2591" s="15">
        <v>0</v>
      </c>
      <c r="G2591" s="15">
        <v>0</v>
      </c>
      <c r="H2591" s="15">
        <v>0</v>
      </c>
    </row>
    <row r="2592" spans="2:8">
      <c r="B2592" s="17" t="s">
        <v>8535</v>
      </c>
      <c r="C2592" s="246" t="s">
        <v>3073</v>
      </c>
      <c r="D2592" s="18">
        <v>0</v>
      </c>
      <c r="E2592" s="18">
        <v>0</v>
      </c>
      <c r="F2592" s="18">
        <v>0</v>
      </c>
      <c r="G2592" s="18">
        <v>0</v>
      </c>
      <c r="H2592" s="18">
        <v>0</v>
      </c>
    </row>
    <row r="2593" spans="2:8">
      <c r="B2593" s="14" t="s">
        <v>8536</v>
      </c>
      <c r="C2593" s="245" t="s">
        <v>3074</v>
      </c>
      <c r="D2593" s="15">
        <v>0</v>
      </c>
      <c r="E2593" s="15">
        <v>0</v>
      </c>
      <c r="F2593" s="15">
        <v>0</v>
      </c>
      <c r="G2593" s="15">
        <v>0</v>
      </c>
      <c r="H2593" s="15">
        <v>0</v>
      </c>
    </row>
    <row r="2594" spans="2:8">
      <c r="B2594" s="17" t="s">
        <v>8537</v>
      </c>
      <c r="C2594" s="246" t="s">
        <v>3075</v>
      </c>
      <c r="D2594" s="18">
        <v>0</v>
      </c>
      <c r="E2594" s="18">
        <v>0</v>
      </c>
      <c r="F2594" s="18">
        <v>0</v>
      </c>
      <c r="G2594" s="18">
        <v>0</v>
      </c>
      <c r="H2594" s="18">
        <v>0</v>
      </c>
    </row>
    <row r="2595" spans="2:8">
      <c r="B2595" s="14" t="s">
        <v>8538</v>
      </c>
      <c r="C2595" s="245" t="s">
        <v>3076</v>
      </c>
      <c r="D2595" s="15">
        <v>0</v>
      </c>
      <c r="E2595" s="15">
        <v>0</v>
      </c>
      <c r="F2595" s="15">
        <v>0</v>
      </c>
      <c r="G2595" s="15">
        <v>0</v>
      </c>
      <c r="H2595" s="15">
        <v>0</v>
      </c>
    </row>
    <row r="2596" spans="2:8">
      <c r="B2596" s="17" t="s">
        <v>8539</v>
      </c>
      <c r="C2596" s="246" t="s">
        <v>3077</v>
      </c>
      <c r="D2596" s="18">
        <v>0</v>
      </c>
      <c r="E2596" s="18">
        <v>0</v>
      </c>
      <c r="F2596" s="18">
        <v>0</v>
      </c>
      <c r="G2596" s="18">
        <v>0</v>
      </c>
      <c r="H2596" s="18">
        <v>0</v>
      </c>
    </row>
    <row r="2597" spans="2:8">
      <c r="B2597" s="14" t="s">
        <v>8540</v>
      </c>
      <c r="C2597" s="245" t="s">
        <v>3078</v>
      </c>
      <c r="D2597" s="15">
        <v>0</v>
      </c>
      <c r="E2597" s="15">
        <v>0</v>
      </c>
      <c r="F2597" s="15">
        <v>0</v>
      </c>
      <c r="G2597" s="15">
        <v>0</v>
      </c>
      <c r="H2597" s="15">
        <v>0</v>
      </c>
    </row>
    <row r="2598" spans="2:8">
      <c r="B2598" s="17" t="s">
        <v>8541</v>
      </c>
      <c r="C2598" s="246" t="s">
        <v>3079</v>
      </c>
      <c r="D2598" s="18">
        <v>0</v>
      </c>
      <c r="E2598" s="18">
        <v>0</v>
      </c>
      <c r="F2598" s="18">
        <v>0</v>
      </c>
      <c r="G2598" s="18">
        <v>0</v>
      </c>
      <c r="H2598" s="18">
        <v>0</v>
      </c>
    </row>
    <row r="2599" spans="2:8">
      <c r="B2599" s="14" t="s">
        <v>8542</v>
      </c>
      <c r="C2599" s="245" t="s">
        <v>3080</v>
      </c>
      <c r="D2599" s="15">
        <v>0</v>
      </c>
      <c r="E2599" s="15">
        <v>0</v>
      </c>
      <c r="F2599" s="15">
        <v>0</v>
      </c>
      <c r="G2599" s="15">
        <v>0</v>
      </c>
      <c r="H2599" s="15">
        <v>0</v>
      </c>
    </row>
    <row r="2600" spans="2:8">
      <c r="B2600" s="17" t="s">
        <v>8543</v>
      </c>
      <c r="C2600" s="246" t="s">
        <v>3081</v>
      </c>
      <c r="D2600" s="18">
        <v>0</v>
      </c>
      <c r="E2600" s="18">
        <v>0</v>
      </c>
      <c r="F2600" s="18">
        <v>0</v>
      </c>
      <c r="G2600" s="18">
        <v>0</v>
      </c>
      <c r="H2600" s="18">
        <v>0</v>
      </c>
    </row>
    <row r="2601" spans="2:8">
      <c r="B2601" s="14" t="s">
        <v>8544</v>
      </c>
      <c r="C2601" s="245" t="s">
        <v>3082</v>
      </c>
      <c r="D2601" s="15">
        <v>0</v>
      </c>
      <c r="E2601" s="15">
        <v>0</v>
      </c>
      <c r="F2601" s="15">
        <v>0</v>
      </c>
      <c r="G2601" s="15">
        <v>0</v>
      </c>
      <c r="H2601" s="15">
        <v>0</v>
      </c>
    </row>
    <row r="2602" spans="2:8">
      <c r="B2602" s="17" t="s">
        <v>8545</v>
      </c>
      <c r="C2602" s="246" t="s">
        <v>3083</v>
      </c>
      <c r="D2602" s="18">
        <v>0</v>
      </c>
      <c r="E2602" s="18">
        <v>0</v>
      </c>
      <c r="F2602" s="18">
        <v>0</v>
      </c>
      <c r="G2602" s="18">
        <v>0</v>
      </c>
      <c r="H2602" s="18">
        <v>0</v>
      </c>
    </row>
    <row r="2603" spans="2:8">
      <c r="B2603" s="14" t="s">
        <v>8546</v>
      </c>
      <c r="C2603" s="245" t="s">
        <v>2141</v>
      </c>
      <c r="D2603" s="15">
        <v>0</v>
      </c>
      <c r="E2603" s="15">
        <v>0</v>
      </c>
      <c r="F2603" s="15">
        <v>0</v>
      </c>
      <c r="G2603" s="15">
        <v>0</v>
      </c>
      <c r="H2603" s="15">
        <v>0</v>
      </c>
    </row>
    <row r="2604" spans="2:8">
      <c r="B2604" s="17" t="s">
        <v>8547</v>
      </c>
      <c r="C2604" s="246" t="s">
        <v>3084</v>
      </c>
      <c r="D2604" s="18">
        <v>0</v>
      </c>
      <c r="E2604" s="18">
        <v>0</v>
      </c>
      <c r="F2604" s="18">
        <v>0</v>
      </c>
      <c r="G2604" s="18">
        <v>0</v>
      </c>
      <c r="H2604" s="18">
        <v>0</v>
      </c>
    </row>
    <row r="2605" spans="2:8">
      <c r="B2605" s="14" t="s">
        <v>8548</v>
      </c>
      <c r="C2605" s="245" t="s">
        <v>2142</v>
      </c>
      <c r="D2605" s="15">
        <v>0</v>
      </c>
      <c r="E2605" s="15">
        <v>0</v>
      </c>
      <c r="F2605" s="15">
        <v>0</v>
      </c>
      <c r="G2605" s="15">
        <v>0</v>
      </c>
      <c r="H2605" s="15">
        <v>0</v>
      </c>
    </row>
    <row r="2606" spans="2:8">
      <c r="B2606" s="17" t="s">
        <v>8549</v>
      </c>
      <c r="C2606" s="246" t="s">
        <v>2142</v>
      </c>
      <c r="D2606" s="18">
        <v>0</v>
      </c>
      <c r="E2606" s="18">
        <v>0</v>
      </c>
      <c r="F2606" s="18">
        <v>0</v>
      </c>
      <c r="G2606" s="18">
        <v>0</v>
      </c>
      <c r="H2606" s="18">
        <v>0</v>
      </c>
    </row>
    <row r="2607" spans="2:8">
      <c r="B2607" s="14" t="s">
        <v>8550</v>
      </c>
      <c r="C2607" s="245" t="s">
        <v>1453</v>
      </c>
      <c r="D2607" s="15">
        <v>0</v>
      </c>
      <c r="E2607" s="15">
        <v>0</v>
      </c>
      <c r="F2607" s="15">
        <v>0</v>
      </c>
      <c r="G2607" s="15">
        <v>0</v>
      </c>
      <c r="H2607" s="15">
        <v>0</v>
      </c>
    </row>
    <row r="2608" spans="2:8">
      <c r="B2608" s="17" t="s">
        <v>8551</v>
      </c>
      <c r="C2608" s="246" t="s">
        <v>3085</v>
      </c>
      <c r="D2608" s="18">
        <v>0</v>
      </c>
      <c r="E2608" s="18">
        <v>0</v>
      </c>
      <c r="F2608" s="18">
        <v>0</v>
      </c>
      <c r="G2608" s="18">
        <v>0</v>
      </c>
      <c r="H2608" s="18">
        <v>0</v>
      </c>
    </row>
    <row r="2609" spans="2:8">
      <c r="B2609" s="14" t="s">
        <v>8552</v>
      </c>
      <c r="C2609" s="245" t="s">
        <v>3086</v>
      </c>
      <c r="D2609" s="15">
        <v>0</v>
      </c>
      <c r="E2609" s="15">
        <v>0</v>
      </c>
      <c r="F2609" s="15">
        <v>0</v>
      </c>
      <c r="G2609" s="15">
        <v>0</v>
      </c>
      <c r="H2609" s="15">
        <v>0</v>
      </c>
    </row>
    <row r="2610" spans="2:8">
      <c r="B2610" s="17" t="s">
        <v>8553</v>
      </c>
      <c r="C2610" s="246" t="s">
        <v>3087</v>
      </c>
      <c r="D2610" s="18">
        <v>0</v>
      </c>
      <c r="E2610" s="18">
        <v>0</v>
      </c>
      <c r="F2610" s="18">
        <v>0</v>
      </c>
      <c r="G2610" s="18">
        <v>0</v>
      </c>
      <c r="H2610" s="18">
        <v>0</v>
      </c>
    </row>
    <row r="2611" spans="2:8">
      <c r="B2611" s="14" t="s">
        <v>8554</v>
      </c>
      <c r="C2611" s="245" t="s">
        <v>3088</v>
      </c>
      <c r="D2611" s="15">
        <v>0</v>
      </c>
      <c r="E2611" s="15">
        <v>0</v>
      </c>
      <c r="F2611" s="15">
        <v>0</v>
      </c>
      <c r="G2611" s="15">
        <v>0</v>
      </c>
      <c r="H2611" s="15">
        <v>0</v>
      </c>
    </row>
    <row r="2612" spans="2:8">
      <c r="B2612" s="17" t="s">
        <v>8555</v>
      </c>
      <c r="C2612" s="246" t="s">
        <v>3089</v>
      </c>
      <c r="D2612" s="18">
        <v>0</v>
      </c>
      <c r="E2612" s="18">
        <v>0</v>
      </c>
      <c r="F2612" s="18">
        <v>0</v>
      </c>
      <c r="G2612" s="18">
        <v>0</v>
      </c>
      <c r="H2612" s="18">
        <v>0</v>
      </c>
    </row>
    <row r="2613" spans="2:8">
      <c r="B2613" s="14" t="s">
        <v>8556</v>
      </c>
      <c r="C2613" s="245" t="s">
        <v>3090</v>
      </c>
      <c r="D2613" s="15">
        <v>0</v>
      </c>
      <c r="E2613" s="15">
        <v>0</v>
      </c>
      <c r="F2613" s="15">
        <v>0</v>
      </c>
      <c r="G2613" s="15">
        <v>0</v>
      </c>
      <c r="H2613" s="15">
        <v>0</v>
      </c>
    </row>
    <row r="2614" spans="2:8">
      <c r="B2614" s="17" t="s">
        <v>8557</v>
      </c>
      <c r="C2614" s="246" t="s">
        <v>3091</v>
      </c>
      <c r="D2614" s="18">
        <v>0</v>
      </c>
      <c r="E2614" s="18">
        <v>0</v>
      </c>
      <c r="F2614" s="18">
        <v>0</v>
      </c>
      <c r="G2614" s="18">
        <v>0</v>
      </c>
      <c r="H2614" s="18">
        <v>0</v>
      </c>
    </row>
    <row r="2615" spans="2:8">
      <c r="B2615" s="14" t="s">
        <v>8558</v>
      </c>
      <c r="C2615" s="245" t="s">
        <v>3092</v>
      </c>
      <c r="D2615" s="15">
        <v>0</v>
      </c>
      <c r="E2615" s="15">
        <v>0</v>
      </c>
      <c r="F2615" s="15">
        <v>0</v>
      </c>
      <c r="G2615" s="15">
        <v>0</v>
      </c>
      <c r="H2615" s="15">
        <v>0</v>
      </c>
    </row>
    <row r="2616" spans="2:8">
      <c r="B2616" s="17" t="s">
        <v>8559</v>
      </c>
      <c r="C2616" s="246" t="s">
        <v>3093</v>
      </c>
      <c r="D2616" s="18">
        <v>0</v>
      </c>
      <c r="E2616" s="18">
        <v>0</v>
      </c>
      <c r="F2616" s="18">
        <v>0</v>
      </c>
      <c r="G2616" s="18">
        <v>0</v>
      </c>
      <c r="H2616" s="18">
        <v>0</v>
      </c>
    </row>
    <row r="2617" spans="2:8">
      <c r="B2617" s="14" t="s">
        <v>8560</v>
      </c>
      <c r="C2617" s="245" t="s">
        <v>3094</v>
      </c>
      <c r="D2617" s="15">
        <v>0</v>
      </c>
      <c r="E2617" s="15">
        <v>0</v>
      </c>
      <c r="F2617" s="15">
        <v>0</v>
      </c>
      <c r="G2617" s="15">
        <v>0</v>
      </c>
      <c r="H2617" s="15">
        <v>0</v>
      </c>
    </row>
    <row r="2618" spans="2:8">
      <c r="B2618" s="17" t="s">
        <v>8561</v>
      </c>
      <c r="C2618" s="246" t="s">
        <v>3095</v>
      </c>
      <c r="D2618" s="18">
        <v>0</v>
      </c>
      <c r="E2618" s="18">
        <v>0</v>
      </c>
      <c r="F2618" s="18">
        <v>0</v>
      </c>
      <c r="G2618" s="18">
        <v>0</v>
      </c>
      <c r="H2618" s="18">
        <v>0</v>
      </c>
    </row>
    <row r="2619" spans="2:8">
      <c r="B2619" s="14" t="s">
        <v>8562</v>
      </c>
      <c r="C2619" s="245" t="s">
        <v>3096</v>
      </c>
      <c r="D2619" s="15">
        <v>0</v>
      </c>
      <c r="E2619" s="15">
        <v>0</v>
      </c>
      <c r="F2619" s="15">
        <v>0</v>
      </c>
      <c r="G2619" s="15">
        <v>0</v>
      </c>
      <c r="H2619" s="15">
        <v>0</v>
      </c>
    </row>
    <row r="2620" spans="2:8">
      <c r="B2620" s="17" t="s">
        <v>8563</v>
      </c>
      <c r="C2620" s="246" t="s">
        <v>2156</v>
      </c>
      <c r="D2620" s="18">
        <v>0</v>
      </c>
      <c r="E2620" s="18">
        <v>0</v>
      </c>
      <c r="F2620" s="18">
        <v>0</v>
      </c>
      <c r="G2620" s="18">
        <v>0</v>
      </c>
      <c r="H2620" s="18">
        <v>0</v>
      </c>
    </row>
    <row r="2621" spans="2:8">
      <c r="B2621" s="14" t="s">
        <v>8564</v>
      </c>
      <c r="C2621" s="245" t="s">
        <v>3097</v>
      </c>
      <c r="D2621" s="15">
        <v>0</v>
      </c>
      <c r="E2621" s="15">
        <v>0</v>
      </c>
      <c r="F2621" s="15">
        <v>0</v>
      </c>
      <c r="G2621" s="15">
        <v>0</v>
      </c>
      <c r="H2621" s="15">
        <v>0</v>
      </c>
    </row>
    <row r="2622" spans="2:8">
      <c r="B2622" s="17" t="s">
        <v>8565</v>
      </c>
      <c r="C2622" s="246" t="s">
        <v>3098</v>
      </c>
      <c r="D2622" s="18">
        <v>0</v>
      </c>
      <c r="E2622" s="18">
        <v>0</v>
      </c>
      <c r="F2622" s="18">
        <v>0</v>
      </c>
      <c r="G2622" s="18">
        <v>0</v>
      </c>
      <c r="H2622" s="18">
        <v>0</v>
      </c>
    </row>
    <row r="2623" spans="2:8">
      <c r="B2623" s="14" t="s">
        <v>8566</v>
      </c>
      <c r="C2623" s="245" t="s">
        <v>3099</v>
      </c>
      <c r="D2623" s="15">
        <v>0</v>
      </c>
      <c r="E2623" s="15">
        <v>0</v>
      </c>
      <c r="F2623" s="15">
        <v>0</v>
      </c>
      <c r="G2623" s="15">
        <v>3</v>
      </c>
      <c r="H2623" s="15">
        <v>0</v>
      </c>
    </row>
    <row r="2624" spans="2:8">
      <c r="B2624" s="17" t="s">
        <v>8567</v>
      </c>
      <c r="C2624" s="246" t="s">
        <v>3100</v>
      </c>
      <c r="D2624" s="18">
        <v>0</v>
      </c>
      <c r="E2624" s="18">
        <v>0</v>
      </c>
      <c r="F2624" s="18">
        <v>0</v>
      </c>
      <c r="G2624" s="18">
        <v>0</v>
      </c>
      <c r="H2624" s="18">
        <v>0</v>
      </c>
    </row>
    <row r="2625" spans="2:8">
      <c r="B2625" s="14" t="s">
        <v>8568</v>
      </c>
      <c r="C2625" s="245" t="s">
        <v>3101</v>
      </c>
      <c r="D2625" s="15">
        <v>0</v>
      </c>
      <c r="E2625" s="15">
        <v>0</v>
      </c>
      <c r="F2625" s="15">
        <v>0</v>
      </c>
      <c r="G2625" s="15">
        <v>0</v>
      </c>
      <c r="H2625" s="15">
        <v>0</v>
      </c>
    </row>
    <row r="2626" spans="2:8">
      <c r="B2626" s="17" t="s">
        <v>8569</v>
      </c>
      <c r="C2626" s="246" t="s">
        <v>3102</v>
      </c>
      <c r="D2626" s="18">
        <v>0</v>
      </c>
      <c r="E2626" s="18">
        <v>3</v>
      </c>
      <c r="F2626" s="18">
        <v>0</v>
      </c>
      <c r="G2626" s="18">
        <v>0</v>
      </c>
      <c r="H2626" s="18">
        <v>0</v>
      </c>
    </row>
    <row r="2627" spans="2:8">
      <c r="B2627" s="14" t="s">
        <v>8570</v>
      </c>
      <c r="C2627" s="245" t="s">
        <v>3103</v>
      </c>
      <c r="D2627" s="15">
        <v>0</v>
      </c>
      <c r="E2627" s="15">
        <v>0</v>
      </c>
      <c r="F2627" s="15">
        <v>0</v>
      </c>
      <c r="G2627" s="15">
        <v>0</v>
      </c>
      <c r="H2627" s="15">
        <v>0</v>
      </c>
    </row>
    <row r="2628" spans="2:8">
      <c r="B2628" s="17" t="s">
        <v>8571</v>
      </c>
      <c r="C2628" s="246" t="s">
        <v>3104</v>
      </c>
      <c r="D2628" s="18">
        <v>0</v>
      </c>
      <c r="E2628" s="18">
        <v>0</v>
      </c>
      <c r="F2628" s="18">
        <v>0</v>
      </c>
      <c r="G2628" s="18">
        <v>0</v>
      </c>
      <c r="H2628" s="18">
        <v>0</v>
      </c>
    </row>
    <row r="2629" spans="2:8">
      <c r="B2629" s="14" t="s">
        <v>8572</v>
      </c>
      <c r="C2629" s="245" t="s">
        <v>3105</v>
      </c>
      <c r="D2629" s="15">
        <v>0</v>
      </c>
      <c r="E2629" s="15">
        <v>0</v>
      </c>
      <c r="F2629" s="15">
        <v>0</v>
      </c>
      <c r="G2629" s="15">
        <v>0</v>
      </c>
      <c r="H2629" s="15">
        <v>0</v>
      </c>
    </row>
    <row r="2630" spans="2:8">
      <c r="B2630" s="17" t="s">
        <v>8573</v>
      </c>
      <c r="C2630" s="246" t="s">
        <v>3106</v>
      </c>
      <c r="D2630" s="18">
        <v>0</v>
      </c>
      <c r="E2630" s="18">
        <v>0</v>
      </c>
      <c r="F2630" s="18">
        <v>0</v>
      </c>
      <c r="G2630" s="18">
        <v>0</v>
      </c>
      <c r="H2630" s="18">
        <v>0</v>
      </c>
    </row>
    <row r="2631" spans="2:8">
      <c r="B2631" s="14" t="s">
        <v>8574</v>
      </c>
      <c r="C2631" s="245" t="s">
        <v>3107</v>
      </c>
      <c r="D2631" s="15">
        <v>0</v>
      </c>
      <c r="E2631" s="15">
        <v>0</v>
      </c>
      <c r="F2631" s="15">
        <v>0</v>
      </c>
      <c r="G2631" s="15">
        <v>0</v>
      </c>
      <c r="H2631" s="15">
        <v>0</v>
      </c>
    </row>
    <row r="2632" spans="2:8">
      <c r="B2632" s="17" t="s">
        <v>8575</v>
      </c>
      <c r="C2632" s="246" t="s">
        <v>3108</v>
      </c>
      <c r="D2632" s="18">
        <v>0</v>
      </c>
      <c r="E2632" s="18">
        <v>0</v>
      </c>
      <c r="F2632" s="18">
        <v>0</v>
      </c>
      <c r="G2632" s="18">
        <v>0</v>
      </c>
      <c r="H2632" s="18">
        <v>0</v>
      </c>
    </row>
    <row r="2633" spans="2:8">
      <c r="B2633" s="14" t="s">
        <v>8576</v>
      </c>
      <c r="C2633" s="245" t="s">
        <v>3109</v>
      </c>
      <c r="D2633" s="15">
        <v>0</v>
      </c>
      <c r="E2633" s="15">
        <v>0</v>
      </c>
      <c r="F2633" s="15">
        <v>0</v>
      </c>
      <c r="G2633" s="15">
        <v>0</v>
      </c>
      <c r="H2633" s="15">
        <v>0</v>
      </c>
    </row>
    <row r="2634" spans="2:8">
      <c r="B2634" s="17" t="s">
        <v>8577</v>
      </c>
      <c r="C2634" s="246" t="s">
        <v>3110</v>
      </c>
      <c r="D2634" s="18">
        <v>0</v>
      </c>
      <c r="E2634" s="18">
        <v>0</v>
      </c>
      <c r="F2634" s="18">
        <v>0</v>
      </c>
      <c r="G2634" s="18">
        <v>0</v>
      </c>
      <c r="H2634" s="18">
        <v>0</v>
      </c>
    </row>
    <row r="2635" spans="2:8">
      <c r="B2635" s="14" t="s">
        <v>8578</v>
      </c>
      <c r="C2635" s="245" t="s">
        <v>3111</v>
      </c>
      <c r="D2635" s="15">
        <v>0</v>
      </c>
      <c r="E2635" s="15">
        <v>0</v>
      </c>
      <c r="F2635" s="15">
        <v>0</v>
      </c>
      <c r="G2635" s="15">
        <v>0</v>
      </c>
      <c r="H2635" s="15">
        <v>0</v>
      </c>
    </row>
    <row r="2636" spans="2:8">
      <c r="B2636" s="17" t="s">
        <v>8579</v>
      </c>
      <c r="C2636" s="246" t="s">
        <v>3112</v>
      </c>
      <c r="D2636" s="18">
        <v>141</v>
      </c>
      <c r="E2636" s="18">
        <v>0</v>
      </c>
      <c r="F2636" s="18">
        <v>17</v>
      </c>
      <c r="G2636" s="18">
        <v>453</v>
      </c>
      <c r="H2636" s="18">
        <v>0</v>
      </c>
    </row>
    <row r="2637" spans="2:8">
      <c r="B2637" s="14" t="s">
        <v>8580</v>
      </c>
      <c r="C2637" s="245" t="s">
        <v>3113</v>
      </c>
      <c r="D2637" s="15">
        <v>0</v>
      </c>
      <c r="E2637" s="15">
        <v>0</v>
      </c>
      <c r="F2637" s="15">
        <v>0</v>
      </c>
      <c r="G2637" s="15">
        <v>0</v>
      </c>
      <c r="H2637" s="15">
        <v>0</v>
      </c>
    </row>
    <row r="2638" spans="2:8">
      <c r="B2638" s="17" t="s">
        <v>8581</v>
      </c>
      <c r="C2638" s="246" t="s">
        <v>3114</v>
      </c>
      <c r="D2638" s="18">
        <v>7</v>
      </c>
      <c r="E2638" s="18">
        <v>56</v>
      </c>
      <c r="F2638" s="18">
        <v>0</v>
      </c>
      <c r="G2638" s="18">
        <v>9</v>
      </c>
      <c r="H2638" s="18">
        <v>0</v>
      </c>
    </row>
    <row r="2639" spans="2:8">
      <c r="B2639" s="14" t="s">
        <v>8582</v>
      </c>
      <c r="C2639" s="245" t="s">
        <v>3115</v>
      </c>
      <c r="D2639" s="15">
        <v>0</v>
      </c>
      <c r="E2639" s="15">
        <v>29</v>
      </c>
      <c r="F2639" s="15">
        <v>7</v>
      </c>
      <c r="G2639" s="15">
        <v>6</v>
      </c>
      <c r="H2639" s="15">
        <v>0</v>
      </c>
    </row>
    <row r="2640" spans="2:8">
      <c r="B2640" s="17" t="s">
        <v>8583</v>
      </c>
      <c r="C2640" s="246" t="s">
        <v>3116</v>
      </c>
      <c r="D2640" s="18">
        <v>0</v>
      </c>
      <c r="E2640" s="18">
        <v>0</v>
      </c>
      <c r="F2640" s="18">
        <v>0</v>
      </c>
      <c r="G2640" s="18">
        <v>0</v>
      </c>
      <c r="H2640" s="18">
        <v>0</v>
      </c>
    </row>
    <row r="2641" spans="2:8">
      <c r="B2641" s="14" t="s">
        <v>8584</v>
      </c>
      <c r="C2641" s="245" t="s">
        <v>3117</v>
      </c>
      <c r="D2641" s="15">
        <v>12</v>
      </c>
      <c r="E2641" s="15">
        <v>6</v>
      </c>
      <c r="F2641" s="15">
        <v>3</v>
      </c>
      <c r="G2641" s="15">
        <v>0</v>
      </c>
      <c r="H2641" s="15">
        <v>0</v>
      </c>
    </row>
    <row r="2642" spans="2:8">
      <c r="B2642" s="17" t="s">
        <v>8585</v>
      </c>
      <c r="C2642" s="246" t="s">
        <v>3118</v>
      </c>
      <c r="D2642" s="18">
        <v>0</v>
      </c>
      <c r="E2642" s="18">
        <v>0</v>
      </c>
      <c r="F2642" s="18">
        <v>0</v>
      </c>
      <c r="G2642" s="18">
        <v>0</v>
      </c>
      <c r="H2642" s="18">
        <v>0</v>
      </c>
    </row>
    <row r="2643" spans="2:8">
      <c r="B2643" s="14" t="s">
        <v>8586</v>
      </c>
      <c r="C2643" s="245" t="s">
        <v>2238</v>
      </c>
      <c r="D2643" s="15">
        <v>3</v>
      </c>
      <c r="E2643" s="15">
        <v>0</v>
      </c>
      <c r="F2643" s="15">
        <v>0</v>
      </c>
      <c r="G2643" s="15">
        <v>0</v>
      </c>
      <c r="H2643" s="15">
        <v>0</v>
      </c>
    </row>
    <row r="2644" spans="2:8">
      <c r="B2644" s="17" t="s">
        <v>8587</v>
      </c>
      <c r="C2644" s="246" t="s">
        <v>3119</v>
      </c>
      <c r="D2644" s="18">
        <v>0</v>
      </c>
      <c r="E2644" s="18">
        <v>3</v>
      </c>
      <c r="F2644" s="18">
        <v>0</v>
      </c>
      <c r="G2644" s="18">
        <v>0</v>
      </c>
      <c r="H2644" s="18">
        <v>0</v>
      </c>
    </row>
    <row r="2645" spans="2:8">
      <c r="B2645" s="14" t="s">
        <v>8588</v>
      </c>
      <c r="C2645" s="245" t="s">
        <v>3120</v>
      </c>
      <c r="D2645" s="15">
        <v>5</v>
      </c>
      <c r="E2645" s="15">
        <v>3</v>
      </c>
      <c r="F2645" s="15">
        <v>0</v>
      </c>
      <c r="G2645" s="15">
        <v>0</v>
      </c>
      <c r="H2645" s="15">
        <v>0</v>
      </c>
    </row>
    <row r="2646" spans="2:8">
      <c r="B2646" s="17" t="s">
        <v>8589</v>
      </c>
      <c r="C2646" s="246" t="s">
        <v>3121</v>
      </c>
      <c r="D2646" s="18">
        <v>0</v>
      </c>
      <c r="E2646" s="18">
        <v>0</v>
      </c>
      <c r="F2646" s="18">
        <v>0</v>
      </c>
      <c r="G2646" s="18">
        <v>0</v>
      </c>
      <c r="H2646" s="18">
        <v>0</v>
      </c>
    </row>
    <row r="2647" spans="2:8">
      <c r="B2647" s="14" t="s">
        <v>8590</v>
      </c>
      <c r="C2647" s="245" t="s">
        <v>3122</v>
      </c>
      <c r="D2647" s="15">
        <v>0</v>
      </c>
      <c r="E2647" s="15">
        <v>0</v>
      </c>
      <c r="F2647" s="15">
        <v>0</v>
      </c>
      <c r="G2647" s="15">
        <v>0</v>
      </c>
      <c r="H2647" s="15">
        <v>0</v>
      </c>
    </row>
    <row r="2648" spans="2:8">
      <c r="B2648" s="17" t="s">
        <v>8591</v>
      </c>
      <c r="C2648" s="246" t="s">
        <v>3123</v>
      </c>
      <c r="D2648" s="18">
        <v>0</v>
      </c>
      <c r="E2648" s="18">
        <v>0</v>
      </c>
      <c r="F2648" s="18">
        <v>0</v>
      </c>
      <c r="G2648" s="18">
        <v>7</v>
      </c>
      <c r="H2648" s="18">
        <v>0</v>
      </c>
    </row>
    <row r="2649" spans="2:8">
      <c r="B2649" s="14" t="s">
        <v>8592</v>
      </c>
      <c r="C2649" s="245" t="s">
        <v>3124</v>
      </c>
      <c r="D2649" s="15">
        <v>0</v>
      </c>
      <c r="E2649" s="15">
        <v>0</v>
      </c>
      <c r="F2649" s="15">
        <v>0</v>
      </c>
      <c r="G2649" s="15">
        <v>0</v>
      </c>
      <c r="H2649" s="15">
        <v>0</v>
      </c>
    </row>
    <row r="2650" spans="2:8">
      <c r="B2650" s="17" t="s">
        <v>8593</v>
      </c>
      <c r="C2650" s="246" t="s">
        <v>3125</v>
      </c>
      <c r="D2650" s="18">
        <v>0</v>
      </c>
      <c r="E2650" s="18">
        <v>0</v>
      </c>
      <c r="F2650" s="18">
        <v>0</v>
      </c>
      <c r="G2650" s="18">
        <v>0</v>
      </c>
      <c r="H2650" s="18">
        <v>0</v>
      </c>
    </row>
    <row r="2651" spans="2:8">
      <c r="B2651" s="14" t="s">
        <v>8594</v>
      </c>
      <c r="C2651" s="245" t="s">
        <v>3126</v>
      </c>
      <c r="D2651" s="15">
        <v>0</v>
      </c>
      <c r="E2651" s="15">
        <v>4</v>
      </c>
      <c r="F2651" s="15">
        <v>0</v>
      </c>
      <c r="G2651" s="15">
        <v>0</v>
      </c>
      <c r="H2651" s="15">
        <v>0</v>
      </c>
    </row>
    <row r="2652" spans="2:8">
      <c r="B2652" s="17" t="s">
        <v>8595</v>
      </c>
      <c r="C2652" s="246" t="s">
        <v>3127</v>
      </c>
      <c r="D2652" s="18">
        <v>0</v>
      </c>
      <c r="E2652" s="18">
        <v>0</v>
      </c>
      <c r="F2652" s="18">
        <v>0</v>
      </c>
      <c r="G2652" s="18">
        <v>0</v>
      </c>
      <c r="H2652" s="18">
        <v>0</v>
      </c>
    </row>
    <row r="2653" spans="2:8">
      <c r="B2653" s="14" t="s">
        <v>8596</v>
      </c>
      <c r="C2653" s="245" t="s">
        <v>3128</v>
      </c>
      <c r="D2653" s="15">
        <v>0</v>
      </c>
      <c r="E2653" s="15">
        <v>0</v>
      </c>
      <c r="F2653" s="15">
        <v>0</v>
      </c>
      <c r="G2653" s="15">
        <v>0</v>
      </c>
      <c r="H2653" s="15">
        <v>0</v>
      </c>
    </row>
    <row r="2654" spans="2:8">
      <c r="B2654" s="17" t="s">
        <v>8597</v>
      </c>
      <c r="C2654" s="246" t="s">
        <v>3129</v>
      </c>
      <c r="D2654" s="18">
        <v>0</v>
      </c>
      <c r="E2654" s="18">
        <v>0</v>
      </c>
      <c r="F2654" s="18">
        <v>0</v>
      </c>
      <c r="G2654" s="18">
        <v>8</v>
      </c>
      <c r="H2654" s="18">
        <v>0</v>
      </c>
    </row>
    <row r="2655" spans="2:8">
      <c r="B2655" s="14" t="s">
        <v>8598</v>
      </c>
      <c r="C2655" s="245" t="s">
        <v>3130</v>
      </c>
      <c r="D2655" s="15">
        <v>0</v>
      </c>
      <c r="E2655" s="15">
        <v>0</v>
      </c>
      <c r="F2655" s="15">
        <v>0</v>
      </c>
      <c r="G2655" s="15">
        <v>3</v>
      </c>
      <c r="H2655" s="15">
        <v>0</v>
      </c>
    </row>
    <row r="2656" spans="2:8">
      <c r="B2656" s="17" t="s">
        <v>8599</v>
      </c>
      <c r="C2656" s="246" t="s">
        <v>3131</v>
      </c>
      <c r="D2656" s="18">
        <v>0</v>
      </c>
      <c r="E2656" s="18">
        <v>0</v>
      </c>
      <c r="F2656" s="18">
        <v>0</v>
      </c>
      <c r="G2656" s="18">
        <v>0</v>
      </c>
      <c r="H2656" s="18">
        <v>0</v>
      </c>
    </row>
    <row r="2657" spans="2:8">
      <c r="B2657" s="14" t="s">
        <v>8600</v>
      </c>
      <c r="C2657" s="245" t="s">
        <v>3132</v>
      </c>
      <c r="D2657" s="15">
        <v>0</v>
      </c>
      <c r="E2657" s="15">
        <v>0</v>
      </c>
      <c r="F2657" s="15">
        <v>0</v>
      </c>
      <c r="G2657" s="15">
        <v>0</v>
      </c>
      <c r="H2657" s="15">
        <v>0</v>
      </c>
    </row>
    <row r="2658" spans="2:8">
      <c r="B2658" s="17" t="s">
        <v>8601</v>
      </c>
      <c r="C2658" s="246" t="s">
        <v>3133</v>
      </c>
      <c r="D2658" s="18">
        <v>0</v>
      </c>
      <c r="E2658" s="18">
        <v>0</v>
      </c>
      <c r="F2658" s="18">
        <v>0</v>
      </c>
      <c r="G2658" s="18">
        <v>0</v>
      </c>
      <c r="H2658" s="18">
        <v>0</v>
      </c>
    </row>
    <row r="2659" spans="2:8">
      <c r="B2659" s="14" t="s">
        <v>8602</v>
      </c>
      <c r="C2659" s="245" t="s">
        <v>3134</v>
      </c>
      <c r="D2659" s="15">
        <v>0</v>
      </c>
      <c r="E2659" s="15">
        <v>0</v>
      </c>
      <c r="F2659" s="15">
        <v>0</v>
      </c>
      <c r="G2659" s="15">
        <v>0</v>
      </c>
      <c r="H2659" s="15">
        <v>0</v>
      </c>
    </row>
    <row r="2660" spans="2:8">
      <c r="B2660" s="17" t="s">
        <v>8603</v>
      </c>
      <c r="C2660" s="246" t="s">
        <v>3135</v>
      </c>
      <c r="D2660" s="18">
        <v>0</v>
      </c>
      <c r="E2660" s="18">
        <v>0</v>
      </c>
      <c r="F2660" s="18">
        <v>0</v>
      </c>
      <c r="G2660" s="18">
        <v>0</v>
      </c>
      <c r="H2660" s="18">
        <v>0</v>
      </c>
    </row>
    <row r="2661" spans="2:8">
      <c r="B2661" s="14" t="s">
        <v>8604</v>
      </c>
      <c r="C2661" s="245" t="s">
        <v>3136</v>
      </c>
      <c r="D2661" s="15">
        <v>0</v>
      </c>
      <c r="E2661" s="15">
        <v>0</v>
      </c>
      <c r="F2661" s="15">
        <v>0</v>
      </c>
      <c r="G2661" s="15">
        <v>0</v>
      </c>
      <c r="H2661" s="15">
        <v>0</v>
      </c>
    </row>
    <row r="2662" spans="2:8">
      <c r="B2662" s="17" t="s">
        <v>8605</v>
      </c>
      <c r="C2662" s="246" t="s">
        <v>3137</v>
      </c>
      <c r="D2662" s="18">
        <v>0</v>
      </c>
      <c r="E2662" s="18">
        <v>0</v>
      </c>
      <c r="F2662" s="18">
        <v>0</v>
      </c>
      <c r="G2662" s="18">
        <v>0</v>
      </c>
      <c r="H2662" s="18">
        <v>0</v>
      </c>
    </row>
    <row r="2663" spans="2:8">
      <c r="B2663" s="14" t="s">
        <v>8606</v>
      </c>
      <c r="C2663" s="245" t="s">
        <v>3138</v>
      </c>
      <c r="D2663" s="15">
        <v>0</v>
      </c>
      <c r="E2663" s="15">
        <v>0</v>
      </c>
      <c r="F2663" s="15">
        <v>0</v>
      </c>
      <c r="G2663" s="15">
        <v>0</v>
      </c>
      <c r="H2663" s="15">
        <v>0</v>
      </c>
    </row>
    <row r="2664" spans="2:8">
      <c r="B2664" s="17" t="s">
        <v>8607</v>
      </c>
      <c r="C2664" s="246" t="s">
        <v>3139</v>
      </c>
      <c r="D2664" s="18">
        <v>0</v>
      </c>
      <c r="E2664" s="18">
        <v>0</v>
      </c>
      <c r="F2664" s="18">
        <v>0</v>
      </c>
      <c r="G2664" s="18">
        <v>0</v>
      </c>
      <c r="H2664" s="18">
        <v>0</v>
      </c>
    </row>
    <row r="2665" spans="2:8">
      <c r="B2665" s="14" t="s">
        <v>8608</v>
      </c>
      <c r="C2665" s="245" t="s">
        <v>3140</v>
      </c>
      <c r="D2665" s="15">
        <v>0</v>
      </c>
      <c r="E2665" s="15">
        <v>0</v>
      </c>
      <c r="F2665" s="15">
        <v>0</v>
      </c>
      <c r="G2665" s="15">
        <v>0</v>
      </c>
      <c r="H2665" s="15">
        <v>0</v>
      </c>
    </row>
    <row r="2666" spans="2:8">
      <c r="B2666" s="17" t="s">
        <v>8609</v>
      </c>
      <c r="C2666" s="246" t="s">
        <v>3141</v>
      </c>
      <c r="D2666" s="18">
        <v>0</v>
      </c>
      <c r="E2666" s="18">
        <v>0</v>
      </c>
      <c r="F2666" s="18">
        <v>0</v>
      </c>
      <c r="G2666" s="18">
        <v>0</v>
      </c>
      <c r="H2666" s="18">
        <v>0</v>
      </c>
    </row>
    <row r="2667" spans="2:8">
      <c r="B2667" s="14" t="s">
        <v>8610</v>
      </c>
      <c r="C2667" s="245" t="s">
        <v>3142</v>
      </c>
      <c r="D2667" s="15">
        <v>0</v>
      </c>
      <c r="E2667" s="15">
        <v>0</v>
      </c>
      <c r="F2667" s="15">
        <v>0</v>
      </c>
      <c r="G2667" s="15">
        <v>0</v>
      </c>
      <c r="H2667" s="15">
        <v>0</v>
      </c>
    </row>
    <row r="2668" spans="2:8">
      <c r="B2668" s="17" t="s">
        <v>8611</v>
      </c>
      <c r="C2668" s="246" t="s">
        <v>3143</v>
      </c>
      <c r="D2668" s="18">
        <v>0</v>
      </c>
      <c r="E2668" s="18">
        <v>0</v>
      </c>
      <c r="F2668" s="18">
        <v>0</v>
      </c>
      <c r="G2668" s="18">
        <v>0</v>
      </c>
      <c r="H2668" s="18">
        <v>0</v>
      </c>
    </row>
    <row r="2669" spans="2:8">
      <c r="B2669" s="14" t="s">
        <v>8612</v>
      </c>
      <c r="C2669" s="245" t="s">
        <v>3144</v>
      </c>
      <c r="D2669" s="15">
        <v>0</v>
      </c>
      <c r="E2669" s="15">
        <v>0</v>
      </c>
      <c r="F2669" s="15">
        <v>226</v>
      </c>
      <c r="G2669" s="15">
        <v>0</v>
      </c>
      <c r="H2669" s="15">
        <v>0</v>
      </c>
    </row>
    <row r="2670" spans="2:8">
      <c r="B2670" s="17" t="s">
        <v>8613</v>
      </c>
      <c r="C2670" s="246" t="s">
        <v>3145</v>
      </c>
      <c r="D2670" s="18">
        <v>0</v>
      </c>
      <c r="E2670" s="18">
        <v>0</v>
      </c>
      <c r="F2670" s="18">
        <v>0</v>
      </c>
      <c r="G2670" s="18">
        <v>0</v>
      </c>
      <c r="H2670" s="18">
        <v>0</v>
      </c>
    </row>
    <row r="2671" spans="2:8">
      <c r="B2671" s="14" t="s">
        <v>8614</v>
      </c>
      <c r="C2671" s="245" t="s">
        <v>3146</v>
      </c>
      <c r="D2671" s="15">
        <v>0</v>
      </c>
      <c r="E2671" s="15">
        <v>0</v>
      </c>
      <c r="F2671" s="15">
        <v>0</v>
      </c>
      <c r="G2671" s="15">
        <v>0</v>
      </c>
      <c r="H2671" s="15">
        <v>0</v>
      </c>
    </row>
    <row r="2672" spans="2:8">
      <c r="B2672" s="17" t="s">
        <v>8615</v>
      </c>
      <c r="C2672" s="246" t="s">
        <v>3147</v>
      </c>
      <c r="D2672" s="18">
        <v>0</v>
      </c>
      <c r="E2672" s="18">
        <v>0</v>
      </c>
      <c r="F2672" s="18">
        <v>0</v>
      </c>
      <c r="G2672" s="18">
        <v>0</v>
      </c>
      <c r="H2672" s="18">
        <v>0</v>
      </c>
    </row>
    <row r="2673" spans="2:8">
      <c r="B2673" s="14" t="s">
        <v>8616</v>
      </c>
      <c r="C2673" s="245" t="s">
        <v>3148</v>
      </c>
      <c r="D2673" s="15">
        <v>0</v>
      </c>
      <c r="E2673" s="15">
        <v>0</v>
      </c>
      <c r="F2673" s="15">
        <v>0</v>
      </c>
      <c r="G2673" s="15">
        <v>0</v>
      </c>
      <c r="H2673" s="15">
        <v>0</v>
      </c>
    </row>
    <row r="2674" spans="2:8">
      <c r="B2674" s="17" t="s">
        <v>8617</v>
      </c>
      <c r="C2674" s="246" t="s">
        <v>3149</v>
      </c>
      <c r="D2674" s="18">
        <v>0</v>
      </c>
      <c r="E2674" s="18">
        <v>0</v>
      </c>
      <c r="F2674" s="18">
        <v>0</v>
      </c>
      <c r="G2674" s="18">
        <v>0</v>
      </c>
      <c r="H2674" s="18">
        <v>0</v>
      </c>
    </row>
    <row r="2675" spans="2:8">
      <c r="B2675" s="14" t="s">
        <v>8618</v>
      </c>
      <c r="C2675" s="245" t="s">
        <v>3150</v>
      </c>
      <c r="D2675" s="15">
        <v>0</v>
      </c>
      <c r="E2675" s="15">
        <v>0</v>
      </c>
      <c r="F2675" s="15">
        <v>0</v>
      </c>
      <c r="G2675" s="15">
        <v>0</v>
      </c>
      <c r="H2675" s="15">
        <v>0</v>
      </c>
    </row>
    <row r="2676" spans="2:8">
      <c r="B2676" s="17" t="s">
        <v>8619</v>
      </c>
      <c r="C2676" s="246" t="s">
        <v>3151</v>
      </c>
      <c r="D2676" s="18">
        <v>0</v>
      </c>
      <c r="E2676" s="18">
        <v>0</v>
      </c>
      <c r="F2676" s="18">
        <v>0</v>
      </c>
      <c r="G2676" s="18">
        <v>0</v>
      </c>
      <c r="H2676" s="18">
        <v>0</v>
      </c>
    </row>
    <row r="2677" spans="2:8">
      <c r="B2677" s="14" t="s">
        <v>8620</v>
      </c>
      <c r="C2677" s="245" t="s">
        <v>3152</v>
      </c>
      <c r="D2677" s="15">
        <v>0</v>
      </c>
      <c r="E2677" s="15">
        <v>0</v>
      </c>
      <c r="F2677" s="15">
        <v>0</v>
      </c>
      <c r="G2677" s="15">
        <v>0</v>
      </c>
      <c r="H2677" s="15">
        <v>0</v>
      </c>
    </row>
    <row r="2678" spans="2:8">
      <c r="B2678" s="17" t="s">
        <v>8621</v>
      </c>
      <c r="C2678" s="246" t="s">
        <v>3153</v>
      </c>
      <c r="D2678" s="18">
        <v>0</v>
      </c>
      <c r="E2678" s="18">
        <v>3</v>
      </c>
      <c r="F2678" s="18">
        <v>0</v>
      </c>
      <c r="G2678" s="18">
        <v>0</v>
      </c>
      <c r="H2678" s="18">
        <v>0</v>
      </c>
    </row>
    <row r="2679" spans="2:8">
      <c r="B2679" s="14" t="s">
        <v>8622</v>
      </c>
      <c r="C2679" s="245" t="s">
        <v>3154</v>
      </c>
      <c r="D2679" s="15">
        <v>0</v>
      </c>
      <c r="E2679" s="15">
        <v>0</v>
      </c>
      <c r="F2679" s="15">
        <v>0</v>
      </c>
      <c r="G2679" s="15">
        <v>0</v>
      </c>
      <c r="H2679" s="15">
        <v>0</v>
      </c>
    </row>
    <row r="2680" spans="2:8">
      <c r="B2680" s="17" t="s">
        <v>8623</v>
      </c>
      <c r="C2680" s="246" t="s">
        <v>3155</v>
      </c>
      <c r="D2680" s="18">
        <v>0</v>
      </c>
      <c r="E2680" s="18">
        <v>0</v>
      </c>
      <c r="F2680" s="18">
        <v>0</v>
      </c>
      <c r="G2680" s="18">
        <v>0</v>
      </c>
      <c r="H2680" s="18">
        <v>0</v>
      </c>
    </row>
    <row r="2681" spans="2:8">
      <c r="B2681" s="14" t="s">
        <v>8624</v>
      </c>
      <c r="C2681" s="245" t="s">
        <v>3156</v>
      </c>
      <c r="D2681" s="15">
        <v>0</v>
      </c>
      <c r="E2681" s="15">
        <v>0</v>
      </c>
      <c r="F2681" s="15">
        <v>0</v>
      </c>
      <c r="G2681" s="15">
        <v>0</v>
      </c>
      <c r="H2681" s="15">
        <v>0</v>
      </c>
    </row>
    <row r="2682" spans="2:8">
      <c r="B2682" s="17" t="s">
        <v>8625</v>
      </c>
      <c r="C2682" s="246" t="s">
        <v>3157</v>
      </c>
      <c r="D2682" s="18">
        <v>0</v>
      </c>
      <c r="E2682" s="18">
        <v>0</v>
      </c>
      <c r="F2682" s="18">
        <v>0</v>
      </c>
      <c r="G2682" s="18">
        <v>0</v>
      </c>
      <c r="H2682" s="18">
        <v>0</v>
      </c>
    </row>
    <row r="2683" spans="2:8">
      <c r="B2683" s="14" t="s">
        <v>8626</v>
      </c>
      <c r="C2683" s="245" t="s">
        <v>3158</v>
      </c>
      <c r="D2683" s="15">
        <v>0</v>
      </c>
      <c r="E2683" s="15">
        <v>0</v>
      </c>
      <c r="F2683" s="15">
        <v>0</v>
      </c>
      <c r="G2683" s="15">
        <v>0</v>
      </c>
      <c r="H2683" s="15">
        <v>0</v>
      </c>
    </row>
    <row r="2684" spans="2:8">
      <c r="B2684" s="17" t="s">
        <v>8627</v>
      </c>
      <c r="C2684" s="246" t="s">
        <v>3159</v>
      </c>
      <c r="D2684" s="18">
        <v>0</v>
      </c>
      <c r="E2684" s="18">
        <v>0</v>
      </c>
      <c r="F2684" s="18">
        <v>0</v>
      </c>
      <c r="G2684" s="18">
        <v>0</v>
      </c>
      <c r="H2684" s="18">
        <v>0</v>
      </c>
    </row>
    <row r="2685" spans="2:8">
      <c r="B2685" s="14" t="s">
        <v>8628</v>
      </c>
      <c r="C2685" s="245" t="s">
        <v>3160</v>
      </c>
      <c r="D2685" s="15">
        <v>0</v>
      </c>
      <c r="E2685" s="15">
        <v>0</v>
      </c>
      <c r="F2685" s="15">
        <v>0</v>
      </c>
      <c r="G2685" s="15">
        <v>0</v>
      </c>
      <c r="H2685" s="15">
        <v>0</v>
      </c>
    </row>
    <row r="2686" spans="2:8">
      <c r="B2686" s="17" t="s">
        <v>8629</v>
      </c>
      <c r="C2686" s="246" t="s">
        <v>3161</v>
      </c>
      <c r="D2686" s="18">
        <v>0</v>
      </c>
      <c r="E2686" s="18">
        <v>0</v>
      </c>
      <c r="F2686" s="18">
        <v>0</v>
      </c>
      <c r="G2686" s="18">
        <v>0</v>
      </c>
      <c r="H2686" s="18">
        <v>0</v>
      </c>
    </row>
    <row r="2687" spans="2:8">
      <c r="B2687" s="14" t="s">
        <v>8630</v>
      </c>
      <c r="C2687" s="245" t="s">
        <v>3162</v>
      </c>
      <c r="D2687" s="15">
        <v>0</v>
      </c>
      <c r="E2687" s="15">
        <v>0</v>
      </c>
      <c r="F2687" s="15">
        <v>0</v>
      </c>
      <c r="G2687" s="15">
        <v>0</v>
      </c>
      <c r="H2687" s="15">
        <v>0</v>
      </c>
    </row>
    <row r="2688" spans="2:8">
      <c r="B2688" s="17" t="s">
        <v>8631</v>
      </c>
      <c r="C2688" s="246" t="s">
        <v>2282</v>
      </c>
      <c r="D2688" s="18">
        <v>0</v>
      </c>
      <c r="E2688" s="18">
        <v>0</v>
      </c>
      <c r="F2688" s="18">
        <v>0</v>
      </c>
      <c r="G2688" s="18">
        <v>0</v>
      </c>
      <c r="H2688" s="18">
        <v>0</v>
      </c>
    </row>
    <row r="2689" spans="2:8">
      <c r="B2689" s="14" t="s">
        <v>8632</v>
      </c>
      <c r="C2689" s="245" t="s">
        <v>3163</v>
      </c>
      <c r="D2689" s="15">
        <v>0</v>
      </c>
      <c r="E2689" s="15">
        <v>0</v>
      </c>
      <c r="F2689" s="15">
        <v>0</v>
      </c>
      <c r="G2689" s="15">
        <v>0</v>
      </c>
      <c r="H2689" s="15">
        <v>0</v>
      </c>
    </row>
    <row r="2690" spans="2:8">
      <c r="B2690" s="17" t="s">
        <v>8633</v>
      </c>
      <c r="C2690" s="246" t="s">
        <v>3164</v>
      </c>
      <c r="D2690" s="18">
        <v>0</v>
      </c>
      <c r="E2690" s="18">
        <v>0</v>
      </c>
      <c r="F2690" s="18">
        <v>0</v>
      </c>
      <c r="G2690" s="18">
        <v>0</v>
      </c>
      <c r="H2690" s="18">
        <v>0</v>
      </c>
    </row>
    <row r="2691" spans="2:8">
      <c r="B2691" s="14" t="s">
        <v>8634</v>
      </c>
      <c r="C2691" s="245" t="s">
        <v>3165</v>
      </c>
      <c r="D2691" s="15">
        <v>0</v>
      </c>
      <c r="E2691" s="15">
        <v>0</v>
      </c>
      <c r="F2691" s="15">
        <v>0</v>
      </c>
      <c r="G2691" s="15">
        <v>0</v>
      </c>
      <c r="H2691" s="15">
        <v>0</v>
      </c>
    </row>
    <row r="2692" spans="2:8">
      <c r="B2692" s="17" t="s">
        <v>8635</v>
      </c>
      <c r="C2692" s="246" t="s">
        <v>3166</v>
      </c>
      <c r="D2692" s="18">
        <v>0</v>
      </c>
      <c r="E2692" s="18">
        <v>0</v>
      </c>
      <c r="F2692" s="18">
        <v>0</v>
      </c>
      <c r="G2692" s="18">
        <v>0</v>
      </c>
      <c r="H2692" s="18">
        <v>0</v>
      </c>
    </row>
    <row r="2693" spans="2:8">
      <c r="B2693" s="14" t="s">
        <v>8636</v>
      </c>
      <c r="C2693" s="245" t="s">
        <v>3167</v>
      </c>
      <c r="D2693" s="15">
        <v>0</v>
      </c>
      <c r="E2693" s="15">
        <v>0</v>
      </c>
      <c r="F2693" s="15">
        <v>0</v>
      </c>
      <c r="G2693" s="15">
        <v>0</v>
      </c>
      <c r="H2693" s="15">
        <v>0</v>
      </c>
    </row>
    <row r="2694" spans="2:8">
      <c r="B2694" s="17" t="s">
        <v>8637</v>
      </c>
      <c r="C2694" s="246" t="s">
        <v>3168</v>
      </c>
      <c r="D2694" s="18">
        <v>0</v>
      </c>
      <c r="E2694" s="18">
        <v>0</v>
      </c>
      <c r="F2694" s="18">
        <v>0</v>
      </c>
      <c r="G2694" s="18">
        <v>0</v>
      </c>
      <c r="H2694" s="18">
        <v>0</v>
      </c>
    </row>
    <row r="2695" spans="2:8">
      <c r="B2695" s="14" t="s">
        <v>8638</v>
      </c>
      <c r="C2695" s="245" t="s">
        <v>3169</v>
      </c>
      <c r="D2695" s="15">
        <v>0</v>
      </c>
      <c r="E2695" s="15">
        <v>0</v>
      </c>
      <c r="F2695" s="15">
        <v>0</v>
      </c>
      <c r="G2695" s="15">
        <v>0</v>
      </c>
      <c r="H2695" s="15">
        <v>0</v>
      </c>
    </row>
    <row r="2696" spans="2:8">
      <c r="B2696" s="17" t="s">
        <v>8639</v>
      </c>
      <c r="C2696" s="246" t="s">
        <v>3170</v>
      </c>
      <c r="D2696" s="18">
        <v>0</v>
      </c>
      <c r="E2696" s="18">
        <v>0</v>
      </c>
      <c r="F2696" s="18">
        <v>7</v>
      </c>
      <c r="G2696" s="18">
        <v>0</v>
      </c>
      <c r="H2696" s="18">
        <v>0</v>
      </c>
    </row>
    <row r="2697" spans="2:8">
      <c r="B2697" s="14" t="s">
        <v>8640</v>
      </c>
      <c r="C2697" s="245" t="s">
        <v>3171</v>
      </c>
      <c r="D2697" s="15">
        <v>0</v>
      </c>
      <c r="E2697" s="15">
        <v>0</v>
      </c>
      <c r="F2697" s="15">
        <v>0</v>
      </c>
      <c r="G2697" s="15">
        <v>0</v>
      </c>
      <c r="H2697" s="15">
        <v>0</v>
      </c>
    </row>
    <row r="2698" spans="2:8">
      <c r="B2698" s="17" t="s">
        <v>8641</v>
      </c>
      <c r="C2698" s="246" t="s">
        <v>3172</v>
      </c>
      <c r="D2698" s="18">
        <v>0</v>
      </c>
      <c r="E2698" s="18">
        <v>0</v>
      </c>
      <c r="F2698" s="18">
        <v>0</v>
      </c>
      <c r="G2698" s="18">
        <v>0</v>
      </c>
      <c r="H2698" s="18">
        <v>0</v>
      </c>
    </row>
    <row r="2699" spans="2:8">
      <c r="B2699" s="14" t="s">
        <v>8642</v>
      </c>
      <c r="C2699" s="245" t="s">
        <v>3173</v>
      </c>
      <c r="D2699" s="15">
        <v>0</v>
      </c>
      <c r="E2699" s="15">
        <v>0</v>
      </c>
      <c r="F2699" s="15">
        <v>0</v>
      </c>
      <c r="G2699" s="15">
        <v>0</v>
      </c>
      <c r="H2699" s="15">
        <v>0</v>
      </c>
    </row>
    <row r="2700" spans="2:8">
      <c r="B2700" s="17" t="s">
        <v>8643</v>
      </c>
      <c r="C2700" s="246" t="s">
        <v>3174</v>
      </c>
      <c r="D2700" s="18">
        <v>0</v>
      </c>
      <c r="E2700" s="18">
        <v>0</v>
      </c>
      <c r="F2700" s="18">
        <v>0</v>
      </c>
      <c r="G2700" s="18">
        <v>0</v>
      </c>
      <c r="H2700" s="18">
        <v>0</v>
      </c>
    </row>
    <row r="2701" spans="2:8">
      <c r="B2701" s="14" t="s">
        <v>8644</v>
      </c>
      <c r="C2701" s="245" t="s">
        <v>3175</v>
      </c>
      <c r="D2701" s="15">
        <v>0</v>
      </c>
      <c r="E2701" s="15">
        <v>0</v>
      </c>
      <c r="F2701" s="15">
        <v>0</v>
      </c>
      <c r="G2701" s="15">
        <v>0</v>
      </c>
      <c r="H2701" s="15">
        <v>0</v>
      </c>
    </row>
    <row r="2702" spans="2:8">
      <c r="B2702" s="17" t="s">
        <v>8645</v>
      </c>
      <c r="C2702" s="246" t="s">
        <v>3176</v>
      </c>
      <c r="D2702" s="18">
        <v>0</v>
      </c>
      <c r="E2702" s="18">
        <v>0</v>
      </c>
      <c r="F2702" s="18">
        <v>0</v>
      </c>
      <c r="G2702" s="18">
        <v>0</v>
      </c>
      <c r="H2702" s="18">
        <v>0</v>
      </c>
    </row>
    <row r="2703" spans="2:8">
      <c r="B2703" s="14" t="s">
        <v>8646</v>
      </c>
      <c r="C2703" s="245" t="s">
        <v>3177</v>
      </c>
      <c r="D2703" s="15">
        <v>0</v>
      </c>
      <c r="E2703" s="15">
        <v>0</v>
      </c>
      <c r="F2703" s="15">
        <v>0</v>
      </c>
      <c r="G2703" s="15">
        <v>0</v>
      </c>
      <c r="H2703" s="15">
        <v>0</v>
      </c>
    </row>
    <row r="2704" spans="2:8">
      <c r="B2704" s="17" t="s">
        <v>8647</v>
      </c>
      <c r="C2704" s="246" t="s">
        <v>3178</v>
      </c>
      <c r="D2704" s="18">
        <v>0</v>
      </c>
      <c r="E2704" s="18">
        <v>0</v>
      </c>
      <c r="F2704" s="18">
        <v>0</v>
      </c>
      <c r="G2704" s="18">
        <v>1</v>
      </c>
      <c r="H2704" s="18">
        <v>0</v>
      </c>
    </row>
    <row r="2705" spans="2:8">
      <c r="B2705" s="14" t="s">
        <v>8648</v>
      </c>
      <c r="C2705" s="245" t="s">
        <v>3179</v>
      </c>
      <c r="D2705" s="15">
        <v>0</v>
      </c>
      <c r="E2705" s="15">
        <v>0</v>
      </c>
      <c r="F2705" s="15">
        <v>0</v>
      </c>
      <c r="G2705" s="15">
        <v>0</v>
      </c>
      <c r="H2705" s="15">
        <v>0</v>
      </c>
    </row>
    <row r="2706" spans="2:8">
      <c r="B2706" s="17" t="s">
        <v>8649</v>
      </c>
      <c r="C2706" s="246" t="s">
        <v>3180</v>
      </c>
      <c r="D2706" s="18">
        <v>0</v>
      </c>
      <c r="E2706" s="18">
        <v>0</v>
      </c>
      <c r="F2706" s="18">
        <v>0</v>
      </c>
      <c r="G2706" s="18">
        <v>0</v>
      </c>
      <c r="H2706" s="18">
        <v>0</v>
      </c>
    </row>
    <row r="2707" spans="2:8">
      <c r="B2707" s="14" t="s">
        <v>8650</v>
      </c>
      <c r="C2707" s="245" t="s">
        <v>3181</v>
      </c>
      <c r="D2707" s="15">
        <v>0</v>
      </c>
      <c r="E2707" s="15">
        <v>0</v>
      </c>
      <c r="F2707" s="15">
        <v>0</v>
      </c>
      <c r="G2707" s="15">
        <v>0</v>
      </c>
      <c r="H2707" s="15">
        <v>0</v>
      </c>
    </row>
    <row r="2708" spans="2:8">
      <c r="B2708" s="17" t="s">
        <v>8651</v>
      </c>
      <c r="C2708" s="246" t="s">
        <v>3182</v>
      </c>
      <c r="D2708" s="18">
        <v>0</v>
      </c>
      <c r="E2708" s="18">
        <v>0</v>
      </c>
      <c r="F2708" s="18">
        <v>0</v>
      </c>
      <c r="G2708" s="18">
        <v>5</v>
      </c>
      <c r="H2708" s="18">
        <v>0</v>
      </c>
    </row>
    <row r="2709" spans="2:8">
      <c r="B2709" s="14" t="s">
        <v>8652</v>
      </c>
      <c r="C2709" s="245" t="s">
        <v>3183</v>
      </c>
      <c r="D2709" s="15">
        <v>0</v>
      </c>
      <c r="E2709" s="15">
        <v>0</v>
      </c>
      <c r="F2709" s="15">
        <v>0</v>
      </c>
      <c r="G2709" s="15">
        <v>0</v>
      </c>
      <c r="H2709" s="15">
        <v>0</v>
      </c>
    </row>
    <row r="2710" spans="2:8">
      <c r="B2710" s="17" t="s">
        <v>8653</v>
      </c>
      <c r="C2710" s="246" t="s">
        <v>3184</v>
      </c>
      <c r="D2710" s="18">
        <v>0</v>
      </c>
      <c r="E2710" s="18">
        <v>0</v>
      </c>
      <c r="F2710" s="18">
        <v>0</v>
      </c>
      <c r="G2710" s="18">
        <v>0</v>
      </c>
      <c r="H2710" s="18">
        <v>0</v>
      </c>
    </row>
    <row r="2711" spans="2:8">
      <c r="B2711" s="14" t="s">
        <v>8654</v>
      </c>
      <c r="C2711" s="245" t="s">
        <v>3185</v>
      </c>
      <c r="D2711" s="15">
        <v>0</v>
      </c>
      <c r="E2711" s="15">
        <v>0</v>
      </c>
      <c r="F2711" s="15">
        <v>0</v>
      </c>
      <c r="G2711" s="15">
        <v>0</v>
      </c>
      <c r="H2711" s="15">
        <v>0</v>
      </c>
    </row>
    <row r="2712" spans="2:8">
      <c r="B2712" s="17" t="s">
        <v>8655</v>
      </c>
      <c r="C2712" s="246" t="s">
        <v>3186</v>
      </c>
      <c r="D2712" s="18">
        <v>0</v>
      </c>
      <c r="E2712" s="18">
        <v>0</v>
      </c>
      <c r="F2712" s="18">
        <v>0</v>
      </c>
      <c r="G2712" s="18">
        <v>0</v>
      </c>
      <c r="H2712" s="18">
        <v>0</v>
      </c>
    </row>
    <row r="2713" spans="2:8">
      <c r="B2713" s="14" t="s">
        <v>8656</v>
      </c>
      <c r="C2713" s="245" t="s">
        <v>3187</v>
      </c>
      <c r="D2713" s="15">
        <v>0</v>
      </c>
      <c r="E2713" s="15">
        <v>0</v>
      </c>
      <c r="F2713" s="15">
        <v>0</v>
      </c>
      <c r="G2713" s="15">
        <v>0</v>
      </c>
      <c r="H2713" s="15">
        <v>0</v>
      </c>
    </row>
    <row r="2714" spans="2:8">
      <c r="B2714" s="17" t="s">
        <v>8657</v>
      </c>
      <c r="C2714" s="246" t="s">
        <v>3188</v>
      </c>
      <c r="D2714" s="18">
        <v>0</v>
      </c>
      <c r="E2714" s="18">
        <v>0</v>
      </c>
      <c r="F2714" s="18">
        <v>0</v>
      </c>
      <c r="G2714" s="18">
        <v>0</v>
      </c>
      <c r="H2714" s="18">
        <v>0</v>
      </c>
    </row>
    <row r="2715" spans="2:8">
      <c r="B2715" s="14" t="s">
        <v>8658</v>
      </c>
      <c r="C2715" s="245" t="s">
        <v>3189</v>
      </c>
      <c r="D2715" s="15">
        <v>0</v>
      </c>
      <c r="E2715" s="15">
        <v>0</v>
      </c>
      <c r="F2715" s="15">
        <v>0</v>
      </c>
      <c r="G2715" s="15">
        <v>0</v>
      </c>
      <c r="H2715" s="15">
        <v>0</v>
      </c>
    </row>
    <row r="2716" spans="2:8">
      <c r="B2716" s="17" t="s">
        <v>8659</v>
      </c>
      <c r="C2716" s="246" t="s">
        <v>3190</v>
      </c>
      <c r="D2716" s="18">
        <v>0</v>
      </c>
      <c r="E2716" s="18">
        <v>0</v>
      </c>
      <c r="F2716" s="18">
        <v>0</v>
      </c>
      <c r="G2716" s="18">
        <v>0</v>
      </c>
      <c r="H2716" s="18">
        <v>0</v>
      </c>
    </row>
    <row r="2717" spans="2:8">
      <c r="B2717" s="14" t="s">
        <v>8660</v>
      </c>
      <c r="C2717" s="245" t="s">
        <v>3191</v>
      </c>
      <c r="D2717" s="15">
        <v>26</v>
      </c>
      <c r="E2717" s="15">
        <v>0</v>
      </c>
      <c r="F2717" s="15">
        <v>0</v>
      </c>
      <c r="G2717" s="15">
        <v>0</v>
      </c>
      <c r="H2717" s="15">
        <v>0</v>
      </c>
    </row>
    <row r="2718" spans="2:8">
      <c r="B2718" s="17" t="s">
        <v>8661</v>
      </c>
      <c r="C2718" s="246" t="s">
        <v>3192</v>
      </c>
      <c r="D2718" s="18">
        <v>0</v>
      </c>
      <c r="E2718" s="18">
        <v>0</v>
      </c>
      <c r="F2718" s="18">
        <v>0</v>
      </c>
      <c r="G2718" s="18">
        <v>0</v>
      </c>
      <c r="H2718" s="18">
        <v>0</v>
      </c>
    </row>
    <row r="2719" spans="2:8">
      <c r="B2719" s="14" t="s">
        <v>8662</v>
      </c>
      <c r="C2719" s="245" t="s">
        <v>3193</v>
      </c>
      <c r="D2719" s="15">
        <v>0</v>
      </c>
      <c r="E2719" s="15">
        <v>0</v>
      </c>
      <c r="F2719" s="15">
        <v>0</v>
      </c>
      <c r="G2719" s="15">
        <v>0</v>
      </c>
      <c r="H2719" s="15">
        <v>0</v>
      </c>
    </row>
    <row r="2720" spans="2:8">
      <c r="B2720" s="17" t="s">
        <v>8663</v>
      </c>
      <c r="C2720" s="246" t="s">
        <v>3194</v>
      </c>
      <c r="D2720" s="18">
        <v>0</v>
      </c>
      <c r="E2720" s="18">
        <v>0</v>
      </c>
      <c r="F2720" s="18">
        <v>0</v>
      </c>
      <c r="G2720" s="18">
        <v>0</v>
      </c>
      <c r="H2720" s="18">
        <v>0</v>
      </c>
    </row>
    <row r="2721" spans="2:8">
      <c r="B2721" s="14" t="s">
        <v>8664</v>
      </c>
      <c r="C2721" s="245" t="s">
        <v>3195</v>
      </c>
      <c r="D2721" s="15">
        <v>0</v>
      </c>
      <c r="E2721" s="15">
        <v>0</v>
      </c>
      <c r="F2721" s="15">
        <v>0</v>
      </c>
      <c r="G2721" s="15">
        <v>0</v>
      </c>
      <c r="H2721" s="15">
        <v>0</v>
      </c>
    </row>
    <row r="2722" spans="2:8">
      <c r="B2722" s="17" t="s">
        <v>8665</v>
      </c>
      <c r="C2722" s="246" t="s">
        <v>3196</v>
      </c>
      <c r="D2722" s="18">
        <v>0</v>
      </c>
      <c r="E2722" s="18">
        <v>0</v>
      </c>
      <c r="F2722" s="18">
        <v>0</v>
      </c>
      <c r="G2722" s="18">
        <v>0</v>
      </c>
      <c r="H2722" s="18">
        <v>0</v>
      </c>
    </row>
    <row r="2723" spans="2:8">
      <c r="B2723" s="14" t="s">
        <v>8666</v>
      </c>
      <c r="C2723" s="245" t="s">
        <v>3197</v>
      </c>
      <c r="D2723" s="15">
        <v>137</v>
      </c>
      <c r="E2723" s="15">
        <v>200</v>
      </c>
      <c r="F2723" s="15">
        <v>77</v>
      </c>
      <c r="G2723" s="15">
        <v>194</v>
      </c>
      <c r="H2723" s="15">
        <v>0</v>
      </c>
    </row>
    <row r="2724" spans="2:8">
      <c r="B2724" s="17" t="s">
        <v>8667</v>
      </c>
      <c r="C2724" s="246" t="s">
        <v>3198</v>
      </c>
      <c r="D2724" s="18">
        <v>0</v>
      </c>
      <c r="E2724" s="18">
        <v>0</v>
      </c>
      <c r="F2724" s="18">
        <v>0</v>
      </c>
      <c r="G2724" s="18">
        <v>0</v>
      </c>
      <c r="H2724" s="18">
        <v>0</v>
      </c>
    </row>
    <row r="2725" spans="2:8">
      <c r="B2725" s="14" t="s">
        <v>8668</v>
      </c>
      <c r="C2725" s="245" t="s">
        <v>3199</v>
      </c>
      <c r="D2725" s="15">
        <v>16</v>
      </c>
      <c r="E2725" s="15">
        <v>0</v>
      </c>
      <c r="F2725" s="15">
        <v>0</v>
      </c>
      <c r="G2725" s="15">
        <v>0</v>
      </c>
      <c r="H2725" s="15">
        <v>0</v>
      </c>
    </row>
    <row r="2726" spans="2:8">
      <c r="B2726" s="17" t="s">
        <v>8669</v>
      </c>
      <c r="C2726" s="246" t="s">
        <v>3200</v>
      </c>
      <c r="D2726" s="18">
        <v>0</v>
      </c>
      <c r="E2726" s="18">
        <v>0</v>
      </c>
      <c r="F2726" s="18">
        <v>0</v>
      </c>
      <c r="G2726" s="18">
        <v>0</v>
      </c>
      <c r="H2726" s="18">
        <v>0</v>
      </c>
    </row>
    <row r="2727" spans="2:8">
      <c r="B2727" s="14" t="s">
        <v>8670</v>
      </c>
      <c r="C2727" s="245" t="s">
        <v>3201</v>
      </c>
      <c r="D2727" s="15">
        <v>0</v>
      </c>
      <c r="E2727" s="15">
        <v>0</v>
      </c>
      <c r="F2727" s="15">
        <v>0</v>
      </c>
      <c r="G2727" s="15">
        <v>0</v>
      </c>
      <c r="H2727" s="15">
        <v>0</v>
      </c>
    </row>
    <row r="2728" spans="2:8">
      <c r="B2728" s="17" t="s">
        <v>8671</v>
      </c>
      <c r="C2728" s="246" t="s">
        <v>3202</v>
      </c>
      <c r="D2728" s="18">
        <v>0</v>
      </c>
      <c r="E2728" s="18">
        <v>0</v>
      </c>
      <c r="F2728" s="18">
        <v>0</v>
      </c>
      <c r="G2728" s="18">
        <v>0</v>
      </c>
      <c r="H2728" s="18">
        <v>0</v>
      </c>
    </row>
    <row r="2729" spans="2:8">
      <c r="B2729" s="14" t="s">
        <v>8672</v>
      </c>
      <c r="C2729" s="245" t="s">
        <v>3203</v>
      </c>
      <c r="D2729" s="15">
        <v>0</v>
      </c>
      <c r="E2729" s="15">
        <v>0</v>
      </c>
      <c r="F2729" s="15">
        <v>0</v>
      </c>
      <c r="G2729" s="15">
        <v>0</v>
      </c>
      <c r="H2729" s="15">
        <v>0</v>
      </c>
    </row>
    <row r="2730" spans="2:8">
      <c r="B2730" s="17" t="s">
        <v>8673</v>
      </c>
      <c r="C2730" s="246" t="s">
        <v>3204</v>
      </c>
      <c r="D2730" s="18">
        <v>0</v>
      </c>
      <c r="E2730" s="18">
        <v>0</v>
      </c>
      <c r="F2730" s="18">
        <v>0</v>
      </c>
      <c r="G2730" s="18">
        <v>0</v>
      </c>
      <c r="H2730" s="18">
        <v>0</v>
      </c>
    </row>
    <row r="2731" spans="2:8">
      <c r="B2731" s="14" t="s">
        <v>8674</v>
      </c>
      <c r="C2731" s="245" t="s">
        <v>3205</v>
      </c>
      <c r="D2731" s="15">
        <v>0</v>
      </c>
      <c r="E2731" s="15">
        <v>0</v>
      </c>
      <c r="F2731" s="15">
        <v>0</v>
      </c>
      <c r="G2731" s="15">
        <v>0</v>
      </c>
      <c r="H2731" s="15">
        <v>0</v>
      </c>
    </row>
    <row r="2732" spans="2:8">
      <c r="B2732" s="17" t="s">
        <v>8675</v>
      </c>
      <c r="C2732" s="246" t="s">
        <v>3206</v>
      </c>
      <c r="D2732" s="18">
        <v>0</v>
      </c>
      <c r="E2732" s="18">
        <v>0</v>
      </c>
      <c r="F2732" s="18">
        <v>0</v>
      </c>
      <c r="G2732" s="18">
        <v>0</v>
      </c>
      <c r="H2732" s="18">
        <v>0</v>
      </c>
    </row>
    <row r="2733" spans="2:8">
      <c r="B2733" s="14" t="s">
        <v>8676</v>
      </c>
      <c r="C2733" s="245" t="s">
        <v>1898</v>
      </c>
      <c r="D2733" s="15">
        <v>0</v>
      </c>
      <c r="E2733" s="15">
        <v>0</v>
      </c>
      <c r="F2733" s="15">
        <v>0</v>
      </c>
      <c r="G2733" s="15">
        <v>0</v>
      </c>
      <c r="H2733" s="15">
        <v>0</v>
      </c>
    </row>
    <row r="2734" spans="2:8">
      <c r="B2734" s="17" t="s">
        <v>8677</v>
      </c>
      <c r="C2734" s="246" t="s">
        <v>3207</v>
      </c>
      <c r="D2734" s="18">
        <v>0</v>
      </c>
      <c r="E2734" s="18">
        <v>0</v>
      </c>
      <c r="F2734" s="18">
        <v>0</v>
      </c>
      <c r="G2734" s="18">
        <v>0</v>
      </c>
      <c r="H2734" s="18">
        <v>0</v>
      </c>
    </row>
    <row r="2735" spans="2:8">
      <c r="B2735" s="14" t="s">
        <v>8678</v>
      </c>
      <c r="C2735" s="245" t="s">
        <v>3208</v>
      </c>
      <c r="D2735" s="15">
        <v>0</v>
      </c>
      <c r="E2735" s="15">
        <v>25</v>
      </c>
      <c r="F2735" s="15">
        <v>0</v>
      </c>
      <c r="G2735" s="15">
        <v>0</v>
      </c>
      <c r="H2735" s="15">
        <v>0</v>
      </c>
    </row>
    <row r="2736" spans="2:8">
      <c r="B2736" s="17" t="s">
        <v>8679</v>
      </c>
      <c r="C2736" s="246" t="s">
        <v>3209</v>
      </c>
      <c r="D2736" s="18">
        <v>0</v>
      </c>
      <c r="E2736" s="18">
        <v>0</v>
      </c>
      <c r="F2736" s="18">
        <v>0</v>
      </c>
      <c r="G2736" s="18">
        <v>0</v>
      </c>
      <c r="H2736" s="18">
        <v>0</v>
      </c>
    </row>
    <row r="2737" spans="2:8">
      <c r="B2737" s="14" t="s">
        <v>8680</v>
      </c>
      <c r="C2737" s="245" t="s">
        <v>3210</v>
      </c>
      <c r="D2737" s="15">
        <v>0</v>
      </c>
      <c r="E2737" s="15">
        <v>0</v>
      </c>
      <c r="F2737" s="15">
        <v>0</v>
      </c>
      <c r="G2737" s="15">
        <v>0</v>
      </c>
      <c r="H2737" s="15">
        <v>0</v>
      </c>
    </row>
    <row r="2738" spans="2:8">
      <c r="B2738" s="17" t="s">
        <v>8681</v>
      </c>
      <c r="C2738" s="246" t="s">
        <v>3211</v>
      </c>
      <c r="D2738" s="18">
        <v>0</v>
      </c>
      <c r="E2738" s="18">
        <v>0</v>
      </c>
      <c r="F2738" s="18">
        <v>0</v>
      </c>
      <c r="G2738" s="18">
        <v>0</v>
      </c>
      <c r="H2738" s="18">
        <v>0</v>
      </c>
    </row>
    <row r="2739" spans="2:8">
      <c r="B2739" s="14" t="s">
        <v>8682</v>
      </c>
      <c r="C2739" s="245" t="s">
        <v>3212</v>
      </c>
      <c r="D2739" s="15">
        <v>0</v>
      </c>
      <c r="E2739" s="15">
        <v>0</v>
      </c>
      <c r="F2739" s="15">
        <v>0</v>
      </c>
      <c r="G2739" s="15">
        <v>0</v>
      </c>
      <c r="H2739" s="15">
        <v>0</v>
      </c>
    </row>
    <row r="2740" spans="2:8">
      <c r="B2740" s="17" t="s">
        <v>8683</v>
      </c>
      <c r="C2740" s="246" t="s">
        <v>3213</v>
      </c>
      <c r="D2740" s="18">
        <v>0</v>
      </c>
      <c r="E2740" s="18">
        <v>0</v>
      </c>
      <c r="F2740" s="18">
        <v>0</v>
      </c>
      <c r="G2740" s="18">
        <v>0</v>
      </c>
      <c r="H2740" s="18">
        <v>0</v>
      </c>
    </row>
    <row r="2741" spans="2:8">
      <c r="B2741" s="14" t="s">
        <v>8684</v>
      </c>
      <c r="C2741" s="245" t="s">
        <v>3214</v>
      </c>
      <c r="D2741" s="15">
        <v>0</v>
      </c>
      <c r="E2741" s="15">
        <v>1</v>
      </c>
      <c r="F2741" s="15">
        <v>0</v>
      </c>
      <c r="G2741" s="15">
        <v>0</v>
      </c>
      <c r="H2741" s="15">
        <v>0</v>
      </c>
    </row>
    <row r="2742" spans="2:8">
      <c r="B2742" s="17" t="s">
        <v>8685</v>
      </c>
      <c r="C2742" s="246" t="s">
        <v>3215</v>
      </c>
      <c r="D2742" s="18">
        <v>0</v>
      </c>
      <c r="E2742" s="18">
        <v>0</v>
      </c>
      <c r="F2742" s="18">
        <v>1</v>
      </c>
      <c r="G2742" s="18">
        <v>0</v>
      </c>
      <c r="H2742" s="18">
        <v>0</v>
      </c>
    </row>
    <row r="2743" spans="2:8">
      <c r="B2743" s="14" t="s">
        <v>8686</v>
      </c>
      <c r="C2743" s="245" t="s">
        <v>857</v>
      </c>
      <c r="D2743" s="15">
        <v>0</v>
      </c>
      <c r="E2743" s="15">
        <v>0</v>
      </c>
      <c r="F2743" s="15">
        <v>0</v>
      </c>
      <c r="G2743" s="15">
        <v>0</v>
      </c>
      <c r="H2743" s="15">
        <v>0</v>
      </c>
    </row>
    <row r="2744" spans="2:8">
      <c r="B2744" s="17" t="s">
        <v>8687</v>
      </c>
      <c r="C2744" s="246" t="s">
        <v>3216</v>
      </c>
      <c r="D2744" s="18">
        <v>0</v>
      </c>
      <c r="E2744" s="18">
        <v>0</v>
      </c>
      <c r="F2744" s="18">
        <v>0</v>
      </c>
      <c r="G2744" s="18">
        <v>0</v>
      </c>
      <c r="H2744" s="18">
        <v>0</v>
      </c>
    </row>
    <row r="2745" spans="2:8">
      <c r="B2745" s="14" t="s">
        <v>8688</v>
      </c>
      <c r="C2745" s="245" t="s">
        <v>3217</v>
      </c>
      <c r="D2745" s="15">
        <v>491</v>
      </c>
      <c r="E2745" s="15">
        <v>229</v>
      </c>
      <c r="F2745" s="15">
        <v>0</v>
      </c>
      <c r="G2745" s="15">
        <v>0</v>
      </c>
      <c r="H2745" s="15">
        <v>0</v>
      </c>
    </row>
    <row r="2746" spans="2:8">
      <c r="B2746" s="17" t="s">
        <v>8689</v>
      </c>
      <c r="C2746" s="246" t="s">
        <v>3218</v>
      </c>
      <c r="D2746" s="18">
        <v>0</v>
      </c>
      <c r="E2746" s="18">
        <v>0</v>
      </c>
      <c r="F2746" s="18">
        <v>0</v>
      </c>
      <c r="G2746" s="18">
        <v>0</v>
      </c>
      <c r="H2746" s="18">
        <v>0</v>
      </c>
    </row>
    <row r="2747" spans="2:8">
      <c r="B2747" s="14" t="s">
        <v>8690</v>
      </c>
      <c r="C2747" s="245" t="s">
        <v>3219</v>
      </c>
      <c r="D2747" s="15">
        <v>0</v>
      </c>
      <c r="E2747" s="15">
        <v>0</v>
      </c>
      <c r="F2747" s="15">
        <v>0</v>
      </c>
      <c r="G2747" s="15">
        <v>0</v>
      </c>
      <c r="H2747" s="15">
        <v>0</v>
      </c>
    </row>
    <row r="2748" spans="2:8">
      <c r="B2748" s="17" t="s">
        <v>8691</v>
      </c>
      <c r="C2748" s="246" t="s">
        <v>3220</v>
      </c>
      <c r="D2748" s="18">
        <v>0</v>
      </c>
      <c r="E2748" s="18">
        <v>0</v>
      </c>
      <c r="F2748" s="18">
        <v>0</v>
      </c>
      <c r="G2748" s="18">
        <v>0</v>
      </c>
      <c r="H2748" s="18">
        <v>0</v>
      </c>
    </row>
    <row r="2749" spans="2:8">
      <c r="B2749" s="14" t="s">
        <v>8692</v>
      </c>
      <c r="C2749" s="245" t="s">
        <v>3221</v>
      </c>
      <c r="D2749" s="15">
        <v>0</v>
      </c>
      <c r="E2749" s="15">
        <v>0</v>
      </c>
      <c r="F2749" s="15">
        <v>0</v>
      </c>
      <c r="G2749" s="15">
        <v>0</v>
      </c>
      <c r="H2749" s="15">
        <v>0</v>
      </c>
    </row>
    <row r="2750" spans="2:8">
      <c r="B2750" s="17" t="s">
        <v>8693</v>
      </c>
      <c r="C2750" s="246" t="s">
        <v>3222</v>
      </c>
      <c r="D2750" s="18">
        <v>0</v>
      </c>
      <c r="E2750" s="18">
        <v>0</v>
      </c>
      <c r="F2750" s="18">
        <v>0</v>
      </c>
      <c r="G2750" s="18">
        <v>0</v>
      </c>
      <c r="H2750" s="18">
        <v>0</v>
      </c>
    </row>
    <row r="2751" spans="2:8">
      <c r="B2751" s="14" t="s">
        <v>8694</v>
      </c>
      <c r="C2751" s="245" t="s">
        <v>3223</v>
      </c>
      <c r="D2751" s="15">
        <v>0</v>
      </c>
      <c r="E2751" s="15">
        <v>0</v>
      </c>
      <c r="F2751" s="15">
        <v>0</v>
      </c>
      <c r="G2751" s="15">
        <v>0</v>
      </c>
      <c r="H2751" s="15">
        <v>0</v>
      </c>
    </row>
    <row r="2752" spans="2:8">
      <c r="B2752" s="17" t="s">
        <v>8695</v>
      </c>
      <c r="C2752" s="246" t="s">
        <v>3224</v>
      </c>
      <c r="D2752" s="18">
        <v>0</v>
      </c>
      <c r="E2752" s="18">
        <v>0</v>
      </c>
      <c r="F2752" s="18">
        <v>0</v>
      </c>
      <c r="G2752" s="18">
        <v>0</v>
      </c>
      <c r="H2752" s="18">
        <v>0</v>
      </c>
    </row>
    <row r="2753" spans="2:8">
      <c r="B2753" s="14" t="s">
        <v>8696</v>
      </c>
      <c r="C2753" s="245" t="s">
        <v>3225</v>
      </c>
      <c r="D2753" s="15">
        <v>0</v>
      </c>
      <c r="E2753" s="15">
        <v>0</v>
      </c>
      <c r="F2753" s="15">
        <v>0</v>
      </c>
      <c r="G2753" s="15">
        <v>0</v>
      </c>
      <c r="H2753" s="15">
        <v>0</v>
      </c>
    </row>
    <row r="2754" spans="2:8">
      <c r="B2754" s="17" t="s">
        <v>8697</v>
      </c>
      <c r="C2754" s="246" t="s">
        <v>3225</v>
      </c>
      <c r="D2754" s="18">
        <v>0</v>
      </c>
      <c r="E2754" s="18">
        <v>0</v>
      </c>
      <c r="F2754" s="18">
        <v>0</v>
      </c>
      <c r="G2754" s="18">
        <v>0</v>
      </c>
      <c r="H2754" s="18">
        <v>0</v>
      </c>
    </row>
    <row r="2755" spans="2:8">
      <c r="B2755" s="14" t="s">
        <v>8698</v>
      </c>
      <c r="C2755" s="245" t="s">
        <v>3226</v>
      </c>
      <c r="D2755" s="15">
        <v>0</v>
      </c>
      <c r="E2755" s="15">
        <v>0</v>
      </c>
      <c r="F2755" s="15">
        <v>0</v>
      </c>
      <c r="G2755" s="15">
        <v>0</v>
      </c>
      <c r="H2755" s="15">
        <v>0</v>
      </c>
    </row>
    <row r="2756" spans="2:8">
      <c r="B2756" s="17" t="s">
        <v>8699</v>
      </c>
      <c r="C2756" s="246" t="s">
        <v>3227</v>
      </c>
      <c r="D2756" s="18">
        <v>0</v>
      </c>
      <c r="E2756" s="18">
        <v>0</v>
      </c>
      <c r="F2756" s="18">
        <v>0</v>
      </c>
      <c r="G2756" s="18">
        <v>0</v>
      </c>
      <c r="H2756" s="18">
        <v>0</v>
      </c>
    </row>
    <row r="2757" spans="2:8">
      <c r="B2757" s="14" t="s">
        <v>8700</v>
      </c>
      <c r="C2757" s="245" t="s">
        <v>3228</v>
      </c>
      <c r="D2757" s="15">
        <v>0</v>
      </c>
      <c r="E2757" s="15">
        <v>0</v>
      </c>
      <c r="F2757" s="15">
        <v>0</v>
      </c>
      <c r="G2757" s="15">
        <v>0</v>
      </c>
      <c r="H2757" s="15">
        <v>0</v>
      </c>
    </row>
    <row r="2758" spans="2:8">
      <c r="B2758" s="17" t="s">
        <v>8701</v>
      </c>
      <c r="C2758" s="246" t="s">
        <v>3229</v>
      </c>
      <c r="D2758" s="18">
        <v>0</v>
      </c>
      <c r="E2758" s="18">
        <v>0</v>
      </c>
      <c r="F2758" s="18">
        <v>0</v>
      </c>
      <c r="G2758" s="18">
        <v>0</v>
      </c>
      <c r="H2758" s="18">
        <v>0</v>
      </c>
    </row>
    <row r="2759" spans="2:8">
      <c r="B2759" s="14" t="s">
        <v>8702</v>
      </c>
      <c r="C2759" s="245" t="s">
        <v>3230</v>
      </c>
      <c r="D2759" s="15">
        <v>0</v>
      </c>
      <c r="E2759" s="15">
        <v>0</v>
      </c>
      <c r="F2759" s="15">
        <v>0</v>
      </c>
      <c r="G2759" s="15">
        <v>0</v>
      </c>
      <c r="H2759" s="15">
        <v>0</v>
      </c>
    </row>
    <row r="2760" spans="2:8">
      <c r="B2760" s="17" t="s">
        <v>8703</v>
      </c>
      <c r="C2760" s="246" t="s">
        <v>3231</v>
      </c>
      <c r="D2760" s="18">
        <v>0</v>
      </c>
      <c r="E2760" s="18">
        <v>0</v>
      </c>
      <c r="F2760" s="18">
        <v>0</v>
      </c>
      <c r="G2760" s="18">
        <v>0</v>
      </c>
      <c r="H2760" s="18">
        <v>0</v>
      </c>
    </row>
    <row r="2761" spans="2:8">
      <c r="B2761" s="14" t="s">
        <v>8704</v>
      </c>
      <c r="C2761" s="245" t="s">
        <v>3232</v>
      </c>
      <c r="D2761" s="15">
        <v>0</v>
      </c>
      <c r="E2761" s="15">
        <v>0</v>
      </c>
      <c r="F2761" s="15">
        <v>199</v>
      </c>
      <c r="G2761" s="15">
        <v>19</v>
      </c>
      <c r="H2761" s="15">
        <v>0</v>
      </c>
    </row>
    <row r="2762" spans="2:8">
      <c r="B2762" s="17" t="s">
        <v>8705</v>
      </c>
      <c r="C2762" s="246" t="s">
        <v>3233</v>
      </c>
      <c r="D2762" s="18">
        <v>0</v>
      </c>
      <c r="E2762" s="18">
        <v>0</v>
      </c>
      <c r="F2762" s="18">
        <v>0</v>
      </c>
      <c r="G2762" s="18">
        <v>0</v>
      </c>
      <c r="H2762" s="18">
        <v>0</v>
      </c>
    </row>
    <row r="2763" spans="2:8">
      <c r="B2763" s="14" t="s">
        <v>8706</v>
      </c>
      <c r="C2763" s="245" t="s">
        <v>3234</v>
      </c>
      <c r="D2763" s="15">
        <v>0</v>
      </c>
      <c r="E2763" s="15">
        <v>0</v>
      </c>
      <c r="F2763" s="15">
        <v>0</v>
      </c>
      <c r="G2763" s="15">
        <v>0</v>
      </c>
      <c r="H2763" s="15">
        <v>0</v>
      </c>
    </row>
    <row r="2764" spans="2:8">
      <c r="B2764" s="17" t="s">
        <v>8707</v>
      </c>
      <c r="C2764" s="246" t="s">
        <v>3235</v>
      </c>
      <c r="D2764" s="18">
        <v>0</v>
      </c>
      <c r="E2764" s="18">
        <v>0</v>
      </c>
      <c r="F2764" s="18">
        <v>0</v>
      </c>
      <c r="G2764" s="18">
        <v>0</v>
      </c>
      <c r="H2764" s="18">
        <v>0</v>
      </c>
    </row>
    <row r="2765" spans="2:8">
      <c r="B2765" s="14" t="s">
        <v>8708</v>
      </c>
      <c r="C2765" s="245" t="s">
        <v>3236</v>
      </c>
      <c r="D2765" s="15">
        <v>0</v>
      </c>
      <c r="E2765" s="15">
        <v>0</v>
      </c>
      <c r="F2765" s="15">
        <v>0</v>
      </c>
      <c r="G2765" s="15">
        <v>0</v>
      </c>
      <c r="H2765" s="15">
        <v>0</v>
      </c>
    </row>
    <row r="2766" spans="2:8">
      <c r="B2766" s="17" t="s">
        <v>8709</v>
      </c>
      <c r="C2766" s="246" t="s">
        <v>3237</v>
      </c>
      <c r="D2766" s="18">
        <v>307</v>
      </c>
      <c r="E2766" s="18">
        <v>534</v>
      </c>
      <c r="F2766" s="18">
        <v>0</v>
      </c>
      <c r="G2766" s="18">
        <v>0</v>
      </c>
      <c r="H2766" s="18">
        <v>0</v>
      </c>
    </row>
    <row r="2767" spans="2:8">
      <c r="B2767" s="14" t="s">
        <v>8710</v>
      </c>
      <c r="C2767" s="245" t="s">
        <v>3238</v>
      </c>
      <c r="D2767" s="15">
        <v>0</v>
      </c>
      <c r="E2767" s="15">
        <v>0</v>
      </c>
      <c r="F2767" s="15">
        <v>0</v>
      </c>
      <c r="G2767" s="15">
        <v>0</v>
      </c>
      <c r="H2767" s="15">
        <v>0</v>
      </c>
    </row>
    <row r="2768" spans="2:8">
      <c r="B2768" s="17" t="s">
        <v>8711</v>
      </c>
      <c r="C2768" s="246" t="s">
        <v>3239</v>
      </c>
      <c r="D2768" s="18">
        <v>0</v>
      </c>
      <c r="E2768" s="18">
        <v>0</v>
      </c>
      <c r="F2768" s="18">
        <v>0</v>
      </c>
      <c r="G2768" s="18">
        <v>0</v>
      </c>
      <c r="H2768" s="18">
        <v>0</v>
      </c>
    </row>
    <row r="2769" spans="2:8">
      <c r="B2769" s="14" t="s">
        <v>8712</v>
      </c>
      <c r="C2769" s="245" t="s">
        <v>3240</v>
      </c>
      <c r="D2769" s="15">
        <v>0</v>
      </c>
      <c r="E2769" s="15">
        <v>0</v>
      </c>
      <c r="F2769" s="15">
        <v>0</v>
      </c>
      <c r="G2769" s="15">
        <v>0</v>
      </c>
      <c r="H2769" s="15">
        <v>0</v>
      </c>
    </row>
    <row r="2770" spans="2:8">
      <c r="B2770" s="17" t="s">
        <v>8713</v>
      </c>
      <c r="C2770" s="246" t="s">
        <v>3241</v>
      </c>
      <c r="D2770" s="18">
        <v>0</v>
      </c>
      <c r="E2770" s="18">
        <v>0</v>
      </c>
      <c r="F2770" s="18">
        <v>0</v>
      </c>
      <c r="G2770" s="18">
        <v>0</v>
      </c>
      <c r="H2770" s="18">
        <v>0</v>
      </c>
    </row>
    <row r="2771" spans="2:8">
      <c r="B2771" s="14" t="s">
        <v>8714</v>
      </c>
      <c r="C2771" s="245" t="s">
        <v>3242</v>
      </c>
      <c r="D2771" s="15">
        <v>0</v>
      </c>
      <c r="E2771" s="15">
        <v>0</v>
      </c>
      <c r="F2771" s="15">
        <v>0</v>
      </c>
      <c r="G2771" s="15">
        <v>0</v>
      </c>
      <c r="H2771" s="15">
        <v>0</v>
      </c>
    </row>
    <row r="2772" spans="2:8">
      <c r="B2772" s="17" t="s">
        <v>8715</v>
      </c>
      <c r="C2772" s="246" t="s">
        <v>3243</v>
      </c>
      <c r="D2772" s="18">
        <v>0</v>
      </c>
      <c r="E2772" s="18">
        <v>0</v>
      </c>
      <c r="F2772" s="18">
        <v>3</v>
      </c>
      <c r="G2772" s="18">
        <v>0</v>
      </c>
      <c r="H2772" s="18">
        <v>0</v>
      </c>
    </row>
    <row r="2773" spans="2:8">
      <c r="B2773" s="14" t="s">
        <v>8716</v>
      </c>
      <c r="C2773" s="245" t="s">
        <v>3244</v>
      </c>
      <c r="D2773" s="15">
        <v>0</v>
      </c>
      <c r="E2773" s="15">
        <v>0</v>
      </c>
      <c r="F2773" s="15">
        <v>0</v>
      </c>
      <c r="G2773" s="15">
        <v>0</v>
      </c>
      <c r="H2773" s="15">
        <v>0</v>
      </c>
    </row>
    <row r="2774" spans="2:8">
      <c r="B2774" s="17" t="s">
        <v>8717</v>
      </c>
      <c r="C2774" s="246" t="s">
        <v>3245</v>
      </c>
      <c r="D2774" s="18">
        <v>0</v>
      </c>
      <c r="E2774" s="18">
        <v>0</v>
      </c>
      <c r="F2774" s="18">
        <v>0</v>
      </c>
      <c r="G2774" s="18">
        <v>0</v>
      </c>
      <c r="H2774" s="18">
        <v>0</v>
      </c>
    </row>
    <row r="2775" spans="2:8">
      <c r="B2775" s="14" t="s">
        <v>8718</v>
      </c>
      <c r="C2775" s="245" t="s">
        <v>3246</v>
      </c>
      <c r="D2775" s="15">
        <v>0</v>
      </c>
      <c r="E2775" s="15">
        <v>0</v>
      </c>
      <c r="F2775" s="15">
        <v>0</v>
      </c>
      <c r="G2775" s="15">
        <v>0</v>
      </c>
      <c r="H2775" s="15">
        <v>0</v>
      </c>
    </row>
    <row r="2776" spans="2:8">
      <c r="B2776" s="17" t="s">
        <v>8719</v>
      </c>
      <c r="C2776" s="246" t="s">
        <v>3247</v>
      </c>
      <c r="D2776" s="18">
        <v>0</v>
      </c>
      <c r="E2776" s="18">
        <v>0</v>
      </c>
      <c r="F2776" s="18">
        <v>0</v>
      </c>
      <c r="G2776" s="18">
        <v>0</v>
      </c>
      <c r="H2776" s="18">
        <v>0</v>
      </c>
    </row>
    <row r="2777" spans="2:8">
      <c r="B2777" s="14" t="s">
        <v>8720</v>
      </c>
      <c r="C2777" s="245" t="s">
        <v>3248</v>
      </c>
      <c r="D2777" s="15">
        <v>0</v>
      </c>
      <c r="E2777" s="15">
        <v>0</v>
      </c>
      <c r="F2777" s="15">
        <v>0</v>
      </c>
      <c r="G2777" s="15">
        <v>0</v>
      </c>
      <c r="H2777" s="15">
        <v>0</v>
      </c>
    </row>
    <row r="2778" spans="2:8">
      <c r="B2778" s="17" t="s">
        <v>8721</v>
      </c>
      <c r="C2778" s="246" t="s">
        <v>3249</v>
      </c>
      <c r="D2778" s="18">
        <v>0</v>
      </c>
      <c r="E2778" s="18">
        <v>0</v>
      </c>
      <c r="F2778" s="18">
        <v>0</v>
      </c>
      <c r="G2778" s="18">
        <v>0</v>
      </c>
      <c r="H2778" s="18">
        <v>0</v>
      </c>
    </row>
    <row r="2779" spans="2:8">
      <c r="B2779" s="14" t="s">
        <v>8722</v>
      </c>
      <c r="C2779" s="245" t="s">
        <v>3250</v>
      </c>
      <c r="D2779" s="15">
        <v>0</v>
      </c>
      <c r="E2779" s="15">
        <v>0</v>
      </c>
      <c r="F2779" s="15">
        <v>0</v>
      </c>
      <c r="G2779" s="15">
        <v>0</v>
      </c>
      <c r="H2779" s="15">
        <v>0</v>
      </c>
    </row>
    <row r="2780" spans="2:8">
      <c r="B2780" s="17" t="s">
        <v>8723</v>
      </c>
      <c r="C2780" s="246" t="s">
        <v>3251</v>
      </c>
      <c r="D2780" s="18">
        <v>0</v>
      </c>
      <c r="E2780" s="18">
        <v>0</v>
      </c>
      <c r="F2780" s="18">
        <v>0</v>
      </c>
      <c r="G2780" s="18">
        <v>0</v>
      </c>
      <c r="H2780" s="18">
        <v>0</v>
      </c>
    </row>
    <row r="2781" spans="2:8">
      <c r="B2781" s="14" t="s">
        <v>8724</v>
      </c>
      <c r="C2781" s="245" t="s">
        <v>3252</v>
      </c>
      <c r="D2781" s="15">
        <v>0</v>
      </c>
      <c r="E2781" s="15">
        <v>0</v>
      </c>
      <c r="F2781" s="15">
        <v>0</v>
      </c>
      <c r="G2781" s="15">
        <v>0</v>
      </c>
      <c r="H2781" s="15">
        <v>0</v>
      </c>
    </row>
    <row r="2782" spans="2:8">
      <c r="B2782" s="17" t="s">
        <v>8725</v>
      </c>
      <c r="C2782" s="246" t="s">
        <v>2674</v>
      </c>
      <c r="D2782" s="18">
        <v>0</v>
      </c>
      <c r="E2782" s="18">
        <v>0</v>
      </c>
      <c r="F2782" s="18">
        <v>0</v>
      </c>
      <c r="G2782" s="18">
        <v>0</v>
      </c>
      <c r="H2782" s="18">
        <v>0</v>
      </c>
    </row>
    <row r="2783" spans="2:8">
      <c r="B2783" s="14" t="s">
        <v>8726</v>
      </c>
      <c r="C2783" s="245" t="s">
        <v>3253</v>
      </c>
      <c r="D2783" s="15">
        <v>0</v>
      </c>
      <c r="E2783" s="15">
        <v>0</v>
      </c>
      <c r="F2783" s="15">
        <v>0</v>
      </c>
      <c r="G2783" s="15">
        <v>0</v>
      </c>
      <c r="H2783" s="15">
        <v>0</v>
      </c>
    </row>
    <row r="2784" spans="2:8">
      <c r="B2784" s="17" t="s">
        <v>8727</v>
      </c>
      <c r="C2784" s="246" t="s">
        <v>3254</v>
      </c>
      <c r="D2784" s="18">
        <v>0</v>
      </c>
      <c r="E2784" s="18">
        <v>0</v>
      </c>
      <c r="F2784" s="18">
        <v>0</v>
      </c>
      <c r="G2784" s="18">
        <v>0</v>
      </c>
      <c r="H2784" s="18">
        <v>0</v>
      </c>
    </row>
    <row r="2785" spans="2:8">
      <c r="B2785" s="14" t="s">
        <v>8728</v>
      </c>
      <c r="C2785" s="245" t="s">
        <v>3255</v>
      </c>
      <c r="D2785" s="15">
        <v>0</v>
      </c>
      <c r="E2785" s="15">
        <v>0</v>
      </c>
      <c r="F2785" s="15">
        <v>0</v>
      </c>
      <c r="G2785" s="15">
        <v>0</v>
      </c>
      <c r="H2785" s="15">
        <v>0</v>
      </c>
    </row>
    <row r="2786" spans="2:8">
      <c r="B2786" s="17" t="s">
        <v>8729</v>
      </c>
      <c r="C2786" s="246" t="s">
        <v>3256</v>
      </c>
      <c r="D2786" s="18">
        <v>0</v>
      </c>
      <c r="E2786" s="18">
        <v>0</v>
      </c>
      <c r="F2786" s="18">
        <v>0</v>
      </c>
      <c r="G2786" s="18">
        <v>0</v>
      </c>
      <c r="H2786" s="18">
        <v>0</v>
      </c>
    </row>
    <row r="2787" spans="2:8">
      <c r="B2787" s="14" t="s">
        <v>8730</v>
      </c>
      <c r="C2787" s="245" t="s">
        <v>3257</v>
      </c>
      <c r="D2787" s="15">
        <v>0</v>
      </c>
      <c r="E2787" s="15">
        <v>0</v>
      </c>
      <c r="F2787" s="15">
        <v>0</v>
      </c>
      <c r="G2787" s="15">
        <v>0</v>
      </c>
      <c r="H2787" s="15">
        <v>0</v>
      </c>
    </row>
    <row r="2788" spans="2:8">
      <c r="B2788" s="17" t="s">
        <v>8731</v>
      </c>
      <c r="C2788" s="246" t="s">
        <v>3258</v>
      </c>
      <c r="D2788" s="18">
        <v>0</v>
      </c>
      <c r="E2788" s="18">
        <v>0</v>
      </c>
      <c r="F2788" s="18">
        <v>0</v>
      </c>
      <c r="G2788" s="18">
        <v>0</v>
      </c>
      <c r="H2788" s="18">
        <v>0</v>
      </c>
    </row>
    <row r="2789" spans="2:8">
      <c r="B2789" s="14" t="s">
        <v>8732</v>
      </c>
      <c r="C2789" s="245" t="s">
        <v>3259</v>
      </c>
      <c r="D2789" s="15">
        <v>0</v>
      </c>
      <c r="E2789" s="15">
        <v>0</v>
      </c>
      <c r="F2789" s="15">
        <v>0</v>
      </c>
      <c r="G2789" s="15">
        <v>0</v>
      </c>
      <c r="H2789" s="15">
        <v>0</v>
      </c>
    </row>
    <row r="2790" spans="2:8">
      <c r="B2790" s="17" t="s">
        <v>8733</v>
      </c>
      <c r="C2790" s="246" t="s">
        <v>3260</v>
      </c>
      <c r="D2790" s="18">
        <v>0</v>
      </c>
      <c r="E2790" s="18">
        <v>0</v>
      </c>
      <c r="F2790" s="18">
        <v>0</v>
      </c>
      <c r="G2790" s="18">
        <v>0</v>
      </c>
      <c r="H2790" s="18">
        <v>0</v>
      </c>
    </row>
    <row r="2791" spans="2:8">
      <c r="B2791" s="14" t="s">
        <v>8734</v>
      </c>
      <c r="C2791" s="245" t="s">
        <v>3261</v>
      </c>
      <c r="D2791" s="15">
        <v>0</v>
      </c>
      <c r="E2791" s="15">
        <v>0</v>
      </c>
      <c r="F2791" s="15">
        <v>0</v>
      </c>
      <c r="G2791" s="15">
        <v>0</v>
      </c>
      <c r="H2791" s="15">
        <v>0</v>
      </c>
    </row>
    <row r="2792" spans="2:8">
      <c r="B2792" s="17" t="s">
        <v>8735</v>
      </c>
      <c r="C2792" s="246" t="s">
        <v>3262</v>
      </c>
      <c r="D2792" s="18">
        <v>0</v>
      </c>
      <c r="E2792" s="18">
        <v>0</v>
      </c>
      <c r="F2792" s="18">
        <v>0</v>
      </c>
      <c r="G2792" s="18">
        <v>0</v>
      </c>
      <c r="H2792" s="18">
        <v>0</v>
      </c>
    </row>
    <row r="2793" spans="2:8">
      <c r="B2793" s="14" t="s">
        <v>8736</v>
      </c>
      <c r="C2793" s="245" t="s">
        <v>3263</v>
      </c>
      <c r="D2793" s="15">
        <v>0</v>
      </c>
      <c r="E2793" s="15">
        <v>0</v>
      </c>
      <c r="F2793" s="15">
        <v>0</v>
      </c>
      <c r="G2793" s="15">
        <v>0</v>
      </c>
      <c r="H2793" s="15">
        <v>0</v>
      </c>
    </row>
    <row r="2794" spans="2:8">
      <c r="B2794" s="17" t="s">
        <v>8737</v>
      </c>
      <c r="C2794" s="246" t="s">
        <v>3264</v>
      </c>
      <c r="D2794" s="18">
        <v>0</v>
      </c>
      <c r="E2794" s="18">
        <v>0</v>
      </c>
      <c r="F2794" s="18">
        <v>0</v>
      </c>
      <c r="G2794" s="18">
        <v>0</v>
      </c>
      <c r="H2794" s="18">
        <v>0</v>
      </c>
    </row>
    <row r="2795" spans="2:8">
      <c r="B2795" s="14" t="s">
        <v>8738</v>
      </c>
      <c r="C2795" s="245" t="s">
        <v>3265</v>
      </c>
      <c r="D2795" s="15">
        <v>0</v>
      </c>
      <c r="E2795" s="15">
        <v>0</v>
      </c>
      <c r="F2795" s="15">
        <v>0</v>
      </c>
      <c r="G2795" s="15">
        <v>0</v>
      </c>
      <c r="H2795" s="15">
        <v>0</v>
      </c>
    </row>
    <row r="2796" spans="2:8">
      <c r="B2796" s="17" t="s">
        <v>8739</v>
      </c>
      <c r="C2796" s="246" t="s">
        <v>3266</v>
      </c>
      <c r="D2796" s="18">
        <v>0</v>
      </c>
      <c r="E2796" s="18">
        <v>0</v>
      </c>
      <c r="F2796" s="18">
        <v>0</v>
      </c>
      <c r="G2796" s="18">
        <v>0</v>
      </c>
      <c r="H2796" s="18">
        <v>0</v>
      </c>
    </row>
    <row r="2797" spans="2:8">
      <c r="B2797" s="14" t="s">
        <v>8740</v>
      </c>
      <c r="C2797" s="245" t="s">
        <v>3267</v>
      </c>
      <c r="D2797" s="15">
        <v>0</v>
      </c>
      <c r="E2797" s="15">
        <v>0</v>
      </c>
      <c r="F2797" s="15">
        <v>0</v>
      </c>
      <c r="G2797" s="15">
        <v>0</v>
      </c>
      <c r="H2797" s="15">
        <v>0</v>
      </c>
    </row>
    <row r="2798" spans="2:8">
      <c r="B2798" s="17" t="s">
        <v>8741</v>
      </c>
      <c r="C2798" s="246" t="s">
        <v>3268</v>
      </c>
      <c r="D2798" s="18">
        <v>0</v>
      </c>
      <c r="E2798" s="18">
        <v>0</v>
      </c>
      <c r="F2798" s="18">
        <v>0</v>
      </c>
      <c r="G2798" s="18">
        <v>0</v>
      </c>
      <c r="H2798" s="18">
        <v>0</v>
      </c>
    </row>
    <row r="2799" spans="2:8">
      <c r="B2799" s="14" t="s">
        <v>8742</v>
      </c>
      <c r="C2799" s="245" t="s">
        <v>3269</v>
      </c>
      <c r="D2799" s="15">
        <v>0</v>
      </c>
      <c r="E2799" s="15">
        <v>0</v>
      </c>
      <c r="F2799" s="15">
        <v>0</v>
      </c>
      <c r="G2799" s="15">
        <v>0</v>
      </c>
      <c r="H2799" s="15">
        <v>0</v>
      </c>
    </row>
    <row r="2800" spans="2:8">
      <c r="B2800" s="17" t="s">
        <v>8743</v>
      </c>
      <c r="C2800" s="246" t="s">
        <v>3270</v>
      </c>
      <c r="D2800" s="18">
        <v>0</v>
      </c>
      <c r="E2800" s="18">
        <v>0</v>
      </c>
      <c r="F2800" s="18">
        <v>0</v>
      </c>
      <c r="G2800" s="18">
        <v>0</v>
      </c>
      <c r="H2800" s="18">
        <v>0</v>
      </c>
    </row>
    <row r="2801" spans="2:8">
      <c r="B2801" s="14" t="s">
        <v>8744</v>
      </c>
      <c r="C2801" s="245" t="s">
        <v>3271</v>
      </c>
      <c r="D2801" s="15">
        <v>0</v>
      </c>
      <c r="E2801" s="15">
        <v>0</v>
      </c>
      <c r="F2801" s="15">
        <v>0</v>
      </c>
      <c r="G2801" s="15">
        <v>0</v>
      </c>
      <c r="H2801" s="15">
        <v>0</v>
      </c>
    </row>
    <row r="2802" spans="2:8">
      <c r="B2802" s="17" t="s">
        <v>8745</v>
      </c>
      <c r="C2802" s="246" t="s">
        <v>3272</v>
      </c>
      <c r="D2802" s="18">
        <v>0</v>
      </c>
      <c r="E2802" s="18">
        <v>0</v>
      </c>
      <c r="F2802" s="18">
        <v>0</v>
      </c>
      <c r="G2802" s="18">
        <v>0</v>
      </c>
      <c r="H2802" s="18">
        <v>0</v>
      </c>
    </row>
    <row r="2803" spans="2:8">
      <c r="B2803" s="14" t="s">
        <v>8746</v>
      </c>
      <c r="C2803" s="245" t="s">
        <v>3273</v>
      </c>
      <c r="D2803" s="15">
        <v>0</v>
      </c>
      <c r="E2803" s="15">
        <v>0</v>
      </c>
      <c r="F2803" s="15">
        <v>0</v>
      </c>
      <c r="G2803" s="15">
        <v>0</v>
      </c>
      <c r="H2803" s="15">
        <v>0</v>
      </c>
    </row>
    <row r="2804" spans="2:8">
      <c r="B2804" s="17" t="s">
        <v>8747</v>
      </c>
      <c r="C2804" s="246" t="s">
        <v>3274</v>
      </c>
      <c r="D2804" s="18">
        <v>0</v>
      </c>
      <c r="E2804" s="18">
        <v>0</v>
      </c>
      <c r="F2804" s="18">
        <v>0</v>
      </c>
      <c r="G2804" s="18">
        <v>0</v>
      </c>
      <c r="H2804" s="18">
        <v>0</v>
      </c>
    </row>
    <row r="2805" spans="2:8">
      <c r="B2805" s="14" t="s">
        <v>8748</v>
      </c>
      <c r="C2805" s="245" t="s">
        <v>3275</v>
      </c>
      <c r="D2805" s="15">
        <v>0</v>
      </c>
      <c r="E2805" s="15">
        <v>0</v>
      </c>
      <c r="F2805" s="15">
        <v>0</v>
      </c>
      <c r="G2805" s="15">
        <v>0</v>
      </c>
      <c r="H2805" s="15">
        <v>0</v>
      </c>
    </row>
    <row r="2806" spans="2:8">
      <c r="B2806" s="17" t="s">
        <v>8749</v>
      </c>
      <c r="C2806" s="246" t="s">
        <v>3276</v>
      </c>
      <c r="D2806" s="18">
        <v>0</v>
      </c>
      <c r="E2806" s="18">
        <v>0</v>
      </c>
      <c r="F2806" s="18">
        <v>0</v>
      </c>
      <c r="G2806" s="18">
        <v>0</v>
      </c>
      <c r="H2806" s="18">
        <v>0</v>
      </c>
    </row>
    <row r="2807" spans="2:8">
      <c r="B2807" s="14" t="s">
        <v>8750</v>
      </c>
      <c r="C2807" s="245" t="s">
        <v>3277</v>
      </c>
      <c r="D2807" s="15">
        <v>0</v>
      </c>
      <c r="E2807" s="15">
        <v>0</v>
      </c>
      <c r="F2807" s="15">
        <v>0</v>
      </c>
      <c r="G2807" s="15">
        <v>0</v>
      </c>
      <c r="H2807" s="15">
        <v>0</v>
      </c>
    </row>
    <row r="2808" spans="2:8">
      <c r="B2808" s="17" t="s">
        <v>8751</v>
      </c>
      <c r="C2808" s="246" t="s">
        <v>3278</v>
      </c>
      <c r="D2808" s="18">
        <v>0</v>
      </c>
      <c r="E2808" s="18">
        <v>0</v>
      </c>
      <c r="F2808" s="18">
        <v>0</v>
      </c>
      <c r="G2808" s="18">
        <v>0</v>
      </c>
      <c r="H2808" s="18">
        <v>0</v>
      </c>
    </row>
    <row r="2809" spans="2:8">
      <c r="B2809" s="14" t="s">
        <v>8752</v>
      </c>
      <c r="C2809" s="245" t="s">
        <v>3279</v>
      </c>
      <c r="D2809" s="15">
        <v>0</v>
      </c>
      <c r="E2809" s="15">
        <v>0</v>
      </c>
      <c r="F2809" s="15">
        <v>0</v>
      </c>
      <c r="G2809" s="15">
        <v>0</v>
      </c>
      <c r="H2809" s="15">
        <v>0</v>
      </c>
    </row>
    <row r="2810" spans="2:8">
      <c r="B2810" s="17" t="s">
        <v>8753</v>
      </c>
      <c r="C2810" s="246" t="s">
        <v>3280</v>
      </c>
      <c r="D2810" s="18">
        <v>0</v>
      </c>
      <c r="E2810" s="18">
        <v>0</v>
      </c>
      <c r="F2810" s="18">
        <v>0</v>
      </c>
      <c r="G2810" s="18">
        <v>0</v>
      </c>
      <c r="H2810" s="18">
        <v>0</v>
      </c>
    </row>
    <row r="2811" spans="2:8">
      <c r="B2811" s="14" t="s">
        <v>8754</v>
      </c>
      <c r="C2811" s="245" t="s">
        <v>3281</v>
      </c>
      <c r="D2811" s="15">
        <v>0</v>
      </c>
      <c r="E2811" s="15">
        <v>0</v>
      </c>
      <c r="F2811" s="15">
        <v>0</v>
      </c>
      <c r="G2811" s="15">
        <v>0</v>
      </c>
      <c r="H2811" s="15">
        <v>0</v>
      </c>
    </row>
    <row r="2812" spans="2:8">
      <c r="B2812" s="17" t="s">
        <v>8755</v>
      </c>
      <c r="C2812" s="246" t="s">
        <v>3282</v>
      </c>
      <c r="D2812" s="18">
        <v>0</v>
      </c>
      <c r="E2812" s="18">
        <v>0</v>
      </c>
      <c r="F2812" s="18">
        <v>0</v>
      </c>
      <c r="G2812" s="18">
        <v>0</v>
      </c>
      <c r="H2812" s="18">
        <v>0</v>
      </c>
    </row>
    <row r="2813" spans="2:8">
      <c r="B2813" s="14" t="s">
        <v>8756</v>
      </c>
      <c r="C2813" s="245" t="s">
        <v>3283</v>
      </c>
      <c r="D2813" s="15">
        <v>0</v>
      </c>
      <c r="E2813" s="15">
        <v>0</v>
      </c>
      <c r="F2813" s="15">
        <v>0</v>
      </c>
      <c r="G2813" s="15">
        <v>0</v>
      </c>
      <c r="H2813" s="15">
        <v>0</v>
      </c>
    </row>
    <row r="2814" spans="2:8">
      <c r="B2814" s="17" t="s">
        <v>8757</v>
      </c>
      <c r="C2814" s="246" t="s">
        <v>3284</v>
      </c>
      <c r="D2814" s="18">
        <v>0</v>
      </c>
      <c r="E2814" s="18">
        <v>0</v>
      </c>
      <c r="F2814" s="18">
        <v>0</v>
      </c>
      <c r="G2814" s="18">
        <v>0</v>
      </c>
      <c r="H2814" s="18">
        <v>0</v>
      </c>
    </row>
    <row r="2815" spans="2:8">
      <c r="B2815" s="14" t="s">
        <v>8758</v>
      </c>
      <c r="C2815" s="245" t="s">
        <v>3285</v>
      </c>
      <c r="D2815" s="15">
        <v>0</v>
      </c>
      <c r="E2815" s="15">
        <v>0</v>
      </c>
      <c r="F2815" s="15">
        <v>0</v>
      </c>
      <c r="G2815" s="15">
        <v>0</v>
      </c>
      <c r="H2815" s="15">
        <v>0</v>
      </c>
    </row>
    <row r="2816" spans="2:8">
      <c r="B2816" s="17" t="s">
        <v>8759</v>
      </c>
      <c r="C2816" s="246" t="s">
        <v>3286</v>
      </c>
      <c r="D2816" s="18">
        <v>0</v>
      </c>
      <c r="E2816" s="18">
        <v>0</v>
      </c>
      <c r="F2816" s="18">
        <v>0</v>
      </c>
      <c r="G2816" s="18">
        <v>0</v>
      </c>
      <c r="H2816" s="18">
        <v>0</v>
      </c>
    </row>
    <row r="2817" spans="2:8">
      <c r="B2817" s="14" t="s">
        <v>8760</v>
      </c>
      <c r="C2817" s="245" t="s">
        <v>3287</v>
      </c>
      <c r="D2817" s="15">
        <v>0</v>
      </c>
      <c r="E2817" s="15">
        <v>0</v>
      </c>
      <c r="F2817" s="15">
        <v>0</v>
      </c>
      <c r="G2817" s="15">
        <v>0</v>
      </c>
      <c r="H2817" s="15">
        <v>0</v>
      </c>
    </row>
    <row r="2818" spans="2:8">
      <c r="B2818" s="17" t="s">
        <v>8761</v>
      </c>
      <c r="C2818" s="246" t="s">
        <v>3288</v>
      </c>
      <c r="D2818" s="18">
        <v>0</v>
      </c>
      <c r="E2818" s="18">
        <v>0</v>
      </c>
      <c r="F2818" s="18">
        <v>0</v>
      </c>
      <c r="G2818" s="18">
        <v>0</v>
      </c>
      <c r="H2818" s="18">
        <v>0</v>
      </c>
    </row>
    <row r="2819" spans="2:8">
      <c r="B2819" s="14" t="s">
        <v>8762</v>
      </c>
      <c r="C2819" s="245" t="s">
        <v>3289</v>
      </c>
      <c r="D2819" s="15">
        <v>0</v>
      </c>
      <c r="E2819" s="15">
        <v>0</v>
      </c>
      <c r="F2819" s="15">
        <v>0</v>
      </c>
      <c r="G2819" s="15">
        <v>0</v>
      </c>
      <c r="H2819" s="15">
        <v>0</v>
      </c>
    </row>
    <row r="2820" spans="2:8">
      <c r="B2820" s="17" t="s">
        <v>8763</v>
      </c>
      <c r="C2820" s="246" t="s">
        <v>3290</v>
      </c>
      <c r="D2820" s="18">
        <v>0</v>
      </c>
      <c r="E2820" s="18">
        <v>0</v>
      </c>
      <c r="F2820" s="18">
        <v>0</v>
      </c>
      <c r="G2820" s="18">
        <v>0</v>
      </c>
      <c r="H2820" s="18">
        <v>0</v>
      </c>
    </row>
    <row r="2821" spans="2:8">
      <c r="B2821" s="14" t="s">
        <v>8764</v>
      </c>
      <c r="C2821" s="245" t="s">
        <v>3291</v>
      </c>
      <c r="D2821" s="15">
        <v>0</v>
      </c>
      <c r="E2821" s="15">
        <v>0</v>
      </c>
      <c r="F2821" s="15">
        <v>0</v>
      </c>
      <c r="G2821" s="15">
        <v>0</v>
      </c>
      <c r="H2821" s="15">
        <v>0</v>
      </c>
    </row>
    <row r="2822" spans="2:8">
      <c r="B2822" s="17" t="s">
        <v>8765</v>
      </c>
      <c r="C2822" s="246" t="s">
        <v>3292</v>
      </c>
      <c r="D2822" s="18">
        <v>0</v>
      </c>
      <c r="E2822" s="18">
        <v>0</v>
      </c>
      <c r="F2822" s="18">
        <v>0</v>
      </c>
      <c r="G2822" s="18">
        <v>0</v>
      </c>
      <c r="H2822" s="18">
        <v>0</v>
      </c>
    </row>
    <row r="2823" spans="2:8">
      <c r="B2823" s="14" t="s">
        <v>8766</v>
      </c>
      <c r="C2823" s="245" t="s">
        <v>3293</v>
      </c>
      <c r="D2823" s="15">
        <v>0</v>
      </c>
      <c r="E2823" s="15">
        <v>0</v>
      </c>
      <c r="F2823" s="15">
        <v>0</v>
      </c>
      <c r="G2823" s="15">
        <v>0</v>
      </c>
      <c r="H2823" s="15">
        <v>0</v>
      </c>
    </row>
    <row r="2824" spans="2:8">
      <c r="B2824" s="17" t="s">
        <v>8767</v>
      </c>
      <c r="C2824" s="246" t="s">
        <v>3294</v>
      </c>
      <c r="D2824" s="18">
        <v>0</v>
      </c>
      <c r="E2824" s="18">
        <v>0</v>
      </c>
      <c r="F2824" s="18">
        <v>0</v>
      </c>
      <c r="G2824" s="18">
        <v>0</v>
      </c>
      <c r="H2824" s="18">
        <v>0</v>
      </c>
    </row>
    <row r="2825" spans="2:8">
      <c r="B2825" s="14" t="s">
        <v>8768</v>
      </c>
      <c r="C2825" s="245" t="s">
        <v>3295</v>
      </c>
      <c r="D2825" s="15">
        <v>0</v>
      </c>
      <c r="E2825" s="15">
        <v>0</v>
      </c>
      <c r="F2825" s="15">
        <v>0</v>
      </c>
      <c r="G2825" s="15">
        <v>0</v>
      </c>
      <c r="H2825" s="15">
        <v>0</v>
      </c>
    </row>
    <row r="2826" spans="2:8">
      <c r="B2826" s="17" t="s">
        <v>8769</v>
      </c>
      <c r="C2826" s="246" t="s">
        <v>3296</v>
      </c>
      <c r="D2826" s="18">
        <v>0</v>
      </c>
      <c r="E2826" s="18">
        <v>0</v>
      </c>
      <c r="F2826" s="18">
        <v>0</v>
      </c>
      <c r="G2826" s="18">
        <v>0</v>
      </c>
      <c r="H2826" s="18">
        <v>0</v>
      </c>
    </row>
    <row r="2827" spans="2:8">
      <c r="B2827" s="14" t="s">
        <v>8770</v>
      </c>
      <c r="C2827" s="245" t="s">
        <v>3297</v>
      </c>
      <c r="D2827" s="15">
        <v>0</v>
      </c>
      <c r="E2827" s="15">
        <v>0</v>
      </c>
      <c r="F2827" s="15">
        <v>0</v>
      </c>
      <c r="G2827" s="15">
        <v>0</v>
      </c>
      <c r="H2827" s="15">
        <v>0</v>
      </c>
    </row>
    <row r="2828" spans="2:8">
      <c r="B2828" s="17" t="s">
        <v>8771</v>
      </c>
      <c r="C2828" s="246" t="s">
        <v>3298</v>
      </c>
      <c r="D2828" s="18">
        <v>0</v>
      </c>
      <c r="E2828" s="18">
        <v>0</v>
      </c>
      <c r="F2828" s="18">
        <v>0</v>
      </c>
      <c r="G2828" s="18">
        <v>0</v>
      </c>
      <c r="H2828" s="18">
        <v>0</v>
      </c>
    </row>
    <row r="2829" spans="2:8">
      <c r="B2829" s="14" t="s">
        <v>8772</v>
      </c>
      <c r="C2829" s="245" t="s">
        <v>3299</v>
      </c>
      <c r="D2829" s="15">
        <v>0</v>
      </c>
      <c r="E2829" s="15">
        <v>0</v>
      </c>
      <c r="F2829" s="15">
        <v>0</v>
      </c>
      <c r="G2829" s="15">
        <v>0</v>
      </c>
      <c r="H2829" s="15">
        <v>0</v>
      </c>
    </row>
    <row r="2830" spans="2:8">
      <c r="B2830" s="17" t="s">
        <v>8773</v>
      </c>
      <c r="C2830" s="246" t="s">
        <v>3300</v>
      </c>
      <c r="D2830" s="18">
        <v>0</v>
      </c>
      <c r="E2830" s="18">
        <v>0</v>
      </c>
      <c r="F2830" s="18">
        <v>0</v>
      </c>
      <c r="G2830" s="18">
        <v>0</v>
      </c>
      <c r="H2830" s="18">
        <v>0</v>
      </c>
    </row>
    <row r="2831" spans="2:8">
      <c r="B2831" s="14" t="s">
        <v>8774</v>
      </c>
      <c r="C2831" s="245" t="s">
        <v>3301</v>
      </c>
      <c r="D2831" s="15">
        <v>0</v>
      </c>
      <c r="E2831" s="15">
        <v>0</v>
      </c>
      <c r="F2831" s="15">
        <v>0</v>
      </c>
      <c r="G2831" s="15">
        <v>0</v>
      </c>
      <c r="H2831" s="15">
        <v>0</v>
      </c>
    </row>
    <row r="2832" spans="2:8">
      <c r="B2832" s="17" t="s">
        <v>8775</v>
      </c>
      <c r="C2832" s="246" t="s">
        <v>3302</v>
      </c>
      <c r="D2832" s="18">
        <v>0</v>
      </c>
      <c r="E2832" s="18">
        <v>0</v>
      </c>
      <c r="F2832" s="18">
        <v>0</v>
      </c>
      <c r="G2832" s="18">
        <v>0</v>
      </c>
      <c r="H2832" s="18">
        <v>0</v>
      </c>
    </row>
    <row r="2833" spans="2:8">
      <c r="B2833" s="14" t="s">
        <v>8776</v>
      </c>
      <c r="C2833" s="245" t="s">
        <v>3303</v>
      </c>
      <c r="D2833" s="15">
        <v>0</v>
      </c>
      <c r="E2833" s="15">
        <v>0</v>
      </c>
      <c r="F2833" s="15">
        <v>0</v>
      </c>
      <c r="G2833" s="15">
        <v>0</v>
      </c>
      <c r="H2833" s="15">
        <v>0</v>
      </c>
    </row>
    <row r="2834" spans="2:8">
      <c r="B2834" s="17" t="s">
        <v>8777</v>
      </c>
      <c r="C2834" s="246" t="s">
        <v>3304</v>
      </c>
      <c r="D2834" s="18">
        <v>0</v>
      </c>
      <c r="E2834" s="18">
        <v>0</v>
      </c>
      <c r="F2834" s="18">
        <v>0</v>
      </c>
      <c r="G2834" s="18">
        <v>0</v>
      </c>
      <c r="H2834" s="18">
        <v>0</v>
      </c>
    </row>
    <row r="2835" spans="2:8">
      <c r="B2835" s="14" t="s">
        <v>8778</v>
      </c>
      <c r="C2835" s="245" t="s">
        <v>3305</v>
      </c>
      <c r="D2835" s="15">
        <v>0</v>
      </c>
      <c r="E2835" s="15">
        <v>0</v>
      </c>
      <c r="F2835" s="15">
        <v>0</v>
      </c>
      <c r="G2835" s="15">
        <v>0</v>
      </c>
      <c r="H2835" s="15">
        <v>0</v>
      </c>
    </row>
    <row r="2836" spans="2:8">
      <c r="B2836" s="17" t="s">
        <v>8779</v>
      </c>
      <c r="C2836" s="246" t="s">
        <v>3306</v>
      </c>
      <c r="D2836" s="18">
        <v>0</v>
      </c>
      <c r="E2836" s="18">
        <v>0</v>
      </c>
      <c r="F2836" s="18">
        <v>0</v>
      </c>
      <c r="G2836" s="18">
        <v>0</v>
      </c>
      <c r="H2836" s="18">
        <v>0</v>
      </c>
    </row>
    <row r="2837" spans="2:8">
      <c r="B2837" s="14" t="s">
        <v>8780</v>
      </c>
      <c r="C2837" s="245" t="s">
        <v>3307</v>
      </c>
      <c r="D2837" s="15">
        <v>0</v>
      </c>
      <c r="E2837" s="15">
        <v>0</v>
      </c>
      <c r="F2837" s="15">
        <v>0</v>
      </c>
      <c r="G2837" s="15">
        <v>0</v>
      </c>
      <c r="H2837" s="15">
        <v>0</v>
      </c>
    </row>
    <row r="2838" spans="2:8">
      <c r="B2838" s="17" t="s">
        <v>8781</v>
      </c>
      <c r="C2838" s="246" t="s">
        <v>3308</v>
      </c>
      <c r="D2838" s="18">
        <v>0</v>
      </c>
      <c r="E2838" s="18">
        <v>0</v>
      </c>
      <c r="F2838" s="18">
        <v>0</v>
      </c>
      <c r="G2838" s="18">
        <v>0</v>
      </c>
      <c r="H2838" s="18">
        <v>0</v>
      </c>
    </row>
    <row r="2839" spans="2:8">
      <c r="B2839" s="14" t="s">
        <v>8782</v>
      </c>
      <c r="C2839" s="245" t="s">
        <v>3309</v>
      </c>
      <c r="D2839" s="15">
        <v>0</v>
      </c>
      <c r="E2839" s="15">
        <v>0</v>
      </c>
      <c r="F2839" s="15">
        <v>0</v>
      </c>
      <c r="G2839" s="15">
        <v>0</v>
      </c>
      <c r="H2839" s="15">
        <v>0</v>
      </c>
    </row>
    <row r="2840" spans="2:8">
      <c r="B2840" s="17" t="s">
        <v>8783</v>
      </c>
      <c r="C2840" s="246" t="s">
        <v>3310</v>
      </c>
      <c r="D2840" s="18">
        <v>0</v>
      </c>
      <c r="E2840" s="18">
        <v>0</v>
      </c>
      <c r="F2840" s="18">
        <v>0</v>
      </c>
      <c r="G2840" s="18">
        <v>0</v>
      </c>
      <c r="H2840" s="18">
        <v>0</v>
      </c>
    </row>
    <row r="2841" spans="2:8">
      <c r="B2841" s="14" t="s">
        <v>8784</v>
      </c>
      <c r="C2841" s="245" t="s">
        <v>3311</v>
      </c>
      <c r="D2841" s="15">
        <v>14</v>
      </c>
      <c r="E2841" s="15">
        <v>0</v>
      </c>
      <c r="F2841" s="15">
        <v>0</v>
      </c>
      <c r="G2841" s="15">
        <v>0</v>
      </c>
      <c r="H2841" s="15">
        <v>0</v>
      </c>
    </row>
    <row r="2842" spans="2:8">
      <c r="B2842" s="17" t="s">
        <v>8785</v>
      </c>
      <c r="C2842" s="246" t="s">
        <v>3312</v>
      </c>
      <c r="D2842" s="18">
        <v>0</v>
      </c>
      <c r="E2842" s="18">
        <v>0</v>
      </c>
      <c r="F2842" s="18">
        <v>0</v>
      </c>
      <c r="G2842" s="18">
        <v>0</v>
      </c>
      <c r="H2842" s="18">
        <v>0</v>
      </c>
    </row>
    <row r="2843" spans="2:8">
      <c r="B2843" s="14" t="s">
        <v>8786</v>
      </c>
      <c r="C2843" s="245" t="s">
        <v>3313</v>
      </c>
      <c r="D2843" s="15">
        <v>0</v>
      </c>
      <c r="E2843" s="15">
        <v>0</v>
      </c>
      <c r="F2843" s="15">
        <v>0</v>
      </c>
      <c r="G2843" s="15">
        <v>0</v>
      </c>
      <c r="H2843" s="15">
        <v>0</v>
      </c>
    </row>
    <row r="2844" spans="2:8">
      <c r="B2844" s="17" t="s">
        <v>8787</v>
      </c>
      <c r="C2844" s="246" t="s">
        <v>3314</v>
      </c>
      <c r="D2844" s="18">
        <v>0</v>
      </c>
      <c r="E2844" s="18">
        <v>0</v>
      </c>
      <c r="F2844" s="18">
        <v>0</v>
      </c>
      <c r="G2844" s="18">
        <v>0</v>
      </c>
      <c r="H2844" s="18">
        <v>0</v>
      </c>
    </row>
    <row r="2845" spans="2:8">
      <c r="B2845" s="14" t="s">
        <v>8788</v>
      </c>
      <c r="C2845" s="245" t="s">
        <v>3315</v>
      </c>
      <c r="D2845" s="15">
        <v>0</v>
      </c>
      <c r="E2845" s="15">
        <v>0</v>
      </c>
      <c r="F2845" s="15">
        <v>0</v>
      </c>
      <c r="G2845" s="15">
        <v>0</v>
      </c>
      <c r="H2845" s="15">
        <v>0</v>
      </c>
    </row>
    <row r="2846" spans="2:8">
      <c r="B2846" s="17" t="s">
        <v>8789</v>
      </c>
      <c r="C2846" s="246" t="s">
        <v>3316</v>
      </c>
      <c r="D2846" s="18">
        <v>0</v>
      </c>
      <c r="E2846" s="18">
        <v>0</v>
      </c>
      <c r="F2846" s="18">
        <v>0</v>
      </c>
      <c r="G2846" s="18">
        <v>22</v>
      </c>
      <c r="H2846" s="18">
        <v>0</v>
      </c>
    </row>
    <row r="2847" spans="2:8">
      <c r="B2847" s="14" t="s">
        <v>8790</v>
      </c>
      <c r="C2847" s="245" t="s">
        <v>1732</v>
      </c>
      <c r="D2847" s="15">
        <v>0</v>
      </c>
      <c r="E2847" s="15">
        <v>0</v>
      </c>
      <c r="F2847" s="15">
        <v>0</v>
      </c>
      <c r="G2847" s="15">
        <v>0</v>
      </c>
      <c r="H2847" s="15">
        <v>0</v>
      </c>
    </row>
    <row r="2848" spans="2:8">
      <c r="B2848" s="17" t="s">
        <v>8791</v>
      </c>
      <c r="C2848" s="246" t="s">
        <v>3317</v>
      </c>
      <c r="D2848" s="18">
        <v>0</v>
      </c>
      <c r="E2848" s="18">
        <v>0</v>
      </c>
      <c r="F2848" s="18">
        <v>0</v>
      </c>
      <c r="G2848" s="18">
        <v>0</v>
      </c>
      <c r="H2848" s="18">
        <v>0</v>
      </c>
    </row>
    <row r="2849" spans="2:8">
      <c r="B2849" s="14" t="s">
        <v>8792</v>
      </c>
      <c r="C2849" s="245" t="s">
        <v>3318</v>
      </c>
      <c r="D2849" s="15">
        <v>0</v>
      </c>
      <c r="E2849" s="15">
        <v>0</v>
      </c>
      <c r="F2849" s="15">
        <v>0</v>
      </c>
      <c r="G2849" s="15">
        <v>0</v>
      </c>
      <c r="H2849" s="15">
        <v>0</v>
      </c>
    </row>
    <row r="2850" spans="2:8">
      <c r="B2850" s="17" t="s">
        <v>8793</v>
      </c>
      <c r="C2850" s="246" t="s">
        <v>3319</v>
      </c>
      <c r="D2850" s="18">
        <v>0</v>
      </c>
      <c r="E2850" s="18">
        <v>0</v>
      </c>
      <c r="F2850" s="18">
        <v>0</v>
      </c>
      <c r="G2850" s="18">
        <v>0</v>
      </c>
      <c r="H2850" s="18">
        <v>0</v>
      </c>
    </row>
    <row r="2851" spans="2:8">
      <c r="B2851" s="14" t="s">
        <v>8794</v>
      </c>
      <c r="C2851" s="245" t="s">
        <v>3320</v>
      </c>
      <c r="D2851" s="15">
        <v>0</v>
      </c>
      <c r="E2851" s="15">
        <v>0</v>
      </c>
      <c r="F2851" s="15">
        <v>48</v>
      </c>
      <c r="G2851" s="15">
        <v>0</v>
      </c>
      <c r="H2851" s="15">
        <v>0</v>
      </c>
    </row>
    <row r="2852" spans="2:8">
      <c r="B2852" s="17" t="s">
        <v>8795</v>
      </c>
      <c r="C2852" s="246" t="s">
        <v>3321</v>
      </c>
      <c r="D2852" s="18">
        <v>0</v>
      </c>
      <c r="E2852" s="18">
        <v>0</v>
      </c>
      <c r="F2852" s="18">
        <v>0</v>
      </c>
      <c r="G2852" s="18">
        <v>0</v>
      </c>
      <c r="H2852" s="18">
        <v>0</v>
      </c>
    </row>
    <row r="2853" spans="2:8">
      <c r="B2853" s="14" t="s">
        <v>8796</v>
      </c>
      <c r="C2853" s="245" t="s">
        <v>3322</v>
      </c>
      <c r="D2853" s="15">
        <v>0</v>
      </c>
      <c r="E2853" s="15">
        <v>0</v>
      </c>
      <c r="F2853" s="15">
        <v>0</v>
      </c>
      <c r="G2853" s="15">
        <v>0</v>
      </c>
      <c r="H2853" s="15">
        <v>0</v>
      </c>
    </row>
    <row r="2854" spans="2:8">
      <c r="B2854" s="17" t="s">
        <v>8797</v>
      </c>
      <c r="C2854" s="246" t="s">
        <v>3323</v>
      </c>
      <c r="D2854" s="18">
        <v>0</v>
      </c>
      <c r="E2854" s="18">
        <v>1457</v>
      </c>
      <c r="F2854" s="18">
        <v>0</v>
      </c>
      <c r="G2854" s="18">
        <v>0</v>
      </c>
      <c r="H2854" s="18">
        <v>0</v>
      </c>
    </row>
    <row r="2855" spans="2:8">
      <c r="B2855" s="14" t="s">
        <v>8798</v>
      </c>
      <c r="C2855" s="245" t="s">
        <v>3324</v>
      </c>
      <c r="D2855" s="15">
        <v>0</v>
      </c>
      <c r="E2855" s="15">
        <v>16</v>
      </c>
      <c r="F2855" s="15">
        <v>0</v>
      </c>
      <c r="G2855" s="15">
        <v>0</v>
      </c>
      <c r="H2855" s="15">
        <v>0</v>
      </c>
    </row>
    <row r="2856" spans="2:8">
      <c r="B2856" s="17" t="s">
        <v>8799</v>
      </c>
      <c r="C2856" s="246" t="s">
        <v>3325</v>
      </c>
      <c r="D2856" s="18">
        <v>0</v>
      </c>
      <c r="E2856" s="18">
        <v>0</v>
      </c>
      <c r="F2856" s="18">
        <v>0</v>
      </c>
      <c r="G2856" s="18">
        <v>0</v>
      </c>
      <c r="H2856" s="18">
        <v>0</v>
      </c>
    </row>
    <row r="2857" spans="2:8">
      <c r="B2857" s="14" t="s">
        <v>8800</v>
      </c>
      <c r="C2857" s="245" t="s">
        <v>3326</v>
      </c>
      <c r="D2857" s="15">
        <v>0</v>
      </c>
      <c r="E2857" s="15">
        <v>0</v>
      </c>
      <c r="F2857" s="15">
        <v>0</v>
      </c>
      <c r="G2857" s="15">
        <v>0</v>
      </c>
      <c r="H2857" s="15">
        <v>0</v>
      </c>
    </row>
    <row r="2858" spans="2:8">
      <c r="B2858" s="17" t="s">
        <v>8801</v>
      </c>
      <c r="C2858" s="246" t="s">
        <v>3327</v>
      </c>
      <c r="D2858" s="18">
        <v>0</v>
      </c>
      <c r="E2858" s="18">
        <v>0</v>
      </c>
      <c r="F2858" s="18">
        <v>0</v>
      </c>
      <c r="G2858" s="18">
        <v>0</v>
      </c>
      <c r="H2858" s="18">
        <v>0</v>
      </c>
    </row>
    <row r="2859" spans="2:8">
      <c r="B2859" s="14" t="s">
        <v>8802</v>
      </c>
      <c r="C2859" s="245" t="s">
        <v>3328</v>
      </c>
      <c r="D2859" s="15">
        <v>0</v>
      </c>
      <c r="E2859" s="15">
        <v>0</v>
      </c>
      <c r="F2859" s="15">
        <v>0</v>
      </c>
      <c r="G2859" s="15">
        <v>0</v>
      </c>
      <c r="H2859" s="15">
        <v>0</v>
      </c>
    </row>
    <row r="2860" spans="2:8">
      <c r="B2860" s="17" t="s">
        <v>8803</v>
      </c>
      <c r="C2860" s="246" t="s">
        <v>3329</v>
      </c>
      <c r="D2860" s="18">
        <v>0</v>
      </c>
      <c r="E2860" s="18">
        <v>0</v>
      </c>
      <c r="F2860" s="18">
        <v>0</v>
      </c>
      <c r="G2860" s="18">
        <v>22</v>
      </c>
      <c r="H2860" s="18">
        <v>0</v>
      </c>
    </row>
    <row r="2861" spans="2:8">
      <c r="B2861" s="14" t="s">
        <v>8804</v>
      </c>
      <c r="C2861" s="245" t="s">
        <v>3330</v>
      </c>
      <c r="D2861" s="15">
        <v>0</v>
      </c>
      <c r="E2861" s="15">
        <v>0</v>
      </c>
      <c r="F2861" s="15">
        <v>0</v>
      </c>
      <c r="G2861" s="15">
        <v>0</v>
      </c>
      <c r="H2861" s="15">
        <v>0</v>
      </c>
    </row>
    <row r="2862" spans="2:8">
      <c r="B2862" s="17" t="s">
        <v>8805</v>
      </c>
      <c r="C2862" s="246" t="s">
        <v>2459</v>
      </c>
      <c r="D2862" s="18">
        <v>0</v>
      </c>
      <c r="E2862" s="18">
        <v>0</v>
      </c>
      <c r="F2862" s="18">
        <v>0</v>
      </c>
      <c r="G2862" s="18">
        <v>0</v>
      </c>
      <c r="H2862" s="18">
        <v>0</v>
      </c>
    </row>
    <row r="2863" spans="2:8">
      <c r="B2863" s="14" t="s">
        <v>8806</v>
      </c>
      <c r="C2863" s="245" t="s">
        <v>3331</v>
      </c>
      <c r="D2863" s="15">
        <v>0</v>
      </c>
      <c r="E2863" s="15">
        <v>0</v>
      </c>
      <c r="F2863" s="15">
        <v>0</v>
      </c>
      <c r="G2863" s="15">
        <v>0</v>
      </c>
      <c r="H2863" s="15">
        <v>0</v>
      </c>
    </row>
    <row r="2864" spans="2:8">
      <c r="B2864" s="17" t="s">
        <v>8807</v>
      </c>
      <c r="C2864" s="246" t="s">
        <v>3332</v>
      </c>
      <c r="D2864" s="18">
        <v>0</v>
      </c>
      <c r="E2864" s="18">
        <v>0</v>
      </c>
      <c r="F2864" s="18">
        <v>0</v>
      </c>
      <c r="G2864" s="18">
        <v>0</v>
      </c>
      <c r="H2864" s="18">
        <v>0</v>
      </c>
    </row>
    <row r="2865" spans="2:8">
      <c r="B2865" s="14" t="s">
        <v>8808</v>
      </c>
      <c r="C2865" s="245" t="s">
        <v>3333</v>
      </c>
      <c r="D2865" s="15">
        <v>0</v>
      </c>
      <c r="E2865" s="15">
        <v>0</v>
      </c>
      <c r="F2865" s="15">
        <v>0</v>
      </c>
      <c r="G2865" s="15">
        <v>0</v>
      </c>
      <c r="H2865" s="15">
        <v>0</v>
      </c>
    </row>
    <row r="2866" spans="2:8">
      <c r="B2866" s="17" t="s">
        <v>8809</v>
      </c>
      <c r="C2866" s="246" t="s">
        <v>3334</v>
      </c>
      <c r="D2866" s="18">
        <v>0</v>
      </c>
      <c r="E2866" s="18">
        <v>0</v>
      </c>
      <c r="F2866" s="18">
        <v>0</v>
      </c>
      <c r="G2866" s="18">
        <v>0</v>
      </c>
      <c r="H2866" s="18">
        <v>0</v>
      </c>
    </row>
    <row r="2867" spans="2:8">
      <c r="B2867" s="14" t="s">
        <v>8810</v>
      </c>
      <c r="C2867" s="245" t="s">
        <v>3335</v>
      </c>
      <c r="D2867" s="15">
        <v>0</v>
      </c>
      <c r="E2867" s="15">
        <v>0</v>
      </c>
      <c r="F2867" s="15">
        <v>0</v>
      </c>
      <c r="G2867" s="15">
        <v>0</v>
      </c>
      <c r="H2867" s="15">
        <v>0</v>
      </c>
    </row>
    <row r="2868" spans="2:8">
      <c r="B2868" s="17" t="s">
        <v>8811</v>
      </c>
      <c r="C2868" s="246" t="s">
        <v>3336</v>
      </c>
      <c r="D2868" s="18">
        <v>0</v>
      </c>
      <c r="E2868" s="18">
        <v>0</v>
      </c>
      <c r="F2868" s="18">
        <v>0</v>
      </c>
      <c r="G2868" s="18">
        <v>0</v>
      </c>
      <c r="H2868" s="18">
        <v>0</v>
      </c>
    </row>
    <row r="2869" spans="2:8">
      <c r="B2869" s="14" t="s">
        <v>8812</v>
      </c>
      <c r="C2869" s="245" t="s">
        <v>3337</v>
      </c>
      <c r="D2869" s="15">
        <v>0</v>
      </c>
      <c r="E2869" s="15">
        <v>0</v>
      </c>
      <c r="F2869" s="15">
        <v>0</v>
      </c>
      <c r="G2869" s="15">
        <v>0</v>
      </c>
      <c r="H2869" s="15">
        <v>0</v>
      </c>
    </row>
    <row r="2870" spans="2:8">
      <c r="B2870" s="17" t="s">
        <v>8813</v>
      </c>
      <c r="C2870" s="246" t="s">
        <v>3338</v>
      </c>
      <c r="D2870" s="18">
        <v>0</v>
      </c>
      <c r="E2870" s="18">
        <v>0</v>
      </c>
      <c r="F2870" s="18">
        <v>0</v>
      </c>
      <c r="G2870" s="18">
        <v>0</v>
      </c>
      <c r="H2870" s="18">
        <v>0</v>
      </c>
    </row>
    <row r="2871" spans="2:8">
      <c r="B2871" s="14" t="s">
        <v>8814</v>
      </c>
      <c r="C2871" s="245" t="s">
        <v>3339</v>
      </c>
      <c r="D2871" s="15">
        <v>0</v>
      </c>
      <c r="E2871" s="15">
        <v>0</v>
      </c>
      <c r="F2871" s="15">
        <v>0</v>
      </c>
      <c r="G2871" s="15">
        <v>0</v>
      </c>
      <c r="H2871" s="15">
        <v>0</v>
      </c>
    </row>
    <row r="2872" spans="2:8">
      <c r="B2872" s="17" t="s">
        <v>8815</v>
      </c>
      <c r="C2872" s="246" t="s">
        <v>3340</v>
      </c>
      <c r="D2872" s="18">
        <v>0</v>
      </c>
      <c r="E2872" s="18">
        <v>0</v>
      </c>
      <c r="F2872" s="18">
        <v>0</v>
      </c>
      <c r="G2872" s="18">
        <v>0</v>
      </c>
      <c r="H2872" s="18">
        <v>0</v>
      </c>
    </row>
    <row r="2873" spans="2:8">
      <c r="B2873" s="14" t="s">
        <v>8816</v>
      </c>
      <c r="C2873" s="245" t="s">
        <v>3341</v>
      </c>
      <c r="D2873" s="15">
        <v>0</v>
      </c>
      <c r="E2873" s="15">
        <v>0</v>
      </c>
      <c r="F2873" s="15">
        <v>0</v>
      </c>
      <c r="G2873" s="15">
        <v>0</v>
      </c>
      <c r="H2873" s="15">
        <v>0</v>
      </c>
    </row>
    <row r="2874" spans="2:8">
      <c r="B2874" s="17" t="s">
        <v>8817</v>
      </c>
      <c r="C2874" s="246" t="s">
        <v>3342</v>
      </c>
      <c r="D2874" s="18">
        <v>0</v>
      </c>
      <c r="E2874" s="18">
        <v>0</v>
      </c>
      <c r="F2874" s="18">
        <v>0</v>
      </c>
      <c r="G2874" s="18">
        <v>0</v>
      </c>
      <c r="H2874" s="18">
        <v>0</v>
      </c>
    </row>
    <row r="2875" spans="2:8">
      <c r="B2875" s="14" t="s">
        <v>8818</v>
      </c>
      <c r="C2875" s="245" t="s">
        <v>3343</v>
      </c>
      <c r="D2875" s="15">
        <v>0</v>
      </c>
      <c r="E2875" s="15">
        <v>0</v>
      </c>
      <c r="F2875" s="15">
        <v>0</v>
      </c>
      <c r="G2875" s="15">
        <v>0</v>
      </c>
      <c r="H2875" s="15">
        <v>0</v>
      </c>
    </row>
    <row r="2876" spans="2:8">
      <c r="B2876" s="17" t="s">
        <v>8819</v>
      </c>
      <c r="C2876" s="246" t="s">
        <v>3344</v>
      </c>
      <c r="D2876" s="18">
        <v>0</v>
      </c>
      <c r="E2876" s="18">
        <v>0</v>
      </c>
      <c r="F2876" s="18">
        <v>0</v>
      </c>
      <c r="G2876" s="18">
        <v>0</v>
      </c>
      <c r="H2876" s="18">
        <v>0</v>
      </c>
    </row>
    <row r="2877" spans="2:8">
      <c r="B2877" s="14" t="s">
        <v>8820</v>
      </c>
      <c r="C2877" s="245" t="s">
        <v>3345</v>
      </c>
      <c r="D2877" s="15">
        <v>0</v>
      </c>
      <c r="E2877" s="15">
        <v>0</v>
      </c>
      <c r="F2877" s="15">
        <v>0</v>
      </c>
      <c r="G2877" s="15">
        <v>0</v>
      </c>
      <c r="H2877" s="15">
        <v>0</v>
      </c>
    </row>
    <row r="2878" spans="2:8">
      <c r="B2878" s="17" t="s">
        <v>8821</v>
      </c>
      <c r="C2878" s="246" t="s">
        <v>3346</v>
      </c>
      <c r="D2878" s="18">
        <v>0</v>
      </c>
      <c r="E2878" s="18">
        <v>0</v>
      </c>
      <c r="F2878" s="18">
        <v>15</v>
      </c>
      <c r="G2878" s="18">
        <v>0</v>
      </c>
      <c r="H2878" s="18">
        <v>0</v>
      </c>
    </row>
    <row r="2879" spans="2:8">
      <c r="B2879" s="14" t="s">
        <v>8822</v>
      </c>
      <c r="C2879" s="245" t="s">
        <v>3347</v>
      </c>
      <c r="D2879" s="15">
        <v>9</v>
      </c>
      <c r="E2879" s="15">
        <v>0</v>
      </c>
      <c r="F2879" s="15">
        <v>0</v>
      </c>
      <c r="G2879" s="15">
        <v>0</v>
      </c>
      <c r="H2879" s="15">
        <v>0</v>
      </c>
    </row>
    <row r="2880" spans="2:8">
      <c r="B2880" s="17" t="s">
        <v>8823</v>
      </c>
      <c r="C2880" s="246" t="s">
        <v>3348</v>
      </c>
      <c r="D2880" s="18">
        <v>0</v>
      </c>
      <c r="E2880" s="18">
        <v>0</v>
      </c>
      <c r="F2880" s="18">
        <v>0</v>
      </c>
      <c r="G2880" s="18">
        <v>0</v>
      </c>
      <c r="H2880" s="18">
        <v>0</v>
      </c>
    </row>
    <row r="2881" spans="2:8">
      <c r="B2881" s="14" t="s">
        <v>8824</v>
      </c>
      <c r="C2881" s="245" t="s">
        <v>1339</v>
      </c>
      <c r="D2881" s="15">
        <v>0</v>
      </c>
      <c r="E2881" s="15">
        <v>0</v>
      </c>
      <c r="F2881" s="15">
        <v>0</v>
      </c>
      <c r="G2881" s="15">
        <v>0</v>
      </c>
      <c r="H2881" s="15">
        <v>0</v>
      </c>
    </row>
    <row r="2882" spans="2:8">
      <c r="B2882" s="17" t="s">
        <v>8825</v>
      </c>
      <c r="C2882" s="246" t="s">
        <v>3349</v>
      </c>
      <c r="D2882" s="18">
        <v>0</v>
      </c>
      <c r="E2882" s="18">
        <v>0</v>
      </c>
      <c r="F2882" s="18">
        <v>0</v>
      </c>
      <c r="G2882" s="18">
        <v>0</v>
      </c>
      <c r="H2882" s="18">
        <v>0</v>
      </c>
    </row>
    <row r="2883" spans="2:8">
      <c r="B2883" s="14" t="s">
        <v>8826</v>
      </c>
      <c r="C2883" s="245" t="s">
        <v>3350</v>
      </c>
      <c r="D2883" s="15">
        <v>0</v>
      </c>
      <c r="E2883" s="15">
        <v>0</v>
      </c>
      <c r="F2883" s="15">
        <v>0</v>
      </c>
      <c r="G2883" s="15">
        <v>2</v>
      </c>
      <c r="H2883" s="15">
        <v>0</v>
      </c>
    </row>
    <row r="2884" spans="2:8">
      <c r="B2884" s="17" t="s">
        <v>8827</v>
      </c>
      <c r="C2884" s="246" t="s">
        <v>3351</v>
      </c>
      <c r="D2884" s="18">
        <v>0</v>
      </c>
      <c r="E2884" s="18">
        <v>0</v>
      </c>
      <c r="F2884" s="18">
        <v>0</v>
      </c>
      <c r="G2884" s="18">
        <v>0</v>
      </c>
      <c r="H2884" s="18">
        <v>0</v>
      </c>
    </row>
    <row r="2885" spans="2:8">
      <c r="B2885" s="14" t="s">
        <v>8828</v>
      </c>
      <c r="C2885" s="245" t="s">
        <v>3352</v>
      </c>
      <c r="D2885" s="15">
        <v>0</v>
      </c>
      <c r="E2885" s="15">
        <v>0</v>
      </c>
      <c r="F2885" s="15">
        <v>0</v>
      </c>
      <c r="G2885" s="15">
        <v>0</v>
      </c>
      <c r="H2885" s="15">
        <v>0</v>
      </c>
    </row>
    <row r="2886" spans="2:8">
      <c r="B2886" s="17" t="s">
        <v>8829</v>
      </c>
      <c r="C2886" s="246" t="s">
        <v>3353</v>
      </c>
      <c r="D2886" s="18">
        <v>0</v>
      </c>
      <c r="E2886" s="18">
        <v>0</v>
      </c>
      <c r="F2886" s="18">
        <v>0</v>
      </c>
      <c r="G2886" s="18">
        <v>0</v>
      </c>
      <c r="H2886" s="18">
        <v>0</v>
      </c>
    </row>
    <row r="2887" spans="2:8">
      <c r="B2887" s="14" t="s">
        <v>8830</v>
      </c>
      <c r="C2887" s="245" t="s">
        <v>3354</v>
      </c>
      <c r="D2887" s="15">
        <v>0</v>
      </c>
      <c r="E2887" s="15">
        <v>0</v>
      </c>
      <c r="F2887" s="15">
        <v>0</v>
      </c>
      <c r="G2887" s="15">
        <v>0</v>
      </c>
      <c r="H2887" s="15">
        <v>0</v>
      </c>
    </row>
    <row r="2888" spans="2:8">
      <c r="B2888" s="17" t="s">
        <v>8831</v>
      </c>
      <c r="C2888" s="246" t="s">
        <v>3355</v>
      </c>
      <c r="D2888" s="18">
        <v>0</v>
      </c>
      <c r="E2888" s="18">
        <v>0</v>
      </c>
      <c r="F2888" s="18">
        <v>0</v>
      </c>
      <c r="G2888" s="18">
        <v>0</v>
      </c>
      <c r="H2888" s="18">
        <v>0</v>
      </c>
    </row>
    <row r="2889" spans="2:8">
      <c r="B2889" s="14" t="s">
        <v>8832</v>
      </c>
      <c r="C2889" s="245" t="s">
        <v>3356</v>
      </c>
      <c r="D2889" s="15">
        <v>0</v>
      </c>
      <c r="E2889" s="15">
        <v>0</v>
      </c>
      <c r="F2889" s="15">
        <v>0</v>
      </c>
      <c r="G2889" s="15">
        <v>0</v>
      </c>
      <c r="H2889" s="15">
        <v>0</v>
      </c>
    </row>
    <row r="2890" spans="2:8">
      <c r="B2890" s="17" t="s">
        <v>8833</v>
      </c>
      <c r="C2890" s="246" t="s">
        <v>3357</v>
      </c>
      <c r="D2890" s="18">
        <v>0</v>
      </c>
      <c r="E2890" s="18">
        <v>0</v>
      </c>
      <c r="F2890" s="18">
        <v>0</v>
      </c>
      <c r="G2890" s="18">
        <v>0</v>
      </c>
      <c r="H2890" s="18">
        <v>0</v>
      </c>
    </row>
    <row r="2891" spans="2:8">
      <c r="B2891" s="14" t="s">
        <v>8834</v>
      </c>
      <c r="C2891" s="245" t="s">
        <v>3358</v>
      </c>
      <c r="D2891" s="15">
        <v>0</v>
      </c>
      <c r="E2891" s="15">
        <v>0</v>
      </c>
      <c r="F2891" s="15">
        <v>0</v>
      </c>
      <c r="G2891" s="15">
        <v>182</v>
      </c>
      <c r="H2891" s="15">
        <v>0</v>
      </c>
    </row>
    <row r="2892" spans="2:8">
      <c r="B2892" s="17" t="s">
        <v>8835</v>
      </c>
      <c r="C2892" s="246" t="s">
        <v>3359</v>
      </c>
      <c r="D2892" s="18">
        <v>17</v>
      </c>
      <c r="E2892" s="18">
        <v>0</v>
      </c>
      <c r="F2892" s="18">
        <v>0</v>
      </c>
      <c r="G2892" s="18">
        <v>0</v>
      </c>
      <c r="H2892" s="18">
        <v>0</v>
      </c>
    </row>
    <row r="2893" spans="2:8">
      <c r="B2893" s="14" t="s">
        <v>8836</v>
      </c>
      <c r="C2893" s="245" t="s">
        <v>3360</v>
      </c>
      <c r="D2893" s="15">
        <v>0</v>
      </c>
      <c r="E2893" s="15">
        <v>0</v>
      </c>
      <c r="F2893" s="15">
        <v>0</v>
      </c>
      <c r="G2893" s="15">
        <v>0</v>
      </c>
      <c r="H2893" s="15">
        <v>0</v>
      </c>
    </row>
    <row r="2894" spans="2:8">
      <c r="B2894" s="17" t="s">
        <v>8837</v>
      </c>
      <c r="C2894" s="246" t="s">
        <v>3361</v>
      </c>
      <c r="D2894" s="18">
        <v>93</v>
      </c>
      <c r="E2894" s="18">
        <v>711</v>
      </c>
      <c r="F2894" s="18">
        <v>92</v>
      </c>
      <c r="G2894" s="18">
        <v>144</v>
      </c>
      <c r="H2894" s="18">
        <v>0</v>
      </c>
    </row>
    <row r="2895" spans="2:8">
      <c r="B2895" s="14" t="s">
        <v>8838</v>
      </c>
      <c r="C2895" s="245" t="s">
        <v>3362</v>
      </c>
      <c r="D2895" s="15">
        <v>0</v>
      </c>
      <c r="E2895" s="15">
        <v>0</v>
      </c>
      <c r="F2895" s="15">
        <v>0</v>
      </c>
      <c r="G2895" s="15">
        <v>0</v>
      </c>
      <c r="H2895" s="15">
        <v>0</v>
      </c>
    </row>
    <row r="2896" spans="2:8">
      <c r="B2896" s="17" t="s">
        <v>8839</v>
      </c>
      <c r="C2896" s="246" t="s">
        <v>3363</v>
      </c>
      <c r="D2896" s="18">
        <v>0</v>
      </c>
      <c r="E2896" s="18">
        <v>0</v>
      </c>
      <c r="F2896" s="18">
        <v>0</v>
      </c>
      <c r="G2896" s="18">
        <v>0</v>
      </c>
      <c r="H2896" s="18">
        <v>0</v>
      </c>
    </row>
    <row r="2897" spans="2:8">
      <c r="B2897" s="14" t="s">
        <v>8840</v>
      </c>
      <c r="C2897" s="245" t="s">
        <v>3364</v>
      </c>
      <c r="D2897" s="15">
        <v>0</v>
      </c>
      <c r="E2897" s="15">
        <v>0</v>
      </c>
      <c r="F2897" s="15">
        <v>0</v>
      </c>
      <c r="G2897" s="15">
        <v>0</v>
      </c>
      <c r="H2897" s="15">
        <v>0</v>
      </c>
    </row>
    <row r="2898" spans="2:8">
      <c r="B2898" s="17" t="s">
        <v>8841</v>
      </c>
      <c r="C2898" s="246" t="s">
        <v>3365</v>
      </c>
      <c r="D2898" s="18">
        <v>0</v>
      </c>
      <c r="E2898" s="18">
        <v>0</v>
      </c>
      <c r="F2898" s="18">
        <v>0</v>
      </c>
      <c r="G2898" s="18">
        <v>0</v>
      </c>
      <c r="H2898" s="18">
        <v>0</v>
      </c>
    </row>
    <row r="2899" spans="2:8">
      <c r="B2899" s="14" t="s">
        <v>8842</v>
      </c>
      <c r="C2899" s="245" t="s">
        <v>3366</v>
      </c>
      <c r="D2899" s="15">
        <v>0</v>
      </c>
      <c r="E2899" s="15">
        <v>0</v>
      </c>
      <c r="F2899" s="15">
        <v>0</v>
      </c>
      <c r="G2899" s="15">
        <v>0</v>
      </c>
      <c r="H2899" s="15">
        <v>0</v>
      </c>
    </row>
    <row r="2900" spans="2:8">
      <c r="B2900" s="17" t="s">
        <v>8843</v>
      </c>
      <c r="C2900" s="246" t="s">
        <v>3367</v>
      </c>
      <c r="D2900" s="18">
        <v>0</v>
      </c>
      <c r="E2900" s="18">
        <v>0</v>
      </c>
      <c r="F2900" s="18">
        <v>0</v>
      </c>
      <c r="G2900" s="18">
        <v>0</v>
      </c>
      <c r="H2900" s="18">
        <v>0</v>
      </c>
    </row>
    <row r="2901" spans="2:8">
      <c r="B2901" s="14" t="s">
        <v>8844</v>
      </c>
      <c r="C2901" s="245" t="s">
        <v>3368</v>
      </c>
      <c r="D2901" s="15">
        <v>0</v>
      </c>
      <c r="E2901" s="15">
        <v>0</v>
      </c>
      <c r="F2901" s="15">
        <v>0</v>
      </c>
      <c r="G2901" s="15">
        <v>0</v>
      </c>
      <c r="H2901" s="15">
        <v>0</v>
      </c>
    </row>
    <row r="2902" spans="2:8">
      <c r="B2902" s="17" t="s">
        <v>8845</v>
      </c>
      <c r="C2902" s="246" t="s">
        <v>3369</v>
      </c>
      <c r="D2902" s="18">
        <v>0</v>
      </c>
      <c r="E2902" s="18">
        <v>0</v>
      </c>
      <c r="F2902" s="18">
        <v>0</v>
      </c>
      <c r="G2902" s="18">
        <v>0</v>
      </c>
      <c r="H2902" s="18">
        <v>0</v>
      </c>
    </row>
    <row r="2903" spans="2:8">
      <c r="B2903" s="14" t="s">
        <v>8846</v>
      </c>
      <c r="C2903" s="245" t="s">
        <v>3370</v>
      </c>
      <c r="D2903" s="15">
        <v>0</v>
      </c>
      <c r="E2903" s="15">
        <v>0</v>
      </c>
      <c r="F2903" s="15">
        <v>0</v>
      </c>
      <c r="G2903" s="15">
        <v>0</v>
      </c>
      <c r="H2903" s="15">
        <v>0</v>
      </c>
    </row>
    <row r="2904" spans="2:8">
      <c r="B2904" s="17" t="s">
        <v>8847</v>
      </c>
      <c r="C2904" s="246" t="s">
        <v>3371</v>
      </c>
      <c r="D2904" s="18">
        <v>0</v>
      </c>
      <c r="E2904" s="18">
        <v>0</v>
      </c>
      <c r="F2904" s="18">
        <v>0</v>
      </c>
      <c r="G2904" s="18">
        <v>0</v>
      </c>
      <c r="H2904" s="18">
        <v>0</v>
      </c>
    </row>
    <row r="2905" spans="2:8">
      <c r="B2905" s="14" t="s">
        <v>8848</v>
      </c>
      <c r="C2905" s="245" t="s">
        <v>3372</v>
      </c>
      <c r="D2905" s="15">
        <v>0</v>
      </c>
      <c r="E2905" s="15">
        <v>0</v>
      </c>
      <c r="F2905" s="15">
        <v>0</v>
      </c>
      <c r="G2905" s="15">
        <v>0</v>
      </c>
      <c r="H2905" s="15">
        <v>0</v>
      </c>
    </row>
    <row r="2906" spans="2:8">
      <c r="B2906" s="17" t="s">
        <v>8849</v>
      </c>
      <c r="C2906" s="246" t="s">
        <v>3373</v>
      </c>
      <c r="D2906" s="18">
        <v>0</v>
      </c>
      <c r="E2906" s="18">
        <v>0</v>
      </c>
      <c r="F2906" s="18">
        <v>0</v>
      </c>
      <c r="G2906" s="18">
        <v>0</v>
      </c>
      <c r="H2906" s="18">
        <v>0</v>
      </c>
    </row>
    <row r="2907" spans="2:8">
      <c r="B2907" s="14" t="s">
        <v>8850</v>
      </c>
      <c r="C2907" s="245" t="s">
        <v>3374</v>
      </c>
      <c r="D2907" s="15">
        <v>0</v>
      </c>
      <c r="E2907" s="15">
        <v>0</v>
      </c>
      <c r="F2907" s="15">
        <v>0</v>
      </c>
      <c r="G2907" s="15">
        <v>0</v>
      </c>
      <c r="H2907" s="15">
        <v>0</v>
      </c>
    </row>
    <row r="2908" spans="2:8">
      <c r="B2908" s="17" t="s">
        <v>8851</v>
      </c>
      <c r="C2908" s="246" t="s">
        <v>3375</v>
      </c>
      <c r="D2908" s="18">
        <v>0</v>
      </c>
      <c r="E2908" s="18">
        <v>0</v>
      </c>
      <c r="F2908" s="18">
        <v>0</v>
      </c>
      <c r="G2908" s="18">
        <v>0</v>
      </c>
      <c r="H2908" s="18">
        <v>0</v>
      </c>
    </row>
    <row r="2909" spans="2:8">
      <c r="B2909" s="14" t="s">
        <v>8852</v>
      </c>
      <c r="C2909" s="245" t="s">
        <v>3376</v>
      </c>
      <c r="D2909" s="15">
        <v>0</v>
      </c>
      <c r="E2909" s="15">
        <v>0</v>
      </c>
      <c r="F2909" s="15">
        <v>0</v>
      </c>
      <c r="G2909" s="15">
        <v>0</v>
      </c>
      <c r="H2909" s="15">
        <v>0</v>
      </c>
    </row>
    <row r="2910" spans="2:8">
      <c r="B2910" s="17" t="s">
        <v>8853</v>
      </c>
      <c r="C2910" s="246" t="s">
        <v>3377</v>
      </c>
      <c r="D2910" s="18">
        <v>0</v>
      </c>
      <c r="E2910" s="18">
        <v>0</v>
      </c>
      <c r="F2910" s="18">
        <v>0</v>
      </c>
      <c r="G2910" s="18">
        <v>0</v>
      </c>
      <c r="H2910" s="18">
        <v>0</v>
      </c>
    </row>
    <row r="2911" spans="2:8">
      <c r="B2911" s="14" t="s">
        <v>8854</v>
      </c>
      <c r="C2911" s="245" t="s">
        <v>3378</v>
      </c>
      <c r="D2911" s="15">
        <v>0</v>
      </c>
      <c r="E2911" s="15">
        <v>0</v>
      </c>
      <c r="F2911" s="15">
        <v>0</v>
      </c>
      <c r="G2911" s="15">
        <v>0</v>
      </c>
      <c r="H2911" s="15">
        <v>0</v>
      </c>
    </row>
    <row r="2912" spans="2:8">
      <c r="B2912" s="17" t="s">
        <v>8855</v>
      </c>
      <c r="C2912" s="246" t="s">
        <v>3379</v>
      </c>
      <c r="D2912" s="18">
        <v>0</v>
      </c>
      <c r="E2912" s="18">
        <v>0</v>
      </c>
      <c r="F2912" s="18">
        <v>0</v>
      </c>
      <c r="G2912" s="18">
        <v>0</v>
      </c>
      <c r="H2912" s="18">
        <v>0</v>
      </c>
    </row>
    <row r="2913" spans="2:8">
      <c r="B2913" s="14" t="s">
        <v>8856</v>
      </c>
      <c r="C2913" s="245" t="s">
        <v>3380</v>
      </c>
      <c r="D2913" s="15">
        <v>0</v>
      </c>
      <c r="E2913" s="15">
        <v>0</v>
      </c>
      <c r="F2913" s="15">
        <v>0</v>
      </c>
      <c r="G2913" s="15">
        <v>0</v>
      </c>
      <c r="H2913" s="15">
        <v>0</v>
      </c>
    </row>
    <row r="2914" spans="2:8">
      <c r="B2914" s="17" t="s">
        <v>8857</v>
      </c>
      <c r="C2914" s="246" t="s">
        <v>3381</v>
      </c>
      <c r="D2914" s="18">
        <v>0</v>
      </c>
      <c r="E2914" s="18">
        <v>0</v>
      </c>
      <c r="F2914" s="18">
        <v>0</v>
      </c>
      <c r="G2914" s="18">
        <v>0</v>
      </c>
      <c r="H2914" s="18">
        <v>0</v>
      </c>
    </row>
    <row r="2915" spans="2:8">
      <c r="B2915" s="14" t="s">
        <v>8858</v>
      </c>
      <c r="C2915" s="245" t="s">
        <v>3382</v>
      </c>
      <c r="D2915" s="15">
        <v>0</v>
      </c>
      <c r="E2915" s="15">
        <v>0</v>
      </c>
      <c r="F2915" s="15">
        <v>0</v>
      </c>
      <c r="G2915" s="15">
        <v>0</v>
      </c>
      <c r="H2915" s="15">
        <v>0</v>
      </c>
    </row>
    <row r="2916" spans="2:8">
      <c r="B2916" s="17" t="s">
        <v>8859</v>
      </c>
      <c r="C2916" s="246" t="s">
        <v>3383</v>
      </c>
      <c r="D2916" s="18">
        <v>0</v>
      </c>
      <c r="E2916" s="18">
        <v>0</v>
      </c>
      <c r="F2916" s="18">
        <v>0</v>
      </c>
      <c r="G2916" s="18">
        <v>0</v>
      </c>
      <c r="H2916" s="18">
        <v>0</v>
      </c>
    </row>
    <row r="2917" spans="2:8">
      <c r="B2917" s="14" t="s">
        <v>8860</v>
      </c>
      <c r="C2917" s="245" t="s">
        <v>3384</v>
      </c>
      <c r="D2917" s="15">
        <v>0</v>
      </c>
      <c r="E2917" s="15">
        <v>0</v>
      </c>
      <c r="F2917" s="15">
        <v>0</v>
      </c>
      <c r="G2917" s="15">
        <v>0</v>
      </c>
      <c r="H2917" s="15">
        <v>0</v>
      </c>
    </row>
    <row r="2918" spans="2:8">
      <c r="B2918" s="17" t="s">
        <v>8861</v>
      </c>
      <c r="C2918" s="246" t="s">
        <v>3385</v>
      </c>
      <c r="D2918" s="18">
        <v>0</v>
      </c>
      <c r="E2918" s="18">
        <v>0</v>
      </c>
      <c r="F2918" s="18">
        <v>0</v>
      </c>
      <c r="G2918" s="18">
        <v>50</v>
      </c>
      <c r="H2918" s="18">
        <v>0</v>
      </c>
    </row>
    <row r="2919" spans="2:8">
      <c r="B2919" s="14" t="s">
        <v>8862</v>
      </c>
      <c r="C2919" s="245" t="s">
        <v>1987</v>
      </c>
      <c r="D2919" s="15">
        <v>0</v>
      </c>
      <c r="E2919" s="15">
        <v>0</v>
      </c>
      <c r="F2919" s="15">
        <v>0</v>
      </c>
      <c r="G2919" s="15">
        <v>0</v>
      </c>
      <c r="H2919" s="15">
        <v>0</v>
      </c>
    </row>
    <row r="2920" spans="2:8">
      <c r="B2920" s="17" t="s">
        <v>8863</v>
      </c>
      <c r="C2920" s="246" t="s">
        <v>1989</v>
      </c>
      <c r="D2920" s="18">
        <v>0</v>
      </c>
      <c r="E2920" s="18">
        <v>0</v>
      </c>
      <c r="F2920" s="18">
        <v>0</v>
      </c>
      <c r="G2920" s="18">
        <v>0</v>
      </c>
      <c r="H2920" s="18">
        <v>0</v>
      </c>
    </row>
    <row r="2921" spans="2:8">
      <c r="B2921" s="14" t="s">
        <v>8864</v>
      </c>
      <c r="C2921" s="245" t="s">
        <v>3386</v>
      </c>
      <c r="D2921" s="15">
        <v>0</v>
      </c>
      <c r="E2921" s="15">
        <v>0</v>
      </c>
      <c r="F2921" s="15">
        <v>0</v>
      </c>
      <c r="G2921" s="15">
        <v>0</v>
      </c>
      <c r="H2921" s="15">
        <v>0</v>
      </c>
    </row>
    <row r="2922" spans="2:8">
      <c r="B2922" s="17" t="s">
        <v>8865</v>
      </c>
      <c r="C2922" s="246" t="s">
        <v>3387</v>
      </c>
      <c r="D2922" s="18">
        <v>0</v>
      </c>
      <c r="E2922" s="18">
        <v>0</v>
      </c>
      <c r="F2922" s="18">
        <v>0</v>
      </c>
      <c r="G2922" s="18">
        <v>0</v>
      </c>
      <c r="H2922" s="18">
        <v>0</v>
      </c>
    </row>
    <row r="2923" spans="2:8">
      <c r="B2923" s="14" t="s">
        <v>8866</v>
      </c>
      <c r="C2923" s="245" t="s">
        <v>3388</v>
      </c>
      <c r="D2923" s="15">
        <v>0</v>
      </c>
      <c r="E2923" s="15">
        <v>0</v>
      </c>
      <c r="F2923" s="15">
        <v>0</v>
      </c>
      <c r="G2923" s="15">
        <v>0</v>
      </c>
      <c r="H2923" s="15">
        <v>0</v>
      </c>
    </row>
    <row r="2924" spans="2:8">
      <c r="B2924" s="17" t="s">
        <v>8867</v>
      </c>
      <c r="C2924" s="246" t="s">
        <v>3389</v>
      </c>
      <c r="D2924" s="18">
        <v>0</v>
      </c>
      <c r="E2924" s="18">
        <v>0</v>
      </c>
      <c r="F2924" s="18">
        <v>0</v>
      </c>
      <c r="G2924" s="18">
        <v>0</v>
      </c>
      <c r="H2924" s="18">
        <v>0</v>
      </c>
    </row>
    <row r="2925" spans="2:8">
      <c r="B2925" s="14" t="s">
        <v>8868</v>
      </c>
      <c r="C2925" s="245" t="s">
        <v>3390</v>
      </c>
      <c r="D2925" s="15">
        <v>0</v>
      </c>
      <c r="E2925" s="15">
        <v>0</v>
      </c>
      <c r="F2925" s="15">
        <v>0</v>
      </c>
      <c r="G2925" s="15">
        <v>0</v>
      </c>
      <c r="H2925" s="15">
        <v>0</v>
      </c>
    </row>
    <row r="2926" spans="2:8">
      <c r="B2926" s="17" t="s">
        <v>8869</v>
      </c>
      <c r="C2926" s="246" t="s">
        <v>3391</v>
      </c>
      <c r="D2926" s="18">
        <v>0</v>
      </c>
      <c r="E2926" s="18">
        <v>0</v>
      </c>
      <c r="F2926" s="18">
        <v>0</v>
      </c>
      <c r="G2926" s="18">
        <v>0</v>
      </c>
      <c r="H2926" s="18">
        <v>0</v>
      </c>
    </row>
    <row r="2927" spans="2:8">
      <c r="B2927" s="14" t="s">
        <v>8870</v>
      </c>
      <c r="C2927" s="245" t="s">
        <v>3392</v>
      </c>
      <c r="D2927" s="15">
        <v>0</v>
      </c>
      <c r="E2927" s="15">
        <v>0</v>
      </c>
      <c r="F2927" s="15">
        <v>2</v>
      </c>
      <c r="G2927" s="15">
        <v>0</v>
      </c>
      <c r="H2927" s="15">
        <v>0</v>
      </c>
    </row>
    <row r="2928" spans="2:8">
      <c r="B2928" s="17" t="s">
        <v>8871</v>
      </c>
      <c r="C2928" s="246" t="s">
        <v>3393</v>
      </c>
      <c r="D2928" s="18">
        <v>0</v>
      </c>
      <c r="E2928" s="18">
        <v>0</v>
      </c>
      <c r="F2928" s="18">
        <v>0</v>
      </c>
      <c r="G2928" s="18">
        <v>0</v>
      </c>
      <c r="H2928" s="18">
        <v>0</v>
      </c>
    </row>
    <row r="2929" spans="2:8">
      <c r="B2929" s="14" t="s">
        <v>8872</v>
      </c>
      <c r="C2929" s="245" t="s">
        <v>3394</v>
      </c>
      <c r="D2929" s="15">
        <v>0</v>
      </c>
      <c r="E2929" s="15">
        <v>0</v>
      </c>
      <c r="F2929" s="15">
        <v>0</v>
      </c>
      <c r="G2929" s="15">
        <v>0</v>
      </c>
      <c r="H2929" s="15">
        <v>0</v>
      </c>
    </row>
    <row r="2930" spans="2:8">
      <c r="B2930" s="17" t="s">
        <v>8873</v>
      </c>
      <c r="C2930" s="246" t="s">
        <v>3395</v>
      </c>
      <c r="D2930" s="18">
        <v>0</v>
      </c>
      <c r="E2930" s="18">
        <v>0</v>
      </c>
      <c r="F2930" s="18">
        <v>0</v>
      </c>
      <c r="G2930" s="18">
        <v>0</v>
      </c>
      <c r="H2930" s="18">
        <v>0</v>
      </c>
    </row>
    <row r="2931" spans="2:8">
      <c r="B2931" s="14" t="s">
        <v>8874</v>
      </c>
      <c r="C2931" s="245" t="s">
        <v>3396</v>
      </c>
      <c r="D2931" s="15">
        <v>0</v>
      </c>
      <c r="E2931" s="15">
        <v>0</v>
      </c>
      <c r="F2931" s="15">
        <v>0</v>
      </c>
      <c r="G2931" s="15">
        <v>0</v>
      </c>
      <c r="H2931" s="15">
        <v>0</v>
      </c>
    </row>
    <row r="2932" spans="2:8">
      <c r="B2932" s="17" t="s">
        <v>8875</v>
      </c>
      <c r="C2932" s="246" t="s">
        <v>3397</v>
      </c>
      <c r="D2932" s="18">
        <v>0</v>
      </c>
      <c r="E2932" s="18">
        <v>0</v>
      </c>
      <c r="F2932" s="18">
        <v>0</v>
      </c>
      <c r="G2932" s="18">
        <v>0</v>
      </c>
      <c r="H2932" s="18">
        <v>0</v>
      </c>
    </row>
    <row r="2933" spans="2:8">
      <c r="B2933" s="14" t="s">
        <v>8876</v>
      </c>
      <c r="C2933" s="245" t="s">
        <v>3398</v>
      </c>
      <c r="D2933" s="15">
        <v>0</v>
      </c>
      <c r="E2933" s="15">
        <v>0</v>
      </c>
      <c r="F2933" s="15">
        <v>0</v>
      </c>
      <c r="G2933" s="15">
        <v>0</v>
      </c>
      <c r="H2933" s="15">
        <v>0</v>
      </c>
    </row>
    <row r="2934" spans="2:8">
      <c r="B2934" s="17" t="s">
        <v>8877</v>
      </c>
      <c r="C2934" s="246" t="s">
        <v>3399</v>
      </c>
      <c r="D2934" s="18">
        <v>0</v>
      </c>
      <c r="E2934" s="18">
        <v>0</v>
      </c>
      <c r="F2934" s="18">
        <v>0</v>
      </c>
      <c r="G2934" s="18">
        <v>0</v>
      </c>
      <c r="H2934" s="18">
        <v>0</v>
      </c>
    </row>
    <row r="2935" spans="2:8">
      <c r="B2935" s="14" t="s">
        <v>8878</v>
      </c>
      <c r="C2935" s="245" t="s">
        <v>3400</v>
      </c>
      <c r="D2935" s="15">
        <v>0</v>
      </c>
      <c r="E2935" s="15">
        <v>0</v>
      </c>
      <c r="F2935" s="15">
        <v>0</v>
      </c>
      <c r="G2935" s="15">
        <v>0</v>
      </c>
      <c r="H2935" s="15">
        <v>0</v>
      </c>
    </row>
    <row r="2936" spans="2:8">
      <c r="B2936" s="17" t="s">
        <v>8879</v>
      </c>
      <c r="C2936" s="246" t="s">
        <v>3401</v>
      </c>
      <c r="D2936" s="18">
        <v>0</v>
      </c>
      <c r="E2936" s="18">
        <v>0</v>
      </c>
      <c r="F2936" s="18">
        <v>0</v>
      </c>
      <c r="G2936" s="18">
        <v>0</v>
      </c>
      <c r="H2936" s="18">
        <v>0</v>
      </c>
    </row>
    <row r="2937" spans="2:8">
      <c r="B2937" s="14" t="s">
        <v>8880</v>
      </c>
      <c r="C2937" s="245" t="s">
        <v>3402</v>
      </c>
      <c r="D2937" s="15">
        <v>0</v>
      </c>
      <c r="E2937" s="15">
        <v>0</v>
      </c>
      <c r="F2937" s="15">
        <v>0</v>
      </c>
      <c r="G2937" s="15">
        <v>0</v>
      </c>
      <c r="H2937" s="15">
        <v>0</v>
      </c>
    </row>
    <row r="2938" spans="2:8">
      <c r="B2938" s="17" t="s">
        <v>8881</v>
      </c>
      <c r="C2938" s="246" t="s">
        <v>3403</v>
      </c>
      <c r="D2938" s="18">
        <v>0</v>
      </c>
      <c r="E2938" s="18">
        <v>0</v>
      </c>
      <c r="F2938" s="18">
        <v>0</v>
      </c>
      <c r="G2938" s="18">
        <v>0</v>
      </c>
      <c r="H2938" s="18">
        <v>0</v>
      </c>
    </row>
    <row r="2939" spans="2:8">
      <c r="B2939" s="14" t="s">
        <v>8882</v>
      </c>
      <c r="C2939" s="245" t="s">
        <v>3404</v>
      </c>
      <c r="D2939" s="15">
        <v>0</v>
      </c>
      <c r="E2939" s="15">
        <v>0</v>
      </c>
      <c r="F2939" s="15">
        <v>0</v>
      </c>
      <c r="G2939" s="15">
        <v>0</v>
      </c>
      <c r="H2939" s="15">
        <v>0</v>
      </c>
    </row>
    <row r="2940" spans="2:8">
      <c r="B2940" s="17" t="s">
        <v>8883</v>
      </c>
      <c r="C2940" s="246" t="s">
        <v>3405</v>
      </c>
      <c r="D2940" s="18">
        <v>0</v>
      </c>
      <c r="E2940" s="18">
        <v>0</v>
      </c>
      <c r="F2940" s="18">
        <v>0</v>
      </c>
      <c r="G2940" s="18">
        <v>0</v>
      </c>
      <c r="H2940" s="18">
        <v>0</v>
      </c>
    </row>
    <row r="2941" spans="2:8">
      <c r="B2941" s="14" t="s">
        <v>8884</v>
      </c>
      <c r="C2941" s="245" t="s">
        <v>3406</v>
      </c>
      <c r="D2941" s="15">
        <v>0</v>
      </c>
      <c r="E2941" s="15">
        <v>0</v>
      </c>
      <c r="F2941" s="15">
        <v>0</v>
      </c>
      <c r="G2941" s="15">
        <v>0</v>
      </c>
      <c r="H2941" s="15">
        <v>0</v>
      </c>
    </row>
    <row r="2942" spans="2:8">
      <c r="B2942" s="17" t="s">
        <v>8885</v>
      </c>
      <c r="C2942" s="246" t="s">
        <v>3407</v>
      </c>
      <c r="D2942" s="18">
        <v>0</v>
      </c>
      <c r="E2942" s="18">
        <v>0</v>
      </c>
      <c r="F2942" s="18">
        <v>0</v>
      </c>
      <c r="G2942" s="18">
        <v>0</v>
      </c>
      <c r="H2942" s="18">
        <v>0</v>
      </c>
    </row>
    <row r="2943" spans="2:8">
      <c r="B2943" s="14" t="s">
        <v>8886</v>
      </c>
      <c r="C2943" s="245" t="s">
        <v>3408</v>
      </c>
      <c r="D2943" s="15">
        <v>0</v>
      </c>
      <c r="E2943" s="15">
        <v>0</v>
      </c>
      <c r="F2943" s="15">
        <v>0</v>
      </c>
      <c r="G2943" s="15">
        <v>0</v>
      </c>
      <c r="H2943" s="15">
        <v>0</v>
      </c>
    </row>
    <row r="2944" spans="2:8">
      <c r="B2944" s="17" t="s">
        <v>8887</v>
      </c>
      <c r="C2944" s="246" t="s">
        <v>3409</v>
      </c>
      <c r="D2944" s="18">
        <v>0</v>
      </c>
      <c r="E2944" s="18">
        <v>0</v>
      </c>
      <c r="F2944" s="18">
        <v>0</v>
      </c>
      <c r="G2944" s="18">
        <v>0</v>
      </c>
      <c r="H2944" s="18">
        <v>0</v>
      </c>
    </row>
    <row r="2945" spans="2:8">
      <c r="B2945" s="14" t="s">
        <v>8888</v>
      </c>
      <c r="C2945" s="245" t="s">
        <v>3410</v>
      </c>
      <c r="D2945" s="15">
        <v>0</v>
      </c>
      <c r="E2945" s="15">
        <v>0</v>
      </c>
      <c r="F2945" s="15">
        <v>0</v>
      </c>
      <c r="G2945" s="15">
        <v>0</v>
      </c>
      <c r="H2945" s="15">
        <v>0</v>
      </c>
    </row>
    <row r="2946" spans="2:8">
      <c r="B2946" s="17" t="s">
        <v>8889</v>
      </c>
      <c r="C2946" s="246" t="s">
        <v>3411</v>
      </c>
      <c r="D2946" s="18">
        <v>0</v>
      </c>
      <c r="E2946" s="18">
        <v>0</v>
      </c>
      <c r="F2946" s="18">
        <v>0</v>
      </c>
      <c r="G2946" s="18">
        <v>0</v>
      </c>
      <c r="H2946" s="18">
        <v>0</v>
      </c>
    </row>
    <row r="2947" spans="2:8">
      <c r="B2947" s="14" t="s">
        <v>8890</v>
      </c>
      <c r="C2947" s="245" t="s">
        <v>3412</v>
      </c>
      <c r="D2947" s="15">
        <v>0</v>
      </c>
      <c r="E2947" s="15">
        <v>0</v>
      </c>
      <c r="F2947" s="15">
        <v>0</v>
      </c>
      <c r="G2947" s="15">
        <v>0</v>
      </c>
      <c r="H2947" s="15">
        <v>0</v>
      </c>
    </row>
    <row r="2948" spans="2:8">
      <c r="B2948" s="17" t="s">
        <v>8891</v>
      </c>
      <c r="C2948" s="246" t="s">
        <v>3413</v>
      </c>
      <c r="D2948" s="18">
        <v>0</v>
      </c>
      <c r="E2948" s="18">
        <v>0</v>
      </c>
      <c r="F2948" s="18">
        <v>0</v>
      </c>
      <c r="G2948" s="18">
        <v>0</v>
      </c>
      <c r="H2948" s="18">
        <v>0</v>
      </c>
    </row>
    <row r="2949" spans="2:8">
      <c r="B2949" s="14" t="s">
        <v>8892</v>
      </c>
      <c r="C2949" s="245" t="s">
        <v>3414</v>
      </c>
      <c r="D2949" s="15">
        <v>0</v>
      </c>
      <c r="E2949" s="15">
        <v>0</v>
      </c>
      <c r="F2949" s="15">
        <v>106</v>
      </c>
      <c r="G2949" s="15">
        <v>0</v>
      </c>
      <c r="H2949" s="15">
        <v>0</v>
      </c>
    </row>
    <row r="2950" spans="2:8">
      <c r="B2950" s="17" t="s">
        <v>8893</v>
      </c>
      <c r="C2950" s="246" t="s">
        <v>3415</v>
      </c>
      <c r="D2950" s="18">
        <v>0</v>
      </c>
      <c r="E2950" s="18">
        <v>0</v>
      </c>
      <c r="F2950" s="18">
        <v>0</v>
      </c>
      <c r="G2950" s="18">
        <v>0</v>
      </c>
      <c r="H2950" s="18">
        <v>0</v>
      </c>
    </row>
    <row r="2951" spans="2:8">
      <c r="B2951" s="14" t="s">
        <v>8894</v>
      </c>
      <c r="C2951" s="245" t="s">
        <v>3416</v>
      </c>
      <c r="D2951" s="15">
        <v>0</v>
      </c>
      <c r="E2951" s="15">
        <v>0</v>
      </c>
      <c r="F2951" s="15">
        <v>0</v>
      </c>
      <c r="G2951" s="15">
        <v>0</v>
      </c>
      <c r="H2951" s="15">
        <v>0</v>
      </c>
    </row>
    <row r="2952" spans="2:8">
      <c r="B2952" s="17" t="s">
        <v>8895</v>
      </c>
      <c r="C2952" s="246" t="s">
        <v>3417</v>
      </c>
      <c r="D2952" s="18">
        <v>0</v>
      </c>
      <c r="E2952" s="18">
        <v>0</v>
      </c>
      <c r="F2952" s="18">
        <v>0</v>
      </c>
      <c r="G2952" s="18">
        <v>0</v>
      </c>
      <c r="H2952" s="18">
        <v>0</v>
      </c>
    </row>
    <row r="2953" spans="2:8">
      <c r="B2953" s="14" t="s">
        <v>8896</v>
      </c>
      <c r="C2953" s="245" t="s">
        <v>3418</v>
      </c>
      <c r="D2953" s="15">
        <v>0</v>
      </c>
      <c r="E2953" s="15">
        <v>0</v>
      </c>
      <c r="F2953" s="15">
        <v>0</v>
      </c>
      <c r="G2953" s="15">
        <v>0</v>
      </c>
      <c r="H2953" s="15">
        <v>0</v>
      </c>
    </row>
    <row r="2954" spans="2:8">
      <c r="B2954" s="17" t="s">
        <v>8897</v>
      </c>
      <c r="C2954" s="246" t="s">
        <v>3419</v>
      </c>
      <c r="D2954" s="18">
        <v>0</v>
      </c>
      <c r="E2954" s="18">
        <v>0</v>
      </c>
      <c r="F2954" s="18">
        <v>0</v>
      </c>
      <c r="G2954" s="18">
        <v>0</v>
      </c>
      <c r="H2954" s="18">
        <v>0</v>
      </c>
    </row>
    <row r="2955" spans="2:8">
      <c r="B2955" s="14" t="s">
        <v>8898</v>
      </c>
      <c r="C2955" s="245" t="s">
        <v>3420</v>
      </c>
      <c r="D2955" s="15">
        <v>0</v>
      </c>
      <c r="E2955" s="15">
        <v>0</v>
      </c>
      <c r="F2955" s="15">
        <v>0</v>
      </c>
      <c r="G2955" s="15">
        <v>0</v>
      </c>
      <c r="H2955" s="15">
        <v>0</v>
      </c>
    </row>
    <row r="2956" spans="2:8">
      <c r="B2956" s="17" t="s">
        <v>8899</v>
      </c>
      <c r="C2956" s="246" t="s">
        <v>3421</v>
      </c>
      <c r="D2956" s="18">
        <v>0</v>
      </c>
      <c r="E2956" s="18">
        <v>0</v>
      </c>
      <c r="F2956" s="18">
        <v>0</v>
      </c>
      <c r="G2956" s="18">
        <v>0</v>
      </c>
      <c r="H2956" s="18">
        <v>0</v>
      </c>
    </row>
    <row r="2957" spans="2:8">
      <c r="B2957" s="14" t="s">
        <v>8900</v>
      </c>
      <c r="C2957" s="245" t="s">
        <v>3422</v>
      </c>
      <c r="D2957" s="15">
        <v>0</v>
      </c>
      <c r="E2957" s="15">
        <v>0</v>
      </c>
      <c r="F2957" s="15">
        <v>0</v>
      </c>
      <c r="G2957" s="15">
        <v>0</v>
      </c>
      <c r="H2957" s="15">
        <v>0</v>
      </c>
    </row>
    <row r="2958" spans="2:8">
      <c r="B2958" s="17" t="s">
        <v>8901</v>
      </c>
      <c r="C2958" s="246" t="s">
        <v>3423</v>
      </c>
      <c r="D2958" s="18">
        <v>0</v>
      </c>
      <c r="E2958" s="18">
        <v>0</v>
      </c>
      <c r="F2958" s="18">
        <v>0</v>
      </c>
      <c r="G2958" s="18">
        <v>0</v>
      </c>
      <c r="H2958" s="18">
        <v>0</v>
      </c>
    </row>
    <row r="2959" spans="2:8">
      <c r="B2959" s="14" t="s">
        <v>8902</v>
      </c>
      <c r="C2959" s="245" t="s">
        <v>3424</v>
      </c>
      <c r="D2959" s="15">
        <v>0</v>
      </c>
      <c r="E2959" s="15">
        <v>0</v>
      </c>
      <c r="F2959" s="15">
        <v>0</v>
      </c>
      <c r="G2959" s="15">
        <v>0</v>
      </c>
      <c r="H2959" s="15">
        <v>0</v>
      </c>
    </row>
    <row r="2960" spans="2:8">
      <c r="B2960" s="17" t="s">
        <v>8903</v>
      </c>
      <c r="C2960" s="246" t="s">
        <v>3425</v>
      </c>
      <c r="D2960" s="18">
        <v>0</v>
      </c>
      <c r="E2960" s="18">
        <v>0</v>
      </c>
      <c r="F2960" s="18">
        <v>0</v>
      </c>
      <c r="G2960" s="18">
        <v>0</v>
      </c>
      <c r="H2960" s="18">
        <v>0</v>
      </c>
    </row>
    <row r="2961" spans="2:8">
      <c r="B2961" s="14" t="s">
        <v>8904</v>
      </c>
      <c r="C2961" s="245" t="s">
        <v>3426</v>
      </c>
      <c r="D2961" s="15">
        <v>0</v>
      </c>
      <c r="E2961" s="15">
        <v>0</v>
      </c>
      <c r="F2961" s="15">
        <v>0</v>
      </c>
      <c r="G2961" s="15">
        <v>0</v>
      </c>
      <c r="H2961" s="15">
        <v>0</v>
      </c>
    </row>
    <row r="2962" spans="2:8">
      <c r="B2962" s="17" t="s">
        <v>8905</v>
      </c>
      <c r="C2962" s="246" t="s">
        <v>3427</v>
      </c>
      <c r="D2962" s="18">
        <v>0</v>
      </c>
      <c r="E2962" s="18">
        <v>2</v>
      </c>
      <c r="F2962" s="18">
        <v>0</v>
      </c>
      <c r="G2962" s="18">
        <v>0</v>
      </c>
      <c r="H2962" s="18">
        <v>0</v>
      </c>
    </row>
    <row r="2963" spans="2:8">
      <c r="B2963" s="14" t="s">
        <v>8906</v>
      </c>
      <c r="C2963" s="245" t="s">
        <v>3428</v>
      </c>
      <c r="D2963" s="15">
        <v>0</v>
      </c>
      <c r="E2963" s="15">
        <v>0</v>
      </c>
      <c r="F2963" s="15">
        <v>0</v>
      </c>
      <c r="G2963" s="15">
        <v>0</v>
      </c>
      <c r="H2963" s="15">
        <v>0</v>
      </c>
    </row>
    <row r="2964" spans="2:8">
      <c r="B2964" s="17" t="s">
        <v>8907</v>
      </c>
      <c r="C2964" s="246" t="s">
        <v>3429</v>
      </c>
      <c r="D2964" s="18">
        <v>0</v>
      </c>
      <c r="E2964" s="18">
        <v>0</v>
      </c>
      <c r="F2964" s="18">
        <v>0</v>
      </c>
      <c r="G2964" s="18">
        <v>0</v>
      </c>
      <c r="H2964" s="18">
        <v>0</v>
      </c>
    </row>
    <row r="2965" spans="2:8">
      <c r="B2965" s="14" t="s">
        <v>8908</v>
      </c>
      <c r="C2965" s="245" t="s">
        <v>3430</v>
      </c>
      <c r="D2965" s="15">
        <v>0</v>
      </c>
      <c r="E2965" s="15">
        <v>0</v>
      </c>
      <c r="F2965" s="15">
        <v>0</v>
      </c>
      <c r="G2965" s="15">
        <v>0</v>
      </c>
      <c r="H2965" s="15">
        <v>0</v>
      </c>
    </row>
    <row r="2966" spans="2:8">
      <c r="B2966" s="17" t="s">
        <v>8909</v>
      </c>
      <c r="C2966" s="246" t="s">
        <v>3431</v>
      </c>
      <c r="D2966" s="18">
        <v>0</v>
      </c>
      <c r="E2966" s="18">
        <v>0</v>
      </c>
      <c r="F2966" s="18">
        <v>0</v>
      </c>
      <c r="G2966" s="18">
        <v>0</v>
      </c>
      <c r="H2966" s="18">
        <v>0</v>
      </c>
    </row>
    <row r="2967" spans="2:8">
      <c r="B2967" s="14" t="s">
        <v>8910</v>
      </c>
      <c r="C2967" s="245" t="s">
        <v>3432</v>
      </c>
      <c r="D2967" s="15">
        <v>2</v>
      </c>
      <c r="E2967" s="15">
        <v>0</v>
      </c>
      <c r="F2967" s="15">
        <v>0</v>
      </c>
      <c r="G2967" s="15">
        <v>0</v>
      </c>
      <c r="H2967" s="15">
        <v>0</v>
      </c>
    </row>
    <row r="2968" spans="2:8">
      <c r="B2968" s="17" t="s">
        <v>8911</v>
      </c>
      <c r="C2968" s="246" t="s">
        <v>3433</v>
      </c>
      <c r="D2968" s="18">
        <v>0</v>
      </c>
      <c r="E2968" s="18">
        <v>0</v>
      </c>
      <c r="F2968" s="18">
        <v>0</v>
      </c>
      <c r="G2968" s="18">
        <v>0</v>
      </c>
      <c r="H2968" s="18">
        <v>0</v>
      </c>
    </row>
    <row r="2969" spans="2:8">
      <c r="B2969" s="14" t="s">
        <v>8912</v>
      </c>
      <c r="C2969" s="245" t="s">
        <v>3434</v>
      </c>
      <c r="D2969" s="15">
        <v>0</v>
      </c>
      <c r="E2969" s="15">
        <v>0</v>
      </c>
      <c r="F2969" s="15">
        <v>0</v>
      </c>
      <c r="G2969" s="15">
        <v>0</v>
      </c>
      <c r="H2969" s="15">
        <v>0</v>
      </c>
    </row>
    <row r="2970" spans="2:8">
      <c r="B2970" s="17" t="s">
        <v>8913</v>
      </c>
      <c r="C2970" s="246" t="s">
        <v>3435</v>
      </c>
      <c r="D2970" s="18">
        <v>0</v>
      </c>
      <c r="E2970" s="18">
        <v>0</v>
      </c>
      <c r="F2970" s="18">
        <v>0</v>
      </c>
      <c r="G2970" s="18">
        <v>0</v>
      </c>
      <c r="H2970" s="18">
        <v>0</v>
      </c>
    </row>
    <row r="2971" spans="2:8">
      <c r="B2971" s="14" t="s">
        <v>8914</v>
      </c>
      <c r="C2971" s="245" t="s">
        <v>3436</v>
      </c>
      <c r="D2971" s="15">
        <v>0</v>
      </c>
      <c r="E2971" s="15">
        <v>0</v>
      </c>
      <c r="F2971" s="15">
        <v>0</v>
      </c>
      <c r="G2971" s="15">
        <v>0</v>
      </c>
      <c r="H2971" s="15">
        <v>0</v>
      </c>
    </row>
    <row r="2972" spans="2:8">
      <c r="B2972" s="17" t="s">
        <v>8915</v>
      </c>
      <c r="C2972" s="246" t="s">
        <v>3437</v>
      </c>
      <c r="D2972" s="18">
        <v>0</v>
      </c>
      <c r="E2972" s="18">
        <v>0</v>
      </c>
      <c r="F2972" s="18">
        <v>0</v>
      </c>
      <c r="G2972" s="18">
        <v>0</v>
      </c>
      <c r="H2972" s="18">
        <v>0</v>
      </c>
    </row>
    <row r="2973" spans="2:8">
      <c r="B2973" s="14" t="s">
        <v>8916</v>
      </c>
      <c r="C2973" s="245" t="s">
        <v>3438</v>
      </c>
      <c r="D2973" s="15">
        <v>0</v>
      </c>
      <c r="E2973" s="15">
        <v>0</v>
      </c>
      <c r="F2973" s="15">
        <v>0</v>
      </c>
      <c r="G2973" s="15">
        <v>0</v>
      </c>
      <c r="H2973" s="15">
        <v>0</v>
      </c>
    </row>
    <row r="2974" spans="2:8">
      <c r="B2974" s="17" t="s">
        <v>8917</v>
      </c>
      <c r="C2974" s="246" t="s">
        <v>3439</v>
      </c>
      <c r="D2974" s="18">
        <v>0</v>
      </c>
      <c r="E2974" s="18">
        <v>0</v>
      </c>
      <c r="F2974" s="18">
        <v>0</v>
      </c>
      <c r="G2974" s="18">
        <v>0</v>
      </c>
      <c r="H2974" s="18">
        <v>0</v>
      </c>
    </row>
    <row r="2975" spans="2:8">
      <c r="B2975" s="14" t="s">
        <v>8918</v>
      </c>
      <c r="C2975" s="245" t="s">
        <v>3440</v>
      </c>
      <c r="D2975" s="15">
        <v>0</v>
      </c>
      <c r="E2975" s="15">
        <v>0</v>
      </c>
      <c r="F2975" s="15">
        <v>0</v>
      </c>
      <c r="G2975" s="15">
        <v>0</v>
      </c>
      <c r="H2975" s="15">
        <v>0</v>
      </c>
    </row>
    <row r="2976" spans="2:8">
      <c r="B2976" s="17" t="s">
        <v>8919</v>
      </c>
      <c r="C2976" s="246" t="s">
        <v>3441</v>
      </c>
      <c r="D2976" s="18">
        <v>0</v>
      </c>
      <c r="E2976" s="18">
        <v>0</v>
      </c>
      <c r="F2976" s="18">
        <v>0</v>
      </c>
      <c r="G2976" s="18">
        <v>0</v>
      </c>
      <c r="H2976" s="18">
        <v>0</v>
      </c>
    </row>
    <row r="2977" spans="2:8">
      <c r="B2977" s="14" t="s">
        <v>8920</v>
      </c>
      <c r="C2977" s="245" t="s">
        <v>3442</v>
      </c>
      <c r="D2977" s="15">
        <v>0</v>
      </c>
      <c r="E2977" s="15">
        <v>0</v>
      </c>
      <c r="F2977" s="15">
        <v>0</v>
      </c>
      <c r="G2977" s="15">
        <v>0</v>
      </c>
      <c r="H2977" s="15">
        <v>0</v>
      </c>
    </row>
    <row r="2978" spans="2:8">
      <c r="B2978" s="17" t="s">
        <v>8921</v>
      </c>
      <c r="C2978" s="246" t="s">
        <v>3443</v>
      </c>
      <c r="D2978" s="18">
        <v>0</v>
      </c>
      <c r="E2978" s="18">
        <v>0</v>
      </c>
      <c r="F2978" s="18">
        <v>0</v>
      </c>
      <c r="G2978" s="18">
        <v>0</v>
      </c>
      <c r="H2978" s="18">
        <v>0</v>
      </c>
    </row>
    <row r="2979" spans="2:8">
      <c r="B2979" s="14" t="s">
        <v>8922</v>
      </c>
      <c r="C2979" s="245" t="s">
        <v>3444</v>
      </c>
      <c r="D2979" s="15">
        <v>0</v>
      </c>
      <c r="E2979" s="15">
        <v>0</v>
      </c>
      <c r="F2979" s="15">
        <v>0</v>
      </c>
      <c r="G2979" s="15">
        <v>0</v>
      </c>
      <c r="H2979" s="15">
        <v>0</v>
      </c>
    </row>
    <row r="2980" spans="2:8">
      <c r="B2980" s="17" t="s">
        <v>8923</v>
      </c>
      <c r="C2980" s="246" t="s">
        <v>3445</v>
      </c>
      <c r="D2980" s="18">
        <v>0</v>
      </c>
      <c r="E2980" s="18">
        <v>0</v>
      </c>
      <c r="F2980" s="18">
        <v>0</v>
      </c>
      <c r="G2980" s="18">
        <v>0</v>
      </c>
      <c r="H2980" s="18">
        <v>0</v>
      </c>
    </row>
    <row r="2981" spans="2:8">
      <c r="B2981" s="14" t="s">
        <v>8924</v>
      </c>
      <c r="C2981" s="245" t="s">
        <v>3446</v>
      </c>
      <c r="D2981" s="15">
        <v>0</v>
      </c>
      <c r="E2981" s="15">
        <v>3</v>
      </c>
      <c r="F2981" s="15">
        <v>0</v>
      </c>
      <c r="G2981" s="15">
        <v>0</v>
      </c>
      <c r="H2981" s="15">
        <v>0</v>
      </c>
    </row>
    <row r="2982" spans="2:8">
      <c r="B2982" s="17" t="s">
        <v>8925</v>
      </c>
      <c r="C2982" s="246" t="s">
        <v>3447</v>
      </c>
      <c r="D2982" s="18">
        <v>0</v>
      </c>
      <c r="E2982" s="18">
        <v>0</v>
      </c>
      <c r="F2982" s="18">
        <v>0</v>
      </c>
      <c r="G2982" s="18">
        <v>0</v>
      </c>
      <c r="H2982" s="18">
        <v>0</v>
      </c>
    </row>
    <row r="2983" spans="2:8">
      <c r="B2983" s="14" t="s">
        <v>8926</v>
      </c>
      <c r="C2983" s="245" t="s">
        <v>3448</v>
      </c>
      <c r="D2983" s="15">
        <v>0</v>
      </c>
      <c r="E2983" s="15">
        <v>0</v>
      </c>
      <c r="F2983" s="15">
        <v>0</v>
      </c>
      <c r="G2983" s="15">
        <v>0</v>
      </c>
      <c r="H2983" s="15">
        <v>0</v>
      </c>
    </row>
    <row r="2984" spans="2:8">
      <c r="B2984" s="17" t="s">
        <v>8927</v>
      </c>
      <c r="C2984" s="246" t="s">
        <v>3449</v>
      </c>
      <c r="D2984" s="18">
        <v>0</v>
      </c>
      <c r="E2984" s="18">
        <v>0</v>
      </c>
      <c r="F2984" s="18">
        <v>0</v>
      </c>
      <c r="G2984" s="18">
        <v>0</v>
      </c>
      <c r="H2984" s="18">
        <v>0</v>
      </c>
    </row>
    <row r="2985" spans="2:8">
      <c r="B2985" s="14" t="s">
        <v>8928</v>
      </c>
      <c r="C2985" s="245" t="s">
        <v>3450</v>
      </c>
      <c r="D2985" s="15">
        <v>0</v>
      </c>
      <c r="E2985" s="15">
        <v>0</v>
      </c>
      <c r="F2985" s="15">
        <v>0</v>
      </c>
      <c r="G2985" s="15">
        <v>0</v>
      </c>
      <c r="H2985" s="15">
        <v>0</v>
      </c>
    </row>
    <row r="2986" spans="2:8">
      <c r="B2986" s="17" t="s">
        <v>8929</v>
      </c>
      <c r="C2986" s="246" t="s">
        <v>3451</v>
      </c>
      <c r="D2986" s="18">
        <v>0</v>
      </c>
      <c r="E2986" s="18">
        <v>0</v>
      </c>
      <c r="F2986" s="18">
        <v>0</v>
      </c>
      <c r="G2986" s="18">
        <v>0</v>
      </c>
      <c r="H2986" s="18">
        <v>0</v>
      </c>
    </row>
    <row r="2987" spans="2:8">
      <c r="B2987" s="14" t="s">
        <v>8930</v>
      </c>
      <c r="C2987" s="245" t="s">
        <v>3452</v>
      </c>
      <c r="D2987" s="15">
        <v>0</v>
      </c>
      <c r="E2987" s="15">
        <v>0</v>
      </c>
      <c r="F2987" s="15">
        <v>0</v>
      </c>
      <c r="G2987" s="15">
        <v>0</v>
      </c>
      <c r="H2987" s="15">
        <v>0</v>
      </c>
    </row>
    <row r="2988" spans="2:8">
      <c r="B2988" s="17" t="s">
        <v>8931</v>
      </c>
      <c r="C2988" s="246" t="s">
        <v>3453</v>
      </c>
      <c r="D2988" s="18">
        <v>0</v>
      </c>
      <c r="E2988" s="18">
        <v>0</v>
      </c>
      <c r="F2988" s="18">
        <v>0</v>
      </c>
      <c r="G2988" s="18">
        <v>0</v>
      </c>
      <c r="H2988" s="18">
        <v>0</v>
      </c>
    </row>
    <row r="2989" spans="2:8">
      <c r="B2989" s="14" t="s">
        <v>8932</v>
      </c>
      <c r="C2989" s="245" t="s">
        <v>3454</v>
      </c>
      <c r="D2989" s="15">
        <v>0</v>
      </c>
      <c r="E2989" s="15">
        <v>0</v>
      </c>
      <c r="F2989" s="15">
        <v>0</v>
      </c>
      <c r="G2989" s="15">
        <v>0</v>
      </c>
      <c r="H2989" s="15">
        <v>0</v>
      </c>
    </row>
    <row r="2990" spans="2:8">
      <c r="B2990" s="17" t="s">
        <v>8933</v>
      </c>
      <c r="C2990" s="246" t="s">
        <v>3455</v>
      </c>
      <c r="D2990" s="18">
        <v>0</v>
      </c>
      <c r="E2990" s="18">
        <v>0</v>
      </c>
      <c r="F2990" s="18">
        <v>0</v>
      </c>
      <c r="G2990" s="18">
        <v>0</v>
      </c>
      <c r="H2990" s="18">
        <v>0</v>
      </c>
    </row>
    <row r="2991" spans="2:8">
      <c r="B2991" s="14" t="s">
        <v>8934</v>
      </c>
      <c r="C2991" s="245" t="s">
        <v>3456</v>
      </c>
      <c r="D2991" s="15">
        <v>0</v>
      </c>
      <c r="E2991" s="15">
        <v>0</v>
      </c>
      <c r="F2991" s="15">
        <v>0</v>
      </c>
      <c r="G2991" s="15">
        <v>0</v>
      </c>
      <c r="H2991" s="15">
        <v>0</v>
      </c>
    </row>
    <row r="2992" spans="2:8">
      <c r="B2992" s="17" t="s">
        <v>8935</v>
      </c>
      <c r="C2992" s="246" t="s">
        <v>3457</v>
      </c>
      <c r="D2992" s="18">
        <v>0</v>
      </c>
      <c r="E2992" s="18">
        <v>0</v>
      </c>
      <c r="F2992" s="18">
        <v>0</v>
      </c>
      <c r="G2992" s="18">
        <v>2</v>
      </c>
      <c r="H2992" s="18">
        <v>0</v>
      </c>
    </row>
    <row r="2993" spans="2:8">
      <c r="B2993" s="14" t="s">
        <v>8936</v>
      </c>
      <c r="C2993" s="245" t="s">
        <v>3458</v>
      </c>
      <c r="D2993" s="15">
        <v>0</v>
      </c>
      <c r="E2993" s="15">
        <v>0</v>
      </c>
      <c r="F2993" s="15">
        <v>0</v>
      </c>
      <c r="G2993" s="15">
        <v>0</v>
      </c>
      <c r="H2993" s="15">
        <v>0</v>
      </c>
    </row>
    <row r="2994" spans="2:8">
      <c r="B2994" s="17" t="s">
        <v>8937</v>
      </c>
      <c r="C2994" s="246" t="s">
        <v>3459</v>
      </c>
      <c r="D2994" s="18">
        <v>0</v>
      </c>
      <c r="E2994" s="18">
        <v>0</v>
      </c>
      <c r="F2994" s="18">
        <v>0</v>
      </c>
      <c r="G2994" s="18">
        <v>0</v>
      </c>
      <c r="H2994" s="18">
        <v>0</v>
      </c>
    </row>
    <row r="2995" spans="2:8">
      <c r="B2995" s="14" t="s">
        <v>8938</v>
      </c>
      <c r="C2995" s="245" t="s">
        <v>3460</v>
      </c>
      <c r="D2995" s="15">
        <v>0</v>
      </c>
      <c r="E2995" s="15">
        <v>0</v>
      </c>
      <c r="F2995" s="15">
        <v>0</v>
      </c>
      <c r="G2995" s="15">
        <v>0</v>
      </c>
      <c r="H2995" s="15">
        <v>0</v>
      </c>
    </row>
    <row r="2996" spans="2:8">
      <c r="B2996" s="17" t="s">
        <v>8939</v>
      </c>
      <c r="C2996" s="246" t="s">
        <v>3461</v>
      </c>
      <c r="D2996" s="18">
        <v>0</v>
      </c>
      <c r="E2996" s="18">
        <v>0</v>
      </c>
      <c r="F2996" s="18">
        <v>0</v>
      </c>
      <c r="G2996" s="18">
        <v>0</v>
      </c>
      <c r="H2996" s="18">
        <v>0</v>
      </c>
    </row>
    <row r="2997" spans="2:8">
      <c r="B2997" s="14" t="s">
        <v>8940</v>
      </c>
      <c r="C2997" s="245" t="s">
        <v>3462</v>
      </c>
      <c r="D2997" s="15">
        <v>0</v>
      </c>
      <c r="E2997" s="15">
        <v>0</v>
      </c>
      <c r="F2997" s="15">
        <v>0</v>
      </c>
      <c r="G2997" s="15">
        <v>0</v>
      </c>
      <c r="H2997" s="15">
        <v>0</v>
      </c>
    </row>
    <row r="2998" spans="2:8">
      <c r="B2998" s="17" t="s">
        <v>8941</v>
      </c>
      <c r="C2998" s="246" t="s">
        <v>2378</v>
      </c>
      <c r="D2998" s="18">
        <v>0</v>
      </c>
      <c r="E2998" s="18">
        <v>0</v>
      </c>
      <c r="F2998" s="18">
        <v>0</v>
      </c>
      <c r="G2998" s="18">
        <v>0</v>
      </c>
      <c r="H2998" s="18">
        <v>0</v>
      </c>
    </row>
    <row r="2999" spans="2:8">
      <c r="B2999" s="14" t="s">
        <v>8942</v>
      </c>
      <c r="C2999" s="245" t="s">
        <v>3463</v>
      </c>
      <c r="D2999" s="15">
        <v>0</v>
      </c>
      <c r="E2999" s="15">
        <v>0</v>
      </c>
      <c r="F2999" s="15">
        <v>0</v>
      </c>
      <c r="G2999" s="15">
        <v>0</v>
      </c>
      <c r="H2999" s="15">
        <v>0</v>
      </c>
    </row>
    <row r="3000" spans="2:8">
      <c r="B3000" s="17" t="s">
        <v>8943</v>
      </c>
      <c r="C3000" s="246" t="s">
        <v>3464</v>
      </c>
      <c r="D3000" s="18">
        <v>0</v>
      </c>
      <c r="E3000" s="18">
        <v>0</v>
      </c>
      <c r="F3000" s="18">
        <v>30</v>
      </c>
      <c r="G3000" s="18">
        <v>0</v>
      </c>
      <c r="H3000" s="18">
        <v>0</v>
      </c>
    </row>
    <row r="3001" spans="2:8">
      <c r="B3001" s="14" t="s">
        <v>8944</v>
      </c>
      <c r="C3001" s="245" t="s">
        <v>3465</v>
      </c>
      <c r="D3001" s="15">
        <v>0</v>
      </c>
      <c r="E3001" s="15">
        <v>0</v>
      </c>
      <c r="F3001" s="15">
        <v>0</v>
      </c>
      <c r="G3001" s="15">
        <v>0</v>
      </c>
      <c r="H3001" s="15">
        <v>0</v>
      </c>
    </row>
    <row r="3002" spans="2:8">
      <c r="B3002" s="17" t="s">
        <v>8945</v>
      </c>
      <c r="C3002" s="246" t="s">
        <v>3466</v>
      </c>
      <c r="D3002" s="18">
        <v>0</v>
      </c>
      <c r="E3002" s="18">
        <v>0</v>
      </c>
      <c r="F3002" s="18">
        <v>0</v>
      </c>
      <c r="G3002" s="18">
        <v>0</v>
      </c>
      <c r="H3002" s="18">
        <v>0</v>
      </c>
    </row>
    <row r="3003" spans="2:8">
      <c r="B3003" s="14" t="s">
        <v>8946</v>
      </c>
      <c r="C3003" s="245" t="s">
        <v>3467</v>
      </c>
      <c r="D3003" s="15">
        <v>0</v>
      </c>
      <c r="E3003" s="15">
        <v>0</v>
      </c>
      <c r="F3003" s="15">
        <v>0</v>
      </c>
      <c r="G3003" s="15">
        <v>0</v>
      </c>
      <c r="H3003" s="15">
        <v>0</v>
      </c>
    </row>
    <row r="3004" spans="2:8">
      <c r="B3004" s="17" t="s">
        <v>8947</v>
      </c>
      <c r="C3004" s="246" t="s">
        <v>3468</v>
      </c>
      <c r="D3004" s="18">
        <v>0</v>
      </c>
      <c r="E3004" s="18">
        <v>0</v>
      </c>
      <c r="F3004" s="18">
        <v>0</v>
      </c>
      <c r="G3004" s="18">
        <v>0</v>
      </c>
      <c r="H3004" s="18">
        <v>0</v>
      </c>
    </row>
    <row r="3005" spans="2:8">
      <c r="B3005" s="14" t="s">
        <v>8948</v>
      </c>
      <c r="C3005" s="245" t="s">
        <v>3469</v>
      </c>
      <c r="D3005" s="15">
        <v>0</v>
      </c>
      <c r="E3005" s="15">
        <v>0</v>
      </c>
      <c r="F3005" s="15">
        <v>0</v>
      </c>
      <c r="G3005" s="15">
        <v>0</v>
      </c>
      <c r="H3005" s="15">
        <v>0</v>
      </c>
    </row>
    <row r="3006" spans="2:8">
      <c r="B3006" s="17" t="s">
        <v>8949</v>
      </c>
      <c r="C3006" s="246" t="s">
        <v>3470</v>
      </c>
      <c r="D3006" s="18">
        <v>0</v>
      </c>
      <c r="E3006" s="18">
        <v>0</v>
      </c>
      <c r="F3006" s="18">
        <v>0</v>
      </c>
      <c r="G3006" s="18">
        <v>0</v>
      </c>
      <c r="H3006" s="18">
        <v>0</v>
      </c>
    </row>
    <row r="3007" spans="2:8">
      <c r="B3007" s="14" t="s">
        <v>8950</v>
      </c>
      <c r="C3007" s="245" t="s">
        <v>3471</v>
      </c>
      <c r="D3007" s="15">
        <v>0</v>
      </c>
      <c r="E3007" s="15">
        <v>0</v>
      </c>
      <c r="F3007" s="15">
        <v>0</v>
      </c>
      <c r="G3007" s="15">
        <v>0</v>
      </c>
      <c r="H3007" s="15">
        <v>0</v>
      </c>
    </row>
    <row r="3008" spans="2:8">
      <c r="B3008" s="17" t="s">
        <v>8951</v>
      </c>
      <c r="C3008" s="246" t="s">
        <v>3472</v>
      </c>
      <c r="D3008" s="18">
        <v>0</v>
      </c>
      <c r="E3008" s="18">
        <v>0</v>
      </c>
      <c r="F3008" s="18">
        <v>0</v>
      </c>
      <c r="G3008" s="18">
        <v>0</v>
      </c>
      <c r="H3008" s="18">
        <v>0</v>
      </c>
    </row>
    <row r="3009" spans="2:8">
      <c r="B3009" s="14" t="s">
        <v>8952</v>
      </c>
      <c r="C3009" s="245" t="s">
        <v>3473</v>
      </c>
      <c r="D3009" s="15">
        <v>0</v>
      </c>
      <c r="E3009" s="15">
        <v>0</v>
      </c>
      <c r="F3009" s="15">
        <v>0</v>
      </c>
      <c r="G3009" s="15">
        <v>0</v>
      </c>
      <c r="H3009" s="15">
        <v>0</v>
      </c>
    </row>
    <row r="3010" spans="2:8">
      <c r="B3010" s="17" t="s">
        <v>8953</v>
      </c>
      <c r="C3010" s="246" t="s">
        <v>3474</v>
      </c>
      <c r="D3010" s="18">
        <v>0</v>
      </c>
      <c r="E3010" s="18">
        <v>0</v>
      </c>
      <c r="F3010" s="18">
        <v>0</v>
      </c>
      <c r="G3010" s="18">
        <v>0</v>
      </c>
      <c r="H3010" s="18">
        <v>0</v>
      </c>
    </row>
    <row r="3011" spans="2:8">
      <c r="B3011" s="14" t="s">
        <v>8954</v>
      </c>
      <c r="C3011" s="245" t="s">
        <v>3475</v>
      </c>
      <c r="D3011" s="15">
        <v>0</v>
      </c>
      <c r="E3011" s="15">
        <v>0</v>
      </c>
      <c r="F3011" s="15">
        <v>0</v>
      </c>
      <c r="G3011" s="15">
        <v>0</v>
      </c>
      <c r="H3011" s="15">
        <v>0</v>
      </c>
    </row>
    <row r="3012" spans="2:8">
      <c r="B3012" s="17" t="s">
        <v>8955</v>
      </c>
      <c r="C3012" s="246" t="s">
        <v>3476</v>
      </c>
      <c r="D3012" s="18">
        <v>0</v>
      </c>
      <c r="E3012" s="18">
        <v>0</v>
      </c>
      <c r="F3012" s="18">
        <v>0</v>
      </c>
      <c r="G3012" s="18">
        <v>0</v>
      </c>
      <c r="H3012" s="18">
        <v>0</v>
      </c>
    </row>
    <row r="3013" spans="2:8">
      <c r="B3013" s="14" t="s">
        <v>8956</v>
      </c>
      <c r="C3013" s="245" t="s">
        <v>3477</v>
      </c>
      <c r="D3013" s="15">
        <v>0</v>
      </c>
      <c r="E3013" s="15">
        <v>0</v>
      </c>
      <c r="F3013" s="15">
        <v>0</v>
      </c>
      <c r="G3013" s="15">
        <v>0</v>
      </c>
      <c r="H3013" s="15">
        <v>0</v>
      </c>
    </row>
    <row r="3014" spans="2:8">
      <c r="B3014" s="17" t="s">
        <v>8957</v>
      </c>
      <c r="C3014" s="246" t="s">
        <v>3478</v>
      </c>
      <c r="D3014" s="18">
        <v>0</v>
      </c>
      <c r="E3014" s="18">
        <v>0</v>
      </c>
      <c r="F3014" s="18">
        <v>0</v>
      </c>
      <c r="G3014" s="18">
        <v>0</v>
      </c>
      <c r="H3014" s="18">
        <v>0</v>
      </c>
    </row>
    <row r="3015" spans="2:8">
      <c r="B3015" s="14" t="s">
        <v>8958</v>
      </c>
      <c r="C3015" s="245" t="s">
        <v>3479</v>
      </c>
      <c r="D3015" s="15">
        <v>0</v>
      </c>
      <c r="E3015" s="15">
        <v>0</v>
      </c>
      <c r="F3015" s="15">
        <v>0</v>
      </c>
      <c r="G3015" s="15">
        <v>0</v>
      </c>
      <c r="H3015" s="15">
        <v>0</v>
      </c>
    </row>
    <row r="3016" spans="2:8">
      <c r="B3016" s="17" t="s">
        <v>8959</v>
      </c>
      <c r="C3016" s="246" t="s">
        <v>3480</v>
      </c>
      <c r="D3016" s="18">
        <v>0</v>
      </c>
      <c r="E3016" s="18">
        <v>0</v>
      </c>
      <c r="F3016" s="18">
        <v>0</v>
      </c>
      <c r="G3016" s="18">
        <v>0</v>
      </c>
      <c r="H3016" s="18">
        <v>0</v>
      </c>
    </row>
    <row r="3017" spans="2:8">
      <c r="B3017" s="14" t="s">
        <v>8960</v>
      </c>
      <c r="C3017" s="245" t="s">
        <v>3481</v>
      </c>
      <c r="D3017" s="15">
        <v>0</v>
      </c>
      <c r="E3017" s="15">
        <v>0</v>
      </c>
      <c r="F3017" s="15">
        <v>0</v>
      </c>
      <c r="G3017" s="15">
        <v>0</v>
      </c>
      <c r="H3017" s="15">
        <v>0</v>
      </c>
    </row>
    <row r="3018" spans="2:8">
      <c r="B3018" s="17" t="s">
        <v>8961</v>
      </c>
      <c r="C3018" s="246" t="s">
        <v>3482</v>
      </c>
      <c r="D3018" s="18">
        <v>0</v>
      </c>
      <c r="E3018" s="18">
        <v>0</v>
      </c>
      <c r="F3018" s="18">
        <v>0</v>
      </c>
      <c r="G3018" s="18">
        <v>0</v>
      </c>
      <c r="H3018" s="18">
        <v>0</v>
      </c>
    </row>
    <row r="3019" spans="2:8">
      <c r="B3019" s="14" t="s">
        <v>8962</v>
      </c>
      <c r="C3019" s="245" t="s">
        <v>3483</v>
      </c>
      <c r="D3019" s="15">
        <v>0</v>
      </c>
      <c r="E3019" s="15">
        <v>0</v>
      </c>
      <c r="F3019" s="15">
        <v>0</v>
      </c>
      <c r="G3019" s="15">
        <v>0</v>
      </c>
      <c r="H3019" s="15">
        <v>0</v>
      </c>
    </row>
    <row r="3020" spans="2:8">
      <c r="B3020" s="17" t="s">
        <v>8963</v>
      </c>
      <c r="C3020" s="246" t="s">
        <v>3484</v>
      </c>
      <c r="D3020" s="18">
        <v>0</v>
      </c>
      <c r="E3020" s="18">
        <v>0</v>
      </c>
      <c r="F3020" s="18">
        <v>0</v>
      </c>
      <c r="G3020" s="18">
        <v>0</v>
      </c>
      <c r="H3020" s="18">
        <v>0</v>
      </c>
    </row>
    <row r="3021" spans="2:8">
      <c r="B3021" s="14" t="s">
        <v>8964</v>
      </c>
      <c r="C3021" s="245" t="s">
        <v>3485</v>
      </c>
      <c r="D3021" s="15">
        <v>0</v>
      </c>
      <c r="E3021" s="15">
        <v>0</v>
      </c>
      <c r="F3021" s="15">
        <v>0</v>
      </c>
      <c r="G3021" s="15">
        <v>0</v>
      </c>
      <c r="H3021" s="15">
        <v>0</v>
      </c>
    </row>
    <row r="3022" spans="2:8">
      <c r="B3022" s="17" t="s">
        <v>8965</v>
      </c>
      <c r="C3022" s="246" t="s">
        <v>3486</v>
      </c>
      <c r="D3022" s="18">
        <v>0</v>
      </c>
      <c r="E3022" s="18">
        <v>0</v>
      </c>
      <c r="F3022" s="18">
        <v>0</v>
      </c>
      <c r="G3022" s="18">
        <v>0</v>
      </c>
      <c r="H3022" s="18">
        <v>0</v>
      </c>
    </row>
    <row r="3023" spans="2:8">
      <c r="B3023" s="14" t="s">
        <v>8966</v>
      </c>
      <c r="C3023" s="245" t="s">
        <v>3487</v>
      </c>
      <c r="D3023" s="15">
        <v>4</v>
      </c>
      <c r="E3023" s="15">
        <v>0</v>
      </c>
      <c r="F3023" s="15">
        <v>0</v>
      </c>
      <c r="G3023" s="15">
        <v>0</v>
      </c>
      <c r="H3023" s="15">
        <v>0</v>
      </c>
    </row>
    <row r="3024" spans="2:8">
      <c r="B3024" s="17" t="s">
        <v>8967</v>
      </c>
      <c r="C3024" s="246" t="s">
        <v>3488</v>
      </c>
      <c r="D3024" s="18">
        <v>0</v>
      </c>
      <c r="E3024" s="18">
        <v>0</v>
      </c>
      <c r="F3024" s="18">
        <v>0</v>
      </c>
      <c r="G3024" s="18">
        <v>0</v>
      </c>
      <c r="H3024" s="18">
        <v>0</v>
      </c>
    </row>
    <row r="3025" spans="2:8">
      <c r="B3025" s="14" t="s">
        <v>8968</v>
      </c>
      <c r="C3025" s="245" t="s">
        <v>3489</v>
      </c>
      <c r="D3025" s="15">
        <v>0</v>
      </c>
      <c r="E3025" s="15">
        <v>0</v>
      </c>
      <c r="F3025" s="15">
        <v>0</v>
      </c>
      <c r="G3025" s="15">
        <v>0</v>
      </c>
      <c r="H3025" s="15">
        <v>0</v>
      </c>
    </row>
    <row r="3026" spans="2:8">
      <c r="B3026" s="17" t="s">
        <v>8969</v>
      </c>
      <c r="C3026" s="246" t="s">
        <v>3490</v>
      </c>
      <c r="D3026" s="18">
        <v>182</v>
      </c>
      <c r="E3026" s="18">
        <v>425</v>
      </c>
      <c r="F3026" s="18">
        <v>1028</v>
      </c>
      <c r="G3026" s="18">
        <v>480</v>
      </c>
      <c r="H3026" s="18">
        <v>0</v>
      </c>
    </row>
    <row r="3027" spans="2:8">
      <c r="B3027" s="14" t="s">
        <v>8970</v>
      </c>
      <c r="C3027" s="245" t="s">
        <v>3491</v>
      </c>
      <c r="D3027" s="15">
        <v>0</v>
      </c>
      <c r="E3027" s="15">
        <v>0</v>
      </c>
      <c r="F3027" s="15">
        <v>0</v>
      </c>
      <c r="G3027" s="15">
        <v>0</v>
      </c>
      <c r="H3027" s="15">
        <v>0</v>
      </c>
    </row>
    <row r="3028" spans="2:8">
      <c r="B3028" s="17" t="s">
        <v>8971</v>
      </c>
      <c r="C3028" s="246" t="s">
        <v>3492</v>
      </c>
      <c r="D3028" s="18">
        <v>0</v>
      </c>
      <c r="E3028" s="18">
        <v>0</v>
      </c>
      <c r="F3028" s="18">
        <v>0</v>
      </c>
      <c r="G3028" s="18">
        <v>0</v>
      </c>
      <c r="H3028" s="18">
        <v>0</v>
      </c>
    </row>
    <row r="3029" spans="2:8">
      <c r="B3029" s="14" t="s">
        <v>8972</v>
      </c>
      <c r="C3029" s="245" t="s">
        <v>3493</v>
      </c>
      <c r="D3029" s="15">
        <v>0</v>
      </c>
      <c r="E3029" s="15">
        <v>0</v>
      </c>
      <c r="F3029" s="15">
        <v>0</v>
      </c>
      <c r="G3029" s="15">
        <v>0</v>
      </c>
      <c r="H3029" s="15">
        <v>0</v>
      </c>
    </row>
    <row r="3030" spans="2:8">
      <c r="B3030" s="17" t="s">
        <v>8973</v>
      </c>
      <c r="C3030" s="246" t="s">
        <v>3494</v>
      </c>
      <c r="D3030" s="18">
        <v>0</v>
      </c>
      <c r="E3030" s="18">
        <v>1</v>
      </c>
      <c r="F3030" s="18">
        <v>0</v>
      </c>
      <c r="G3030" s="18">
        <v>0</v>
      </c>
      <c r="H3030" s="18">
        <v>0</v>
      </c>
    </row>
    <row r="3031" spans="2:8">
      <c r="B3031" s="14" t="s">
        <v>8974</v>
      </c>
      <c r="C3031" s="245" t="s">
        <v>3495</v>
      </c>
      <c r="D3031" s="15">
        <v>0</v>
      </c>
      <c r="E3031" s="15">
        <v>0</v>
      </c>
      <c r="F3031" s="15">
        <v>0</v>
      </c>
      <c r="G3031" s="15">
        <v>0</v>
      </c>
      <c r="H3031" s="15">
        <v>0</v>
      </c>
    </row>
    <row r="3032" spans="2:8">
      <c r="B3032" s="17" t="s">
        <v>8975</v>
      </c>
      <c r="C3032" s="246" t="s">
        <v>3496</v>
      </c>
      <c r="D3032" s="18">
        <v>0</v>
      </c>
      <c r="E3032" s="18">
        <v>0</v>
      </c>
      <c r="F3032" s="18">
        <v>0</v>
      </c>
      <c r="G3032" s="18">
        <v>0</v>
      </c>
      <c r="H3032" s="18">
        <v>0</v>
      </c>
    </row>
    <row r="3033" spans="2:8">
      <c r="B3033" s="14" t="s">
        <v>8976</v>
      </c>
      <c r="C3033" s="245" t="s">
        <v>3497</v>
      </c>
      <c r="D3033" s="15">
        <v>0</v>
      </c>
      <c r="E3033" s="15">
        <v>0</v>
      </c>
      <c r="F3033" s="15">
        <v>0</v>
      </c>
      <c r="G3033" s="15">
        <v>0</v>
      </c>
      <c r="H3033" s="15">
        <v>0</v>
      </c>
    </row>
    <row r="3034" spans="2:8">
      <c r="B3034" s="17" t="s">
        <v>8977</v>
      </c>
      <c r="C3034" s="246" t="s">
        <v>3498</v>
      </c>
      <c r="D3034" s="18">
        <v>0</v>
      </c>
      <c r="E3034" s="18">
        <v>0</v>
      </c>
      <c r="F3034" s="18">
        <v>0</v>
      </c>
      <c r="G3034" s="18">
        <v>0</v>
      </c>
      <c r="H3034" s="18">
        <v>0</v>
      </c>
    </row>
    <row r="3035" spans="2:8">
      <c r="B3035" s="14" t="s">
        <v>8978</v>
      </c>
      <c r="C3035" s="245" t="s">
        <v>3499</v>
      </c>
      <c r="D3035" s="15">
        <v>0</v>
      </c>
      <c r="E3035" s="15">
        <v>0</v>
      </c>
      <c r="F3035" s="15">
        <v>0</v>
      </c>
      <c r="G3035" s="15">
        <v>7</v>
      </c>
      <c r="H3035" s="15">
        <v>0</v>
      </c>
    </row>
    <row r="3036" spans="2:8">
      <c r="B3036" s="17" t="s">
        <v>8979</v>
      </c>
      <c r="C3036" s="246" t="s">
        <v>3500</v>
      </c>
      <c r="D3036" s="18">
        <v>0</v>
      </c>
      <c r="E3036" s="18">
        <v>0</v>
      </c>
      <c r="F3036" s="18">
        <v>0</v>
      </c>
      <c r="G3036" s="18">
        <v>0</v>
      </c>
      <c r="H3036" s="18">
        <v>0</v>
      </c>
    </row>
    <row r="3037" spans="2:8">
      <c r="B3037" s="14" t="s">
        <v>8980</v>
      </c>
      <c r="C3037" s="245" t="s">
        <v>3501</v>
      </c>
      <c r="D3037" s="15">
        <v>0</v>
      </c>
      <c r="E3037" s="15">
        <v>0</v>
      </c>
      <c r="F3037" s="15">
        <v>0</v>
      </c>
      <c r="G3037" s="15">
        <v>0</v>
      </c>
      <c r="H3037" s="15">
        <v>0</v>
      </c>
    </row>
    <row r="3038" spans="2:8">
      <c r="B3038" s="17" t="s">
        <v>8981</v>
      </c>
      <c r="C3038" s="246" t="s">
        <v>3502</v>
      </c>
      <c r="D3038" s="18">
        <v>6</v>
      </c>
      <c r="E3038" s="18">
        <v>7</v>
      </c>
      <c r="F3038" s="18">
        <v>0</v>
      </c>
      <c r="G3038" s="18">
        <v>6</v>
      </c>
      <c r="H3038" s="18">
        <v>0</v>
      </c>
    </row>
    <row r="3039" spans="2:8">
      <c r="B3039" s="14" t="s">
        <v>8982</v>
      </c>
      <c r="C3039" s="245" t="s">
        <v>3503</v>
      </c>
      <c r="D3039" s="15">
        <v>2</v>
      </c>
      <c r="E3039" s="15">
        <v>1</v>
      </c>
      <c r="F3039" s="15">
        <v>0</v>
      </c>
      <c r="G3039" s="15">
        <v>4</v>
      </c>
      <c r="H3039" s="15">
        <v>0</v>
      </c>
    </row>
    <row r="3040" spans="2:8">
      <c r="B3040" s="17" t="s">
        <v>8983</v>
      </c>
      <c r="C3040" s="246" t="s">
        <v>3504</v>
      </c>
      <c r="D3040" s="18">
        <v>0</v>
      </c>
      <c r="E3040" s="18">
        <v>0</v>
      </c>
      <c r="F3040" s="18">
        <v>0</v>
      </c>
      <c r="G3040" s="18">
        <v>0</v>
      </c>
      <c r="H3040" s="18">
        <v>0</v>
      </c>
    </row>
    <row r="3041" spans="2:8">
      <c r="B3041" s="14" t="s">
        <v>8984</v>
      </c>
      <c r="C3041" s="245" t="s">
        <v>3505</v>
      </c>
      <c r="D3041" s="15">
        <v>0</v>
      </c>
      <c r="E3041" s="15">
        <v>14</v>
      </c>
      <c r="F3041" s="15">
        <v>0</v>
      </c>
      <c r="G3041" s="15">
        <v>0</v>
      </c>
      <c r="H3041" s="15">
        <v>0</v>
      </c>
    </row>
    <row r="3042" spans="2:8">
      <c r="B3042" s="17" t="s">
        <v>8985</v>
      </c>
      <c r="C3042" s="246" t="s">
        <v>3506</v>
      </c>
      <c r="D3042" s="18">
        <v>0</v>
      </c>
      <c r="E3042" s="18">
        <v>0</v>
      </c>
      <c r="F3042" s="18">
        <v>0</v>
      </c>
      <c r="G3042" s="18">
        <v>0</v>
      </c>
      <c r="H3042" s="18">
        <v>0</v>
      </c>
    </row>
    <row r="3043" spans="2:8">
      <c r="B3043" s="14" t="s">
        <v>8986</v>
      </c>
      <c r="C3043" s="245" t="s">
        <v>3507</v>
      </c>
      <c r="D3043" s="15">
        <v>0</v>
      </c>
      <c r="E3043" s="15">
        <v>0</v>
      </c>
      <c r="F3043" s="15">
        <v>0</v>
      </c>
      <c r="G3043" s="15">
        <v>0</v>
      </c>
      <c r="H3043" s="15">
        <v>0</v>
      </c>
    </row>
    <row r="3044" spans="2:8">
      <c r="B3044" s="17" t="s">
        <v>8987</v>
      </c>
      <c r="C3044" s="246" t="s">
        <v>3508</v>
      </c>
      <c r="D3044" s="18">
        <v>0</v>
      </c>
      <c r="E3044" s="18">
        <v>0</v>
      </c>
      <c r="F3044" s="18">
        <v>0</v>
      </c>
      <c r="G3044" s="18">
        <v>0</v>
      </c>
      <c r="H3044" s="18">
        <v>0</v>
      </c>
    </row>
    <row r="3045" spans="2:8">
      <c r="B3045" s="14" t="s">
        <v>8988</v>
      </c>
      <c r="C3045" s="245" t="s">
        <v>3509</v>
      </c>
      <c r="D3045" s="15">
        <v>0</v>
      </c>
      <c r="E3045" s="15">
        <v>0</v>
      </c>
      <c r="F3045" s="15">
        <v>0</v>
      </c>
      <c r="G3045" s="15">
        <v>0</v>
      </c>
      <c r="H3045" s="15">
        <v>0</v>
      </c>
    </row>
    <row r="3046" spans="2:8">
      <c r="B3046" s="17" t="s">
        <v>8989</v>
      </c>
      <c r="C3046" s="246" t="s">
        <v>3510</v>
      </c>
      <c r="D3046" s="18">
        <v>0</v>
      </c>
      <c r="E3046" s="18">
        <v>0</v>
      </c>
      <c r="F3046" s="18">
        <v>0</v>
      </c>
      <c r="G3046" s="18">
        <v>0</v>
      </c>
      <c r="H3046" s="18">
        <v>0</v>
      </c>
    </row>
    <row r="3047" spans="2:8">
      <c r="B3047" s="14" t="s">
        <v>8990</v>
      </c>
      <c r="C3047" s="245" t="s">
        <v>3511</v>
      </c>
      <c r="D3047" s="15">
        <v>651</v>
      </c>
      <c r="E3047" s="15">
        <v>443</v>
      </c>
      <c r="F3047" s="15">
        <v>0</v>
      </c>
      <c r="G3047" s="15">
        <v>527</v>
      </c>
      <c r="H3047" s="15">
        <v>0</v>
      </c>
    </row>
    <row r="3048" spans="2:8">
      <c r="B3048" s="17" t="s">
        <v>8991</v>
      </c>
      <c r="C3048" s="246" t="s">
        <v>3512</v>
      </c>
      <c r="D3048" s="18">
        <v>0</v>
      </c>
      <c r="E3048" s="18">
        <v>0</v>
      </c>
      <c r="F3048" s="18">
        <v>0</v>
      </c>
      <c r="G3048" s="18">
        <v>0</v>
      </c>
      <c r="H3048" s="18">
        <v>0</v>
      </c>
    </row>
    <row r="3049" spans="2:8">
      <c r="B3049" s="14" t="s">
        <v>8992</v>
      </c>
      <c r="C3049" s="245" t="s">
        <v>3513</v>
      </c>
      <c r="D3049" s="15">
        <v>0</v>
      </c>
      <c r="E3049" s="15">
        <v>0</v>
      </c>
      <c r="F3049" s="15">
        <v>0</v>
      </c>
      <c r="G3049" s="15">
        <v>0</v>
      </c>
      <c r="H3049" s="15">
        <v>0</v>
      </c>
    </row>
    <row r="3050" spans="2:8">
      <c r="B3050" s="17" t="s">
        <v>8993</v>
      </c>
      <c r="C3050" s="246" t="s">
        <v>3514</v>
      </c>
      <c r="D3050" s="18">
        <v>0</v>
      </c>
      <c r="E3050" s="18">
        <v>0</v>
      </c>
      <c r="F3050" s="18">
        <v>0</v>
      </c>
      <c r="G3050" s="18">
        <v>0</v>
      </c>
      <c r="H3050" s="18">
        <v>0</v>
      </c>
    </row>
    <row r="3051" spans="2:8">
      <c r="B3051" s="14" t="s">
        <v>8994</v>
      </c>
      <c r="C3051" s="245" t="s">
        <v>3515</v>
      </c>
      <c r="D3051" s="15">
        <v>0</v>
      </c>
      <c r="E3051" s="15">
        <v>0</v>
      </c>
      <c r="F3051" s="15">
        <v>0</v>
      </c>
      <c r="G3051" s="15">
        <v>0</v>
      </c>
      <c r="H3051" s="15">
        <v>0</v>
      </c>
    </row>
    <row r="3052" spans="2:8">
      <c r="B3052" s="17" t="s">
        <v>8995</v>
      </c>
      <c r="C3052" s="246" t="s">
        <v>3516</v>
      </c>
      <c r="D3052" s="18">
        <v>0</v>
      </c>
      <c r="E3052" s="18">
        <v>0</v>
      </c>
      <c r="F3052" s="18">
        <v>0</v>
      </c>
      <c r="G3052" s="18">
        <v>0</v>
      </c>
      <c r="H3052" s="18">
        <v>0</v>
      </c>
    </row>
    <row r="3053" spans="2:8">
      <c r="B3053" s="14" t="s">
        <v>8996</v>
      </c>
      <c r="C3053" s="245" t="s">
        <v>2506</v>
      </c>
      <c r="D3053" s="15">
        <v>0</v>
      </c>
      <c r="E3053" s="15">
        <v>0</v>
      </c>
      <c r="F3053" s="15">
        <v>0</v>
      </c>
      <c r="G3053" s="15">
        <v>0</v>
      </c>
      <c r="H3053" s="15">
        <v>0</v>
      </c>
    </row>
    <row r="3054" spans="2:8">
      <c r="B3054" s="17" t="s">
        <v>8997</v>
      </c>
      <c r="C3054" s="246" t="s">
        <v>3517</v>
      </c>
      <c r="D3054" s="18">
        <v>0</v>
      </c>
      <c r="E3054" s="18">
        <v>0</v>
      </c>
      <c r="F3054" s="18">
        <v>0</v>
      </c>
      <c r="G3054" s="18">
        <v>0</v>
      </c>
      <c r="H3054" s="18">
        <v>0</v>
      </c>
    </row>
    <row r="3055" spans="2:8">
      <c r="B3055" s="14" t="s">
        <v>8998</v>
      </c>
      <c r="C3055" s="245" t="s">
        <v>1902</v>
      </c>
      <c r="D3055" s="15">
        <v>0</v>
      </c>
      <c r="E3055" s="15">
        <v>0</v>
      </c>
      <c r="F3055" s="15">
        <v>0</v>
      </c>
      <c r="G3055" s="15">
        <v>32</v>
      </c>
      <c r="H3055" s="15">
        <v>0</v>
      </c>
    </row>
    <row r="3056" spans="2:8">
      <c r="B3056" s="17" t="s">
        <v>8999</v>
      </c>
      <c r="C3056" s="246" t="s">
        <v>3518</v>
      </c>
      <c r="D3056" s="18">
        <v>0</v>
      </c>
      <c r="E3056" s="18">
        <v>0</v>
      </c>
      <c r="F3056" s="18">
        <v>0</v>
      </c>
      <c r="G3056" s="18">
        <v>0</v>
      </c>
      <c r="H3056" s="18">
        <v>0</v>
      </c>
    </row>
    <row r="3057" spans="2:8">
      <c r="B3057" s="14" t="s">
        <v>9000</v>
      </c>
      <c r="C3057" s="245" t="s">
        <v>3519</v>
      </c>
      <c r="D3057" s="15">
        <v>0</v>
      </c>
      <c r="E3057" s="15">
        <v>0</v>
      </c>
      <c r="F3057" s="15">
        <v>0</v>
      </c>
      <c r="G3057" s="15">
        <v>0</v>
      </c>
      <c r="H3057" s="15">
        <v>0</v>
      </c>
    </row>
    <row r="3058" spans="2:8">
      <c r="B3058" s="17" t="s">
        <v>9001</v>
      </c>
      <c r="C3058" s="246" t="s">
        <v>3520</v>
      </c>
      <c r="D3058" s="18">
        <v>0</v>
      </c>
      <c r="E3058" s="18">
        <v>0</v>
      </c>
      <c r="F3058" s="18">
        <v>0</v>
      </c>
      <c r="G3058" s="18">
        <v>0</v>
      </c>
      <c r="H3058" s="18">
        <v>0</v>
      </c>
    </row>
    <row r="3059" spans="2:8">
      <c r="B3059" s="14" t="s">
        <v>9002</v>
      </c>
      <c r="C3059" s="245" t="s">
        <v>3521</v>
      </c>
      <c r="D3059" s="15">
        <v>0</v>
      </c>
      <c r="E3059" s="15">
        <v>0</v>
      </c>
      <c r="F3059" s="15">
        <v>0</v>
      </c>
      <c r="G3059" s="15">
        <v>0</v>
      </c>
      <c r="H3059" s="15">
        <v>0</v>
      </c>
    </row>
    <row r="3060" spans="2:8">
      <c r="B3060" s="17" t="s">
        <v>9003</v>
      </c>
      <c r="C3060" s="246" t="s">
        <v>3522</v>
      </c>
      <c r="D3060" s="18">
        <v>0</v>
      </c>
      <c r="E3060" s="18">
        <v>0</v>
      </c>
      <c r="F3060" s="18">
        <v>0</v>
      </c>
      <c r="G3060" s="18">
        <v>0</v>
      </c>
      <c r="H3060" s="18">
        <v>0</v>
      </c>
    </row>
    <row r="3061" spans="2:8">
      <c r="B3061" s="14" t="s">
        <v>9004</v>
      </c>
      <c r="C3061" s="245" t="s">
        <v>3523</v>
      </c>
      <c r="D3061" s="15">
        <v>0</v>
      </c>
      <c r="E3061" s="15">
        <v>0</v>
      </c>
      <c r="F3061" s="15">
        <v>0</v>
      </c>
      <c r="G3061" s="15">
        <v>0</v>
      </c>
      <c r="H3061" s="15">
        <v>0</v>
      </c>
    </row>
    <row r="3062" spans="2:8">
      <c r="B3062" s="17" t="s">
        <v>9005</v>
      </c>
      <c r="C3062" s="246" t="s">
        <v>3524</v>
      </c>
      <c r="D3062" s="18">
        <v>0</v>
      </c>
      <c r="E3062" s="18">
        <v>0</v>
      </c>
      <c r="F3062" s="18">
        <v>0</v>
      </c>
      <c r="G3062" s="18">
        <v>0</v>
      </c>
      <c r="H3062" s="18">
        <v>0</v>
      </c>
    </row>
    <row r="3063" spans="2:8">
      <c r="B3063" s="14" t="s">
        <v>9006</v>
      </c>
      <c r="C3063" s="245" t="s">
        <v>3525</v>
      </c>
      <c r="D3063" s="15">
        <v>0</v>
      </c>
      <c r="E3063" s="15">
        <v>0</v>
      </c>
      <c r="F3063" s="15">
        <v>0</v>
      </c>
      <c r="G3063" s="15">
        <v>0</v>
      </c>
      <c r="H3063" s="15">
        <v>0</v>
      </c>
    </row>
    <row r="3064" spans="2:8">
      <c r="B3064" s="17" t="s">
        <v>9007</v>
      </c>
      <c r="C3064" s="246" t="s">
        <v>3526</v>
      </c>
      <c r="D3064" s="18">
        <v>0</v>
      </c>
      <c r="E3064" s="18">
        <v>0</v>
      </c>
      <c r="F3064" s="18">
        <v>0</v>
      </c>
      <c r="G3064" s="18">
        <v>0</v>
      </c>
      <c r="H3064" s="18">
        <v>0</v>
      </c>
    </row>
    <row r="3065" spans="2:8">
      <c r="B3065" s="14" t="s">
        <v>9008</v>
      </c>
      <c r="C3065" s="245" t="s">
        <v>3527</v>
      </c>
      <c r="D3065" s="15">
        <v>0</v>
      </c>
      <c r="E3065" s="15">
        <v>0</v>
      </c>
      <c r="F3065" s="15">
        <v>0</v>
      </c>
      <c r="G3065" s="15">
        <v>0</v>
      </c>
      <c r="H3065" s="15">
        <v>0</v>
      </c>
    </row>
    <row r="3066" spans="2:8">
      <c r="B3066" s="17" t="s">
        <v>9009</v>
      </c>
      <c r="C3066" s="246" t="s">
        <v>3528</v>
      </c>
      <c r="D3066" s="18">
        <v>0</v>
      </c>
      <c r="E3066" s="18">
        <v>0</v>
      </c>
      <c r="F3066" s="18">
        <v>0</v>
      </c>
      <c r="G3066" s="18">
        <v>0</v>
      </c>
      <c r="H3066" s="18">
        <v>0</v>
      </c>
    </row>
    <row r="3067" spans="2:8">
      <c r="B3067" s="14" t="s">
        <v>9010</v>
      </c>
      <c r="C3067" s="245" t="s">
        <v>3529</v>
      </c>
      <c r="D3067" s="15">
        <v>0</v>
      </c>
      <c r="E3067" s="15">
        <v>0</v>
      </c>
      <c r="F3067" s="15">
        <v>0</v>
      </c>
      <c r="G3067" s="15">
        <v>0</v>
      </c>
      <c r="H3067" s="15">
        <v>0</v>
      </c>
    </row>
    <row r="3068" spans="2:8">
      <c r="B3068" s="17" t="s">
        <v>9011</v>
      </c>
      <c r="C3068" s="246" t="s">
        <v>3530</v>
      </c>
      <c r="D3068" s="18">
        <v>120</v>
      </c>
      <c r="E3068" s="18">
        <v>0</v>
      </c>
      <c r="F3068" s="18">
        <v>0</v>
      </c>
      <c r="G3068" s="18">
        <v>0</v>
      </c>
      <c r="H3068" s="18">
        <v>0</v>
      </c>
    </row>
    <row r="3069" spans="2:8">
      <c r="B3069" s="14" t="s">
        <v>9012</v>
      </c>
      <c r="C3069" s="245" t="s">
        <v>3531</v>
      </c>
      <c r="D3069" s="15">
        <v>0</v>
      </c>
      <c r="E3069" s="15">
        <v>0</v>
      </c>
      <c r="F3069" s="15">
        <v>0</v>
      </c>
      <c r="G3069" s="15">
        <v>0</v>
      </c>
      <c r="H3069" s="15">
        <v>0</v>
      </c>
    </row>
    <row r="3070" spans="2:8">
      <c r="B3070" s="17" t="s">
        <v>9013</v>
      </c>
      <c r="C3070" s="246" t="s">
        <v>3532</v>
      </c>
      <c r="D3070" s="18">
        <v>109</v>
      </c>
      <c r="E3070" s="18">
        <v>170</v>
      </c>
      <c r="F3070" s="18">
        <v>119</v>
      </c>
      <c r="G3070" s="18">
        <v>179</v>
      </c>
      <c r="H3070" s="18">
        <v>0</v>
      </c>
    </row>
    <row r="3071" spans="2:8">
      <c r="B3071" s="14" t="s">
        <v>9014</v>
      </c>
      <c r="C3071" s="245" t="s">
        <v>3533</v>
      </c>
      <c r="D3071" s="15">
        <v>0</v>
      </c>
      <c r="E3071" s="15">
        <v>0</v>
      </c>
      <c r="F3071" s="15">
        <v>0</v>
      </c>
      <c r="G3071" s="15">
        <v>0</v>
      </c>
      <c r="H3071" s="15">
        <v>0</v>
      </c>
    </row>
    <row r="3072" spans="2:8">
      <c r="B3072" s="17" t="s">
        <v>9015</v>
      </c>
      <c r="C3072" s="246" t="s">
        <v>3534</v>
      </c>
      <c r="D3072" s="18">
        <v>0</v>
      </c>
      <c r="E3072" s="18">
        <v>0</v>
      </c>
      <c r="F3072" s="18">
        <v>0</v>
      </c>
      <c r="G3072" s="18">
        <v>0</v>
      </c>
      <c r="H3072" s="18">
        <v>0</v>
      </c>
    </row>
    <row r="3073" spans="2:8">
      <c r="B3073" s="14" t="s">
        <v>9016</v>
      </c>
      <c r="C3073" s="245" t="s">
        <v>2548</v>
      </c>
      <c r="D3073" s="15">
        <v>0</v>
      </c>
      <c r="E3073" s="15">
        <v>0</v>
      </c>
      <c r="F3073" s="15">
        <v>0</v>
      </c>
      <c r="G3073" s="15">
        <v>0</v>
      </c>
      <c r="H3073" s="15">
        <v>0</v>
      </c>
    </row>
    <row r="3074" spans="2:8">
      <c r="B3074" s="17" t="s">
        <v>9017</v>
      </c>
      <c r="C3074" s="246" t="s">
        <v>1923</v>
      </c>
      <c r="D3074" s="18">
        <v>0</v>
      </c>
      <c r="E3074" s="18">
        <v>0</v>
      </c>
      <c r="F3074" s="18">
        <v>0</v>
      </c>
      <c r="G3074" s="18">
        <v>0</v>
      </c>
      <c r="H3074" s="18">
        <v>0</v>
      </c>
    </row>
    <row r="3075" spans="2:8">
      <c r="B3075" s="14" t="s">
        <v>9018</v>
      </c>
      <c r="C3075" s="245" t="s">
        <v>3535</v>
      </c>
      <c r="D3075" s="15">
        <v>0</v>
      </c>
      <c r="E3075" s="15">
        <v>0</v>
      </c>
      <c r="F3075" s="15">
        <v>0</v>
      </c>
      <c r="G3075" s="15">
        <v>0</v>
      </c>
      <c r="H3075" s="15">
        <v>0</v>
      </c>
    </row>
    <row r="3076" spans="2:8">
      <c r="B3076" s="17" t="s">
        <v>9019</v>
      </c>
      <c r="C3076" s="246" t="s">
        <v>1924</v>
      </c>
      <c r="D3076" s="18">
        <v>0</v>
      </c>
      <c r="E3076" s="18">
        <v>0</v>
      </c>
      <c r="F3076" s="18">
        <v>0</v>
      </c>
      <c r="G3076" s="18">
        <v>0</v>
      </c>
      <c r="H3076" s="18">
        <v>0</v>
      </c>
    </row>
    <row r="3077" spans="2:8">
      <c r="B3077" s="14" t="s">
        <v>9020</v>
      </c>
      <c r="C3077" s="245" t="s">
        <v>3536</v>
      </c>
      <c r="D3077" s="15">
        <v>0</v>
      </c>
      <c r="E3077" s="15">
        <v>0</v>
      </c>
      <c r="F3077" s="15">
        <v>0</v>
      </c>
      <c r="G3077" s="15">
        <v>0</v>
      </c>
      <c r="H3077" s="15">
        <v>0</v>
      </c>
    </row>
    <row r="3078" spans="2:8">
      <c r="B3078" s="17" t="s">
        <v>9021</v>
      </c>
      <c r="C3078" s="246" t="s">
        <v>3537</v>
      </c>
      <c r="D3078" s="18">
        <v>0</v>
      </c>
      <c r="E3078" s="18">
        <v>0</v>
      </c>
      <c r="F3078" s="18">
        <v>0</v>
      </c>
      <c r="G3078" s="18">
        <v>0</v>
      </c>
      <c r="H3078" s="18">
        <v>0</v>
      </c>
    </row>
    <row r="3079" spans="2:8">
      <c r="B3079" s="14" t="s">
        <v>9022</v>
      </c>
      <c r="C3079" s="245" t="s">
        <v>3538</v>
      </c>
      <c r="D3079" s="15">
        <v>0</v>
      </c>
      <c r="E3079" s="15">
        <v>0</v>
      </c>
      <c r="F3079" s="15">
        <v>0</v>
      </c>
      <c r="G3079" s="15">
        <v>0</v>
      </c>
      <c r="H3079" s="15">
        <v>0</v>
      </c>
    </row>
    <row r="3080" spans="2:8">
      <c r="B3080" s="17" t="s">
        <v>9023</v>
      </c>
      <c r="C3080" s="246" t="s">
        <v>3539</v>
      </c>
      <c r="D3080" s="18">
        <v>0</v>
      </c>
      <c r="E3080" s="18">
        <v>0</v>
      </c>
      <c r="F3080" s="18">
        <v>0</v>
      </c>
      <c r="G3080" s="18">
        <v>0</v>
      </c>
      <c r="H3080" s="18">
        <v>0</v>
      </c>
    </row>
    <row r="3081" spans="2:8">
      <c r="B3081" s="14" t="s">
        <v>9024</v>
      </c>
      <c r="C3081" s="245" t="s">
        <v>3540</v>
      </c>
      <c r="D3081" s="15">
        <v>0</v>
      </c>
      <c r="E3081" s="15">
        <v>0</v>
      </c>
      <c r="F3081" s="15">
        <v>0</v>
      </c>
      <c r="G3081" s="15">
        <v>0</v>
      </c>
      <c r="H3081" s="15">
        <v>0</v>
      </c>
    </row>
    <row r="3082" spans="2:8">
      <c r="B3082" s="17" t="s">
        <v>9025</v>
      </c>
      <c r="C3082" s="246" t="s">
        <v>3541</v>
      </c>
      <c r="D3082" s="18">
        <v>0</v>
      </c>
      <c r="E3082" s="18">
        <v>0</v>
      </c>
      <c r="F3082" s="18">
        <v>0</v>
      </c>
      <c r="G3082" s="18">
        <v>0</v>
      </c>
      <c r="H3082" s="18">
        <v>0</v>
      </c>
    </row>
    <row r="3083" spans="2:8">
      <c r="B3083" s="14" t="s">
        <v>9026</v>
      </c>
      <c r="C3083" s="245" t="s">
        <v>3542</v>
      </c>
      <c r="D3083" s="15">
        <v>0</v>
      </c>
      <c r="E3083" s="15">
        <v>0</v>
      </c>
      <c r="F3083" s="15">
        <v>0</v>
      </c>
      <c r="G3083" s="15">
        <v>0</v>
      </c>
      <c r="H3083" s="15">
        <v>0</v>
      </c>
    </row>
    <row r="3084" spans="2:8">
      <c r="B3084" s="17" t="s">
        <v>9027</v>
      </c>
      <c r="C3084" s="246" t="s">
        <v>3543</v>
      </c>
      <c r="D3084" s="18">
        <v>0</v>
      </c>
      <c r="E3084" s="18">
        <v>0</v>
      </c>
      <c r="F3084" s="18">
        <v>0</v>
      </c>
      <c r="G3084" s="18">
        <v>0</v>
      </c>
      <c r="H3084" s="18">
        <v>0</v>
      </c>
    </row>
    <row r="3085" spans="2:8">
      <c r="B3085" s="14" t="s">
        <v>9028</v>
      </c>
      <c r="C3085" s="245" t="s">
        <v>3544</v>
      </c>
      <c r="D3085" s="15">
        <v>0</v>
      </c>
      <c r="E3085" s="15">
        <v>0</v>
      </c>
      <c r="F3085" s="15">
        <v>3</v>
      </c>
      <c r="G3085" s="15">
        <v>39</v>
      </c>
      <c r="H3085" s="15">
        <v>0</v>
      </c>
    </row>
    <row r="3086" spans="2:8">
      <c r="B3086" s="17" t="s">
        <v>9029</v>
      </c>
      <c r="C3086" s="246" t="s">
        <v>3545</v>
      </c>
      <c r="D3086" s="18">
        <v>0</v>
      </c>
      <c r="E3086" s="18">
        <v>0</v>
      </c>
      <c r="F3086" s="18">
        <v>0</v>
      </c>
      <c r="G3086" s="18">
        <v>0</v>
      </c>
      <c r="H3086" s="18">
        <v>0</v>
      </c>
    </row>
    <row r="3087" spans="2:8">
      <c r="B3087" s="14" t="s">
        <v>9030</v>
      </c>
      <c r="C3087" s="245" t="s">
        <v>3546</v>
      </c>
      <c r="D3087" s="15">
        <v>0</v>
      </c>
      <c r="E3087" s="15">
        <v>0</v>
      </c>
      <c r="F3087" s="15">
        <v>0</v>
      </c>
      <c r="G3087" s="15">
        <v>0</v>
      </c>
      <c r="H3087" s="15">
        <v>0</v>
      </c>
    </row>
    <row r="3088" spans="2:8">
      <c r="B3088" s="17" t="s">
        <v>9031</v>
      </c>
      <c r="C3088" s="246" t="s">
        <v>3547</v>
      </c>
      <c r="D3088" s="18">
        <v>0</v>
      </c>
      <c r="E3088" s="18">
        <v>0</v>
      </c>
      <c r="F3088" s="18">
        <v>0</v>
      </c>
      <c r="G3088" s="18">
        <v>0</v>
      </c>
      <c r="H3088" s="18">
        <v>0</v>
      </c>
    </row>
    <row r="3089" spans="2:8">
      <c r="B3089" s="14" t="s">
        <v>9032</v>
      </c>
      <c r="C3089" s="245" t="s">
        <v>3548</v>
      </c>
      <c r="D3089" s="15">
        <v>0</v>
      </c>
      <c r="E3089" s="15">
        <v>0</v>
      </c>
      <c r="F3089" s="15">
        <v>0</v>
      </c>
      <c r="G3089" s="15">
        <v>0</v>
      </c>
      <c r="H3089" s="15">
        <v>0</v>
      </c>
    </row>
    <row r="3090" spans="2:8">
      <c r="B3090" s="17" t="s">
        <v>9033</v>
      </c>
      <c r="C3090" s="246" t="s">
        <v>3549</v>
      </c>
      <c r="D3090" s="18">
        <v>0</v>
      </c>
      <c r="E3090" s="18">
        <v>70</v>
      </c>
      <c r="F3090" s="18">
        <v>0</v>
      </c>
      <c r="G3090" s="18">
        <v>0</v>
      </c>
      <c r="H3090" s="18">
        <v>0</v>
      </c>
    </row>
    <row r="3091" spans="2:8">
      <c r="B3091" s="14" t="s">
        <v>9034</v>
      </c>
      <c r="C3091" s="245" t="s">
        <v>3550</v>
      </c>
      <c r="D3091" s="15">
        <v>0</v>
      </c>
      <c r="E3091" s="15">
        <v>0</v>
      </c>
      <c r="F3091" s="15">
        <v>0</v>
      </c>
      <c r="G3091" s="15">
        <v>0</v>
      </c>
      <c r="H3091" s="15">
        <v>0</v>
      </c>
    </row>
    <row r="3092" spans="2:8">
      <c r="B3092" s="17" t="s">
        <v>9035</v>
      </c>
      <c r="C3092" s="246" t="s">
        <v>3551</v>
      </c>
      <c r="D3092" s="18">
        <v>0</v>
      </c>
      <c r="E3092" s="18">
        <v>0</v>
      </c>
      <c r="F3092" s="18">
        <v>0</v>
      </c>
      <c r="G3092" s="18">
        <v>0</v>
      </c>
      <c r="H3092" s="18">
        <v>0</v>
      </c>
    </row>
    <row r="3093" spans="2:8">
      <c r="B3093" s="14" t="s">
        <v>9036</v>
      </c>
      <c r="C3093" s="245" t="s">
        <v>3552</v>
      </c>
      <c r="D3093" s="15">
        <v>0</v>
      </c>
      <c r="E3093" s="15">
        <v>0</v>
      </c>
      <c r="F3093" s="15">
        <v>0</v>
      </c>
      <c r="G3093" s="15">
        <v>0</v>
      </c>
      <c r="H3093" s="15">
        <v>0</v>
      </c>
    </row>
    <row r="3094" spans="2:8">
      <c r="B3094" s="17" t="s">
        <v>9037</v>
      </c>
      <c r="C3094" s="246" t="s">
        <v>3553</v>
      </c>
      <c r="D3094" s="18">
        <v>0</v>
      </c>
      <c r="E3094" s="18">
        <v>24</v>
      </c>
      <c r="F3094" s="18">
        <v>26</v>
      </c>
      <c r="G3094" s="18">
        <v>0</v>
      </c>
      <c r="H3094" s="18">
        <v>0</v>
      </c>
    </row>
    <row r="3095" spans="2:8">
      <c r="B3095" s="14" t="s">
        <v>9038</v>
      </c>
      <c r="C3095" s="245" t="s">
        <v>3554</v>
      </c>
      <c r="D3095" s="15">
        <v>0</v>
      </c>
      <c r="E3095" s="15">
        <v>0</v>
      </c>
      <c r="F3095" s="15">
        <v>0</v>
      </c>
      <c r="G3095" s="15">
        <v>0</v>
      </c>
      <c r="H3095" s="15">
        <v>0</v>
      </c>
    </row>
    <row r="3096" spans="2:8">
      <c r="B3096" s="17" t="s">
        <v>9039</v>
      </c>
      <c r="C3096" s="246" t="s">
        <v>3554</v>
      </c>
      <c r="D3096" s="18">
        <v>6</v>
      </c>
      <c r="E3096" s="18">
        <v>0</v>
      </c>
      <c r="F3096" s="18">
        <v>25</v>
      </c>
      <c r="G3096" s="18">
        <v>0</v>
      </c>
      <c r="H3096" s="18">
        <v>0</v>
      </c>
    </row>
    <row r="3097" spans="2:8">
      <c r="B3097" s="14" t="s">
        <v>9040</v>
      </c>
      <c r="C3097" s="245" t="s">
        <v>1432</v>
      </c>
      <c r="D3097" s="15">
        <v>24</v>
      </c>
      <c r="E3097" s="15">
        <v>90</v>
      </c>
      <c r="F3097" s="15">
        <v>86</v>
      </c>
      <c r="G3097" s="15">
        <v>0</v>
      </c>
      <c r="H3097" s="15">
        <v>0</v>
      </c>
    </row>
    <row r="3098" spans="2:8">
      <c r="B3098" s="17" t="s">
        <v>9041</v>
      </c>
      <c r="C3098" s="246" t="s">
        <v>3555</v>
      </c>
      <c r="D3098" s="18">
        <v>0</v>
      </c>
      <c r="E3098" s="18">
        <v>0</v>
      </c>
      <c r="F3098" s="18">
        <v>0</v>
      </c>
      <c r="G3098" s="18">
        <v>3</v>
      </c>
      <c r="H3098" s="18">
        <v>0</v>
      </c>
    </row>
    <row r="3099" spans="2:8">
      <c r="B3099" s="14" t="s">
        <v>9042</v>
      </c>
      <c r="C3099" s="245" t="s">
        <v>3556</v>
      </c>
      <c r="D3099" s="15">
        <v>0</v>
      </c>
      <c r="E3099" s="15">
        <v>0</v>
      </c>
      <c r="F3099" s="15">
        <v>0</v>
      </c>
      <c r="G3099" s="15">
        <v>0</v>
      </c>
      <c r="H3099" s="15">
        <v>0</v>
      </c>
    </row>
    <row r="3100" spans="2:8">
      <c r="B3100" s="17" t="s">
        <v>9043</v>
      </c>
      <c r="C3100" s="246" t="s">
        <v>3557</v>
      </c>
      <c r="D3100" s="18">
        <v>0</v>
      </c>
      <c r="E3100" s="18">
        <v>0</v>
      </c>
      <c r="F3100" s="18">
        <v>0</v>
      </c>
      <c r="G3100" s="18">
        <v>0</v>
      </c>
      <c r="H3100" s="18">
        <v>0</v>
      </c>
    </row>
    <row r="3101" spans="2:8">
      <c r="B3101" s="14" t="s">
        <v>9044</v>
      </c>
      <c r="C3101" s="245" t="s">
        <v>3558</v>
      </c>
      <c r="D3101" s="15">
        <v>0</v>
      </c>
      <c r="E3101" s="15">
        <v>0</v>
      </c>
      <c r="F3101" s="15">
        <v>8</v>
      </c>
      <c r="G3101" s="15">
        <v>0</v>
      </c>
      <c r="H3101" s="15">
        <v>0</v>
      </c>
    </row>
    <row r="3102" spans="2:8">
      <c r="B3102" s="17" t="s">
        <v>9045</v>
      </c>
      <c r="C3102" s="246" t="s">
        <v>3559</v>
      </c>
      <c r="D3102" s="18">
        <v>0</v>
      </c>
      <c r="E3102" s="18">
        <v>0</v>
      </c>
      <c r="F3102" s="18">
        <v>0</v>
      </c>
      <c r="G3102" s="18">
        <v>0</v>
      </c>
      <c r="H3102" s="18">
        <v>0</v>
      </c>
    </row>
    <row r="3103" spans="2:8">
      <c r="B3103" s="14" t="s">
        <v>9046</v>
      </c>
      <c r="C3103" s="245" t="s">
        <v>3560</v>
      </c>
      <c r="D3103" s="15">
        <v>0</v>
      </c>
      <c r="E3103" s="15">
        <v>0</v>
      </c>
      <c r="F3103" s="15">
        <v>0</v>
      </c>
      <c r="G3103" s="15">
        <v>0</v>
      </c>
      <c r="H3103" s="15">
        <v>0</v>
      </c>
    </row>
    <row r="3104" spans="2:8">
      <c r="B3104" s="17" t="s">
        <v>9047</v>
      </c>
      <c r="C3104" s="246" t="s">
        <v>3561</v>
      </c>
      <c r="D3104" s="18">
        <v>0</v>
      </c>
      <c r="E3104" s="18">
        <v>0</v>
      </c>
      <c r="F3104" s="18">
        <v>0</v>
      </c>
      <c r="G3104" s="18">
        <v>0</v>
      </c>
      <c r="H3104" s="18">
        <v>0</v>
      </c>
    </row>
    <row r="3105" spans="2:8">
      <c r="B3105" s="14" t="s">
        <v>9048</v>
      </c>
      <c r="C3105" s="245" t="s">
        <v>3562</v>
      </c>
      <c r="D3105" s="15">
        <v>0</v>
      </c>
      <c r="E3105" s="15">
        <v>0</v>
      </c>
      <c r="F3105" s="15">
        <v>0</v>
      </c>
      <c r="G3105" s="15">
        <v>0</v>
      </c>
      <c r="H3105" s="15">
        <v>0</v>
      </c>
    </row>
    <row r="3106" spans="2:8">
      <c r="B3106" s="17" t="s">
        <v>9049</v>
      </c>
      <c r="C3106" s="246" t="s">
        <v>3563</v>
      </c>
      <c r="D3106" s="18">
        <v>0</v>
      </c>
      <c r="E3106" s="18">
        <v>4</v>
      </c>
      <c r="F3106" s="18">
        <v>0</v>
      </c>
      <c r="G3106" s="18">
        <v>5319</v>
      </c>
      <c r="H3106" s="18">
        <v>0</v>
      </c>
    </row>
    <row r="3107" spans="2:8">
      <c r="B3107" s="14" t="s">
        <v>9050</v>
      </c>
      <c r="C3107" s="245" t="s">
        <v>3564</v>
      </c>
      <c r="D3107" s="15">
        <v>0</v>
      </c>
      <c r="E3107" s="15">
        <v>0</v>
      </c>
      <c r="F3107" s="15">
        <v>0</v>
      </c>
      <c r="G3107" s="15">
        <v>7</v>
      </c>
      <c r="H3107" s="15">
        <v>0</v>
      </c>
    </row>
    <row r="3108" spans="2:8">
      <c r="B3108" s="17" t="s">
        <v>9051</v>
      </c>
      <c r="C3108" s="246" t="s">
        <v>3565</v>
      </c>
      <c r="D3108" s="18">
        <v>0</v>
      </c>
      <c r="E3108" s="18">
        <v>0</v>
      </c>
      <c r="F3108" s="18">
        <v>0</v>
      </c>
      <c r="G3108" s="18">
        <v>0</v>
      </c>
      <c r="H3108" s="18">
        <v>0</v>
      </c>
    </row>
    <row r="3109" spans="2:8">
      <c r="B3109" s="14" t="s">
        <v>9052</v>
      </c>
      <c r="C3109" s="245" t="s">
        <v>3566</v>
      </c>
      <c r="D3109" s="15">
        <v>0</v>
      </c>
      <c r="E3109" s="15">
        <v>16</v>
      </c>
      <c r="F3109" s="15">
        <v>0</v>
      </c>
      <c r="G3109" s="15">
        <v>28</v>
      </c>
      <c r="H3109" s="15">
        <v>0</v>
      </c>
    </row>
    <row r="3110" spans="2:8">
      <c r="B3110" s="17" t="s">
        <v>9053</v>
      </c>
      <c r="C3110" s="246" t="s">
        <v>3567</v>
      </c>
      <c r="D3110" s="18">
        <v>227</v>
      </c>
      <c r="E3110" s="18">
        <v>0</v>
      </c>
      <c r="F3110" s="18">
        <v>0</v>
      </c>
      <c r="G3110" s="18">
        <v>0</v>
      </c>
      <c r="H3110" s="18">
        <v>0</v>
      </c>
    </row>
    <row r="3111" spans="2:8">
      <c r="B3111" s="14" t="s">
        <v>9054</v>
      </c>
      <c r="C3111" s="245" t="s">
        <v>3568</v>
      </c>
      <c r="D3111" s="15">
        <v>0</v>
      </c>
      <c r="E3111" s="15">
        <v>0</v>
      </c>
      <c r="F3111" s="15">
        <v>0</v>
      </c>
      <c r="G3111" s="15">
        <v>0</v>
      </c>
      <c r="H3111" s="15">
        <v>0</v>
      </c>
    </row>
    <row r="3112" spans="2:8">
      <c r="B3112" s="17" t="s">
        <v>9055</v>
      </c>
      <c r="C3112" s="246" t="s">
        <v>3225</v>
      </c>
      <c r="D3112" s="18">
        <v>0</v>
      </c>
      <c r="E3112" s="18">
        <v>0</v>
      </c>
      <c r="F3112" s="18">
        <v>0</v>
      </c>
      <c r="G3112" s="18">
        <v>0</v>
      </c>
      <c r="H3112" s="18">
        <v>0</v>
      </c>
    </row>
    <row r="3113" spans="2:8">
      <c r="B3113" s="14" t="s">
        <v>9056</v>
      </c>
      <c r="C3113" s="245" t="s">
        <v>1883</v>
      </c>
      <c r="D3113" s="15">
        <v>0</v>
      </c>
      <c r="E3113" s="15">
        <v>0</v>
      </c>
      <c r="F3113" s="15">
        <v>0</v>
      </c>
      <c r="G3113" s="15">
        <v>0</v>
      </c>
      <c r="H3113" s="15">
        <v>0</v>
      </c>
    </row>
    <row r="3114" spans="2:8">
      <c r="B3114" s="17" t="s">
        <v>9057</v>
      </c>
      <c r="C3114" s="246" t="s">
        <v>3569</v>
      </c>
      <c r="D3114" s="18">
        <v>0</v>
      </c>
      <c r="E3114" s="18">
        <v>0</v>
      </c>
      <c r="F3114" s="18">
        <v>0</v>
      </c>
      <c r="G3114" s="18">
        <v>0</v>
      </c>
      <c r="H3114" s="18">
        <v>0</v>
      </c>
    </row>
    <row r="3115" spans="2:8">
      <c r="B3115" s="14" t="s">
        <v>9058</v>
      </c>
      <c r="C3115" s="245" t="s">
        <v>3570</v>
      </c>
      <c r="D3115" s="15">
        <v>0</v>
      </c>
      <c r="E3115" s="15">
        <v>0</v>
      </c>
      <c r="F3115" s="15">
        <v>0</v>
      </c>
      <c r="G3115" s="15">
        <v>0</v>
      </c>
      <c r="H3115" s="15">
        <v>0</v>
      </c>
    </row>
    <row r="3116" spans="2:8">
      <c r="B3116" s="17" t="s">
        <v>9059</v>
      </c>
      <c r="C3116" s="246" t="s">
        <v>3571</v>
      </c>
      <c r="D3116" s="18">
        <v>0</v>
      </c>
      <c r="E3116" s="18">
        <v>0</v>
      </c>
      <c r="F3116" s="18">
        <v>0</v>
      </c>
      <c r="G3116" s="18">
        <v>0</v>
      </c>
      <c r="H3116" s="18">
        <v>0</v>
      </c>
    </row>
    <row r="3117" spans="2:8">
      <c r="B3117" s="14" t="s">
        <v>9060</v>
      </c>
      <c r="C3117" s="245" t="s">
        <v>3572</v>
      </c>
      <c r="D3117" s="15">
        <v>0</v>
      </c>
      <c r="E3117" s="15">
        <v>0</v>
      </c>
      <c r="F3117" s="15">
        <v>0</v>
      </c>
      <c r="G3117" s="15">
        <v>0</v>
      </c>
      <c r="H3117" s="15">
        <v>0</v>
      </c>
    </row>
    <row r="3118" spans="2:8">
      <c r="B3118" s="17" t="s">
        <v>9061</v>
      </c>
      <c r="C3118" s="246" t="s">
        <v>3573</v>
      </c>
      <c r="D3118" s="18">
        <v>0</v>
      </c>
      <c r="E3118" s="18">
        <v>0</v>
      </c>
      <c r="F3118" s="18">
        <v>0</v>
      </c>
      <c r="G3118" s="18">
        <v>0</v>
      </c>
      <c r="H3118" s="18">
        <v>0</v>
      </c>
    </row>
    <row r="3119" spans="2:8">
      <c r="B3119" s="14" t="s">
        <v>9062</v>
      </c>
      <c r="C3119" s="245" t="s">
        <v>3574</v>
      </c>
      <c r="D3119" s="15">
        <v>0</v>
      </c>
      <c r="E3119" s="15">
        <v>0</v>
      </c>
      <c r="F3119" s="15">
        <v>0</v>
      </c>
      <c r="G3119" s="15">
        <v>0</v>
      </c>
      <c r="H3119" s="15">
        <v>0</v>
      </c>
    </row>
    <row r="3120" spans="2:8">
      <c r="B3120" s="17" t="s">
        <v>9063</v>
      </c>
      <c r="C3120" s="246" t="s">
        <v>3575</v>
      </c>
      <c r="D3120" s="18">
        <v>0</v>
      </c>
      <c r="E3120" s="18">
        <v>0</v>
      </c>
      <c r="F3120" s="18">
        <v>0</v>
      </c>
      <c r="G3120" s="18">
        <v>0</v>
      </c>
      <c r="H3120" s="18">
        <v>0</v>
      </c>
    </row>
    <row r="3121" spans="2:8">
      <c r="B3121" s="14" t="s">
        <v>9064</v>
      </c>
      <c r="C3121" s="245" t="s">
        <v>3576</v>
      </c>
      <c r="D3121" s="15">
        <v>0</v>
      </c>
      <c r="E3121" s="15">
        <v>0</v>
      </c>
      <c r="F3121" s="15">
        <v>0</v>
      </c>
      <c r="G3121" s="15">
        <v>0</v>
      </c>
      <c r="H3121" s="15">
        <v>0</v>
      </c>
    </row>
    <row r="3122" spans="2:8">
      <c r="B3122" s="17" t="s">
        <v>9065</v>
      </c>
      <c r="C3122" s="246" t="s">
        <v>3577</v>
      </c>
      <c r="D3122" s="18">
        <v>0</v>
      </c>
      <c r="E3122" s="18">
        <v>0</v>
      </c>
      <c r="F3122" s="18">
        <v>0</v>
      </c>
      <c r="G3122" s="18">
        <v>0</v>
      </c>
      <c r="H3122" s="18">
        <v>0</v>
      </c>
    </row>
    <row r="3123" spans="2:8">
      <c r="B3123" s="14" t="s">
        <v>9066</v>
      </c>
      <c r="C3123" s="245" t="s">
        <v>3578</v>
      </c>
      <c r="D3123" s="15">
        <v>0</v>
      </c>
      <c r="E3123" s="15">
        <v>0</v>
      </c>
      <c r="F3123" s="15">
        <v>0</v>
      </c>
      <c r="G3123" s="15">
        <v>0</v>
      </c>
      <c r="H3123" s="15">
        <v>0</v>
      </c>
    </row>
    <row r="3124" spans="2:8">
      <c r="B3124" s="17" t="s">
        <v>9067</v>
      </c>
      <c r="C3124" s="246" t="s">
        <v>3579</v>
      </c>
      <c r="D3124" s="18">
        <v>0</v>
      </c>
      <c r="E3124" s="18">
        <v>0</v>
      </c>
      <c r="F3124" s="18">
        <v>0</v>
      </c>
      <c r="G3124" s="18">
        <v>0</v>
      </c>
      <c r="H3124" s="18">
        <v>0</v>
      </c>
    </row>
    <row r="3125" spans="2:8">
      <c r="B3125" s="14" t="s">
        <v>9068</v>
      </c>
      <c r="C3125" s="245" t="s">
        <v>3580</v>
      </c>
      <c r="D3125" s="15">
        <v>0</v>
      </c>
      <c r="E3125" s="15">
        <v>0</v>
      </c>
      <c r="F3125" s="15">
        <v>0</v>
      </c>
      <c r="G3125" s="15">
        <v>0</v>
      </c>
      <c r="H3125" s="15">
        <v>0</v>
      </c>
    </row>
    <row r="3126" spans="2:8">
      <c r="B3126" s="17" t="s">
        <v>9069</v>
      </c>
      <c r="C3126" s="246" t="s">
        <v>1894</v>
      </c>
      <c r="D3126" s="18">
        <v>0</v>
      </c>
      <c r="E3126" s="18">
        <v>0</v>
      </c>
      <c r="F3126" s="18">
        <v>0</v>
      </c>
      <c r="G3126" s="18">
        <v>0</v>
      </c>
      <c r="H3126" s="18">
        <v>0</v>
      </c>
    </row>
    <row r="3127" spans="2:8">
      <c r="B3127" s="14" t="s">
        <v>9070</v>
      </c>
      <c r="C3127" s="245" t="s">
        <v>3581</v>
      </c>
      <c r="D3127" s="15">
        <v>0</v>
      </c>
      <c r="E3127" s="15">
        <v>0</v>
      </c>
      <c r="F3127" s="15">
        <v>0</v>
      </c>
      <c r="G3127" s="15">
        <v>0</v>
      </c>
      <c r="H3127" s="15">
        <v>0</v>
      </c>
    </row>
    <row r="3128" spans="2:8">
      <c r="B3128" s="17" t="s">
        <v>9071</v>
      </c>
      <c r="C3128" s="246" t="s">
        <v>3582</v>
      </c>
      <c r="D3128" s="18">
        <v>0</v>
      </c>
      <c r="E3128" s="18">
        <v>1</v>
      </c>
      <c r="F3128" s="18">
        <v>0</v>
      </c>
      <c r="G3128" s="18">
        <v>0</v>
      </c>
      <c r="H3128" s="18">
        <v>0</v>
      </c>
    </row>
    <row r="3129" spans="2:8">
      <c r="B3129" s="14" t="s">
        <v>9072</v>
      </c>
      <c r="C3129" s="245" t="s">
        <v>3583</v>
      </c>
      <c r="D3129" s="15">
        <v>0</v>
      </c>
      <c r="E3129" s="15">
        <v>0</v>
      </c>
      <c r="F3129" s="15">
        <v>0</v>
      </c>
      <c r="G3129" s="15">
        <v>0</v>
      </c>
      <c r="H3129" s="15">
        <v>0</v>
      </c>
    </row>
    <row r="3130" spans="2:8">
      <c r="B3130" s="17" t="s">
        <v>9073</v>
      </c>
      <c r="C3130" s="246" t="s">
        <v>3584</v>
      </c>
      <c r="D3130" s="18">
        <v>0</v>
      </c>
      <c r="E3130" s="18">
        <v>0</v>
      </c>
      <c r="F3130" s="18">
        <v>0</v>
      </c>
      <c r="G3130" s="18">
        <v>182</v>
      </c>
      <c r="H3130" s="18">
        <v>0</v>
      </c>
    </row>
    <row r="3131" spans="2:8">
      <c r="B3131" s="14" t="s">
        <v>9074</v>
      </c>
      <c r="C3131" s="245" t="s">
        <v>3585</v>
      </c>
      <c r="D3131" s="15">
        <v>0</v>
      </c>
      <c r="E3131" s="15">
        <v>0</v>
      </c>
      <c r="F3131" s="15">
        <v>0</v>
      </c>
      <c r="G3131" s="15">
        <v>0</v>
      </c>
      <c r="H3131" s="15">
        <v>0</v>
      </c>
    </row>
    <row r="3132" spans="2:8">
      <c r="B3132" s="17" t="s">
        <v>9075</v>
      </c>
      <c r="C3132" s="246" t="s">
        <v>3586</v>
      </c>
      <c r="D3132" s="18">
        <v>0</v>
      </c>
      <c r="E3132" s="18">
        <v>0</v>
      </c>
      <c r="F3132" s="18">
        <v>0</v>
      </c>
      <c r="G3132" s="18">
        <v>0</v>
      </c>
      <c r="H3132" s="18">
        <v>0</v>
      </c>
    </row>
    <row r="3133" spans="2:8">
      <c r="B3133" s="14" t="s">
        <v>9076</v>
      </c>
      <c r="C3133" s="245" t="s">
        <v>3587</v>
      </c>
      <c r="D3133" s="15">
        <v>0</v>
      </c>
      <c r="E3133" s="15">
        <v>0</v>
      </c>
      <c r="F3133" s="15">
        <v>0</v>
      </c>
      <c r="G3133" s="15">
        <v>0</v>
      </c>
      <c r="H3133" s="15">
        <v>0</v>
      </c>
    </row>
    <row r="3134" spans="2:8">
      <c r="B3134" s="17" t="s">
        <v>9077</v>
      </c>
      <c r="C3134" s="246" t="s">
        <v>3588</v>
      </c>
      <c r="D3134" s="18">
        <v>0</v>
      </c>
      <c r="E3134" s="18">
        <v>1</v>
      </c>
      <c r="F3134" s="18">
        <v>0</v>
      </c>
      <c r="G3134" s="18">
        <v>0</v>
      </c>
      <c r="H3134" s="18">
        <v>0</v>
      </c>
    </row>
    <row r="3135" spans="2:8">
      <c r="B3135" s="14" t="s">
        <v>9078</v>
      </c>
      <c r="C3135" s="245" t="s">
        <v>3589</v>
      </c>
      <c r="D3135" s="15">
        <v>0</v>
      </c>
      <c r="E3135" s="15">
        <v>0</v>
      </c>
      <c r="F3135" s="15">
        <v>0</v>
      </c>
      <c r="G3135" s="15">
        <v>0</v>
      </c>
      <c r="H3135" s="15">
        <v>0</v>
      </c>
    </row>
    <row r="3136" spans="2:8">
      <c r="B3136" s="17" t="s">
        <v>9079</v>
      </c>
      <c r="C3136" s="246" t="s">
        <v>3590</v>
      </c>
      <c r="D3136" s="18">
        <v>0</v>
      </c>
      <c r="E3136" s="18">
        <v>0</v>
      </c>
      <c r="F3136" s="18">
        <v>0</v>
      </c>
      <c r="G3136" s="18">
        <v>0</v>
      </c>
      <c r="H3136" s="18">
        <v>0</v>
      </c>
    </row>
    <row r="3137" spans="2:8">
      <c r="B3137" s="14" t="s">
        <v>9080</v>
      </c>
      <c r="C3137" s="245" t="s">
        <v>3591</v>
      </c>
      <c r="D3137" s="15">
        <v>0</v>
      </c>
      <c r="E3137" s="15">
        <v>0</v>
      </c>
      <c r="F3137" s="15">
        <v>0</v>
      </c>
      <c r="G3137" s="15">
        <v>0</v>
      </c>
      <c r="H3137" s="15">
        <v>0</v>
      </c>
    </row>
    <row r="3138" spans="2:8">
      <c r="B3138" s="17" t="s">
        <v>9081</v>
      </c>
      <c r="C3138" s="246" t="s">
        <v>3592</v>
      </c>
      <c r="D3138" s="18">
        <v>0</v>
      </c>
      <c r="E3138" s="18">
        <v>0</v>
      </c>
      <c r="F3138" s="18">
        <v>0</v>
      </c>
      <c r="G3138" s="18">
        <v>0</v>
      </c>
      <c r="H3138" s="18">
        <v>0</v>
      </c>
    </row>
    <row r="3139" spans="2:8">
      <c r="B3139" s="14" t="s">
        <v>9082</v>
      </c>
      <c r="C3139" s="245" t="s">
        <v>3593</v>
      </c>
      <c r="D3139" s="15">
        <v>0</v>
      </c>
      <c r="E3139" s="15">
        <v>0</v>
      </c>
      <c r="F3139" s="15">
        <v>0</v>
      </c>
      <c r="G3139" s="15">
        <v>0</v>
      </c>
      <c r="H3139" s="15">
        <v>0</v>
      </c>
    </row>
    <row r="3140" spans="2:8">
      <c r="B3140" s="17" t="s">
        <v>9083</v>
      </c>
      <c r="C3140" s="246" t="s">
        <v>3594</v>
      </c>
      <c r="D3140" s="18">
        <v>0</v>
      </c>
      <c r="E3140" s="18">
        <v>0</v>
      </c>
      <c r="F3140" s="18">
        <v>0</v>
      </c>
      <c r="G3140" s="18">
        <v>0</v>
      </c>
      <c r="H3140" s="18">
        <v>0</v>
      </c>
    </row>
    <row r="3141" spans="2:8">
      <c r="B3141" s="14" t="s">
        <v>9084</v>
      </c>
      <c r="C3141" s="245" t="s">
        <v>3595</v>
      </c>
      <c r="D3141" s="15">
        <v>0</v>
      </c>
      <c r="E3141" s="15">
        <v>0</v>
      </c>
      <c r="F3141" s="15">
        <v>0</v>
      </c>
      <c r="G3141" s="15">
        <v>0</v>
      </c>
      <c r="H3141" s="15">
        <v>0</v>
      </c>
    </row>
    <row r="3142" spans="2:8">
      <c r="B3142" s="17" t="s">
        <v>9085</v>
      </c>
      <c r="C3142" s="246" t="s">
        <v>3596</v>
      </c>
      <c r="D3142" s="18">
        <v>0</v>
      </c>
      <c r="E3142" s="18">
        <v>0</v>
      </c>
      <c r="F3142" s="18">
        <v>0</v>
      </c>
      <c r="G3142" s="18">
        <v>0</v>
      </c>
      <c r="H3142" s="18">
        <v>0</v>
      </c>
    </row>
    <row r="3143" spans="2:8">
      <c r="B3143" s="14" t="s">
        <v>9086</v>
      </c>
      <c r="C3143" s="245" t="s">
        <v>3597</v>
      </c>
      <c r="D3143" s="15">
        <v>0</v>
      </c>
      <c r="E3143" s="15">
        <v>0</v>
      </c>
      <c r="F3143" s="15">
        <v>0</v>
      </c>
      <c r="G3143" s="15">
        <v>0</v>
      </c>
      <c r="H3143" s="15">
        <v>0</v>
      </c>
    </row>
    <row r="3144" spans="2:8">
      <c r="B3144" s="17" t="s">
        <v>9087</v>
      </c>
      <c r="C3144" s="246" t="s">
        <v>3598</v>
      </c>
      <c r="D3144" s="18">
        <v>0</v>
      </c>
      <c r="E3144" s="18">
        <v>0</v>
      </c>
      <c r="F3144" s="18">
        <v>0</v>
      </c>
      <c r="G3144" s="18">
        <v>0</v>
      </c>
      <c r="H3144" s="18">
        <v>0</v>
      </c>
    </row>
    <row r="3145" spans="2:8">
      <c r="B3145" s="14" t="s">
        <v>9088</v>
      </c>
      <c r="C3145" s="245" t="s">
        <v>3599</v>
      </c>
      <c r="D3145" s="15">
        <v>0</v>
      </c>
      <c r="E3145" s="15">
        <v>0</v>
      </c>
      <c r="F3145" s="15">
        <v>0</v>
      </c>
      <c r="G3145" s="15">
        <v>0</v>
      </c>
      <c r="H3145" s="15">
        <v>0</v>
      </c>
    </row>
    <row r="3146" spans="2:8">
      <c r="B3146" s="17" t="s">
        <v>9089</v>
      </c>
      <c r="C3146" s="246" t="s">
        <v>3600</v>
      </c>
      <c r="D3146" s="18">
        <v>0</v>
      </c>
      <c r="E3146" s="18">
        <v>0</v>
      </c>
      <c r="F3146" s="18">
        <v>0</v>
      </c>
      <c r="G3146" s="18">
        <v>0</v>
      </c>
      <c r="H3146" s="18">
        <v>0</v>
      </c>
    </row>
    <row r="3147" spans="2:8">
      <c r="B3147" s="14" t="s">
        <v>9090</v>
      </c>
      <c r="C3147" s="245" t="s">
        <v>3601</v>
      </c>
      <c r="D3147" s="15">
        <v>0</v>
      </c>
      <c r="E3147" s="15">
        <v>0</v>
      </c>
      <c r="F3147" s="15">
        <v>0</v>
      </c>
      <c r="G3147" s="15">
        <v>0</v>
      </c>
      <c r="H3147" s="15">
        <v>0</v>
      </c>
    </row>
    <row r="3148" spans="2:8">
      <c r="B3148" s="17" t="s">
        <v>9091</v>
      </c>
      <c r="C3148" s="246" t="s">
        <v>3602</v>
      </c>
      <c r="D3148" s="18">
        <v>0</v>
      </c>
      <c r="E3148" s="18">
        <v>0</v>
      </c>
      <c r="F3148" s="18">
        <v>0</v>
      </c>
      <c r="G3148" s="18">
        <v>0</v>
      </c>
      <c r="H3148" s="18">
        <v>0</v>
      </c>
    </row>
    <row r="3149" spans="2:8">
      <c r="B3149" s="14" t="s">
        <v>9092</v>
      </c>
      <c r="C3149" s="245" t="s">
        <v>3603</v>
      </c>
      <c r="D3149" s="15">
        <v>0</v>
      </c>
      <c r="E3149" s="15">
        <v>0</v>
      </c>
      <c r="F3149" s="15">
        <v>0</v>
      </c>
      <c r="G3149" s="15">
        <v>0</v>
      </c>
      <c r="H3149" s="15">
        <v>0</v>
      </c>
    </row>
    <row r="3150" spans="2:8">
      <c r="B3150" s="17" t="s">
        <v>9093</v>
      </c>
      <c r="C3150" s="246" t="s">
        <v>3604</v>
      </c>
      <c r="D3150" s="18">
        <v>0</v>
      </c>
      <c r="E3150" s="18">
        <v>0</v>
      </c>
      <c r="F3150" s="18">
        <v>0</v>
      </c>
      <c r="G3150" s="18">
        <v>0</v>
      </c>
      <c r="H3150" s="18">
        <v>0</v>
      </c>
    </row>
    <row r="3151" spans="2:8">
      <c r="B3151" s="14" t="s">
        <v>9094</v>
      </c>
      <c r="C3151" s="245" t="s">
        <v>3605</v>
      </c>
      <c r="D3151" s="15">
        <v>0</v>
      </c>
      <c r="E3151" s="15">
        <v>0</v>
      </c>
      <c r="F3151" s="15">
        <v>0</v>
      </c>
      <c r="G3151" s="15">
        <v>0</v>
      </c>
      <c r="H3151" s="15">
        <v>0</v>
      </c>
    </row>
    <row r="3152" spans="2:8">
      <c r="B3152" s="17" t="s">
        <v>9095</v>
      </c>
      <c r="C3152" s="246" t="s">
        <v>3606</v>
      </c>
      <c r="D3152" s="18">
        <v>0</v>
      </c>
      <c r="E3152" s="18">
        <v>0</v>
      </c>
      <c r="F3152" s="18">
        <v>0</v>
      </c>
      <c r="G3152" s="18">
        <v>0</v>
      </c>
      <c r="H3152" s="18">
        <v>0</v>
      </c>
    </row>
    <row r="3153" spans="2:8">
      <c r="B3153" s="14" t="s">
        <v>9096</v>
      </c>
      <c r="C3153" s="245" t="s">
        <v>3607</v>
      </c>
      <c r="D3153" s="15">
        <v>0</v>
      </c>
      <c r="E3153" s="15">
        <v>0</v>
      </c>
      <c r="F3153" s="15">
        <v>0</v>
      </c>
      <c r="G3153" s="15">
        <v>0</v>
      </c>
      <c r="H3153" s="15">
        <v>0</v>
      </c>
    </row>
    <row r="3154" spans="2:8">
      <c r="B3154" s="17" t="s">
        <v>9097</v>
      </c>
      <c r="C3154" s="246" t="s">
        <v>3608</v>
      </c>
      <c r="D3154" s="18">
        <v>0</v>
      </c>
      <c r="E3154" s="18">
        <v>0</v>
      </c>
      <c r="F3154" s="18">
        <v>0</v>
      </c>
      <c r="G3154" s="18">
        <v>0</v>
      </c>
      <c r="H3154" s="18">
        <v>0</v>
      </c>
    </row>
    <row r="3155" spans="2:8">
      <c r="B3155" s="14" t="s">
        <v>9098</v>
      </c>
      <c r="C3155" s="245" t="s">
        <v>3609</v>
      </c>
      <c r="D3155" s="15">
        <v>0</v>
      </c>
      <c r="E3155" s="15">
        <v>0</v>
      </c>
      <c r="F3155" s="15">
        <v>0</v>
      </c>
      <c r="G3155" s="15">
        <v>0</v>
      </c>
      <c r="H3155" s="15">
        <v>0</v>
      </c>
    </row>
    <row r="3156" spans="2:8">
      <c r="B3156" s="17" t="s">
        <v>9099</v>
      </c>
      <c r="C3156" s="246" t="s">
        <v>3610</v>
      </c>
      <c r="D3156" s="18">
        <v>0</v>
      </c>
      <c r="E3156" s="18">
        <v>0</v>
      </c>
      <c r="F3156" s="18">
        <v>0</v>
      </c>
      <c r="G3156" s="18">
        <v>0</v>
      </c>
      <c r="H3156" s="18">
        <v>0</v>
      </c>
    </row>
    <row r="3157" spans="2:8">
      <c r="B3157" s="14" t="s">
        <v>9100</v>
      </c>
      <c r="C3157" s="245" t="s">
        <v>3611</v>
      </c>
      <c r="D3157" s="15">
        <v>0</v>
      </c>
      <c r="E3157" s="15">
        <v>0</v>
      </c>
      <c r="F3157" s="15">
        <v>0</v>
      </c>
      <c r="G3157" s="15">
        <v>0</v>
      </c>
      <c r="H3157" s="15">
        <v>0</v>
      </c>
    </row>
    <row r="3158" spans="2:8">
      <c r="B3158" s="17" t="s">
        <v>9101</v>
      </c>
      <c r="C3158" s="246" t="s">
        <v>3612</v>
      </c>
      <c r="D3158" s="18">
        <v>0</v>
      </c>
      <c r="E3158" s="18">
        <v>0</v>
      </c>
      <c r="F3158" s="18">
        <v>0</v>
      </c>
      <c r="G3158" s="18">
        <v>0</v>
      </c>
      <c r="H3158" s="18">
        <v>0</v>
      </c>
    </row>
    <row r="3159" spans="2:8">
      <c r="B3159" s="14" t="s">
        <v>9102</v>
      </c>
      <c r="C3159" s="245" t="s">
        <v>3613</v>
      </c>
      <c r="D3159" s="15">
        <v>0</v>
      </c>
      <c r="E3159" s="15">
        <v>0</v>
      </c>
      <c r="F3159" s="15">
        <v>0</v>
      </c>
      <c r="G3159" s="15">
        <v>0</v>
      </c>
      <c r="H3159" s="15">
        <v>0</v>
      </c>
    </row>
    <row r="3160" spans="2:8">
      <c r="B3160" s="17" t="s">
        <v>9103</v>
      </c>
      <c r="C3160" s="246" t="s">
        <v>3614</v>
      </c>
      <c r="D3160" s="18">
        <v>0</v>
      </c>
      <c r="E3160" s="18">
        <v>0</v>
      </c>
      <c r="F3160" s="18">
        <v>0</v>
      </c>
      <c r="G3160" s="18">
        <v>0</v>
      </c>
      <c r="H3160" s="18">
        <v>0</v>
      </c>
    </row>
    <row r="3161" spans="2:8">
      <c r="B3161" s="14" t="s">
        <v>9104</v>
      </c>
      <c r="C3161" s="245" t="s">
        <v>3615</v>
      </c>
      <c r="D3161" s="15">
        <v>0</v>
      </c>
      <c r="E3161" s="15">
        <v>0</v>
      </c>
      <c r="F3161" s="15">
        <v>0</v>
      </c>
      <c r="G3161" s="15">
        <v>0</v>
      </c>
      <c r="H3161" s="15">
        <v>0</v>
      </c>
    </row>
    <row r="3162" spans="2:8">
      <c r="B3162" s="17" t="s">
        <v>9105</v>
      </c>
      <c r="C3162" s="246" t="s">
        <v>3616</v>
      </c>
      <c r="D3162" s="18">
        <v>0</v>
      </c>
      <c r="E3162" s="18">
        <v>0</v>
      </c>
      <c r="F3162" s="18">
        <v>0</v>
      </c>
      <c r="G3162" s="18">
        <v>0</v>
      </c>
      <c r="H3162" s="18">
        <v>0</v>
      </c>
    </row>
    <row r="3163" spans="2:8">
      <c r="B3163" s="14" t="s">
        <v>9106</v>
      </c>
      <c r="C3163" s="245" t="s">
        <v>3617</v>
      </c>
      <c r="D3163" s="15">
        <v>0</v>
      </c>
      <c r="E3163" s="15">
        <v>0</v>
      </c>
      <c r="F3163" s="15">
        <v>0</v>
      </c>
      <c r="G3163" s="15">
        <v>0</v>
      </c>
      <c r="H3163" s="15">
        <v>0</v>
      </c>
    </row>
    <row r="3164" spans="2:8">
      <c r="B3164" s="17" t="s">
        <v>9107</v>
      </c>
      <c r="C3164" s="246" t="s">
        <v>3618</v>
      </c>
      <c r="D3164" s="18">
        <v>0</v>
      </c>
      <c r="E3164" s="18">
        <v>0</v>
      </c>
      <c r="F3164" s="18">
        <v>0</v>
      </c>
      <c r="G3164" s="18">
        <v>0</v>
      </c>
      <c r="H3164" s="18">
        <v>0</v>
      </c>
    </row>
    <row r="3165" spans="2:8">
      <c r="B3165" s="14" t="s">
        <v>9108</v>
      </c>
      <c r="C3165" s="245" t="s">
        <v>3619</v>
      </c>
      <c r="D3165" s="15">
        <v>0</v>
      </c>
      <c r="E3165" s="15">
        <v>0</v>
      </c>
      <c r="F3165" s="15">
        <v>0</v>
      </c>
      <c r="G3165" s="15">
        <v>0</v>
      </c>
      <c r="H3165" s="15">
        <v>0</v>
      </c>
    </row>
    <row r="3166" spans="2:8">
      <c r="B3166" s="17" t="s">
        <v>9109</v>
      </c>
      <c r="C3166" s="246" t="s">
        <v>3620</v>
      </c>
      <c r="D3166" s="18">
        <v>0</v>
      </c>
      <c r="E3166" s="18">
        <v>0</v>
      </c>
      <c r="F3166" s="18">
        <v>0</v>
      </c>
      <c r="G3166" s="18">
        <v>0</v>
      </c>
      <c r="H3166" s="18">
        <v>0</v>
      </c>
    </row>
    <row r="3167" spans="2:8">
      <c r="B3167" s="14" t="s">
        <v>9110</v>
      </c>
      <c r="C3167" s="245" t="s">
        <v>3621</v>
      </c>
      <c r="D3167" s="15">
        <v>0</v>
      </c>
      <c r="E3167" s="15">
        <v>0</v>
      </c>
      <c r="F3167" s="15">
        <v>0</v>
      </c>
      <c r="G3167" s="15">
        <v>0</v>
      </c>
      <c r="H3167" s="15">
        <v>0</v>
      </c>
    </row>
    <row r="3168" spans="2:8">
      <c r="B3168" s="17" t="s">
        <v>9111</v>
      </c>
      <c r="C3168" s="246" t="s">
        <v>3622</v>
      </c>
      <c r="D3168" s="18">
        <v>0</v>
      </c>
      <c r="E3168" s="18">
        <v>0</v>
      </c>
      <c r="F3168" s="18">
        <v>0</v>
      </c>
      <c r="G3168" s="18">
        <v>0</v>
      </c>
      <c r="H3168" s="18">
        <v>0</v>
      </c>
    </row>
    <row r="3169" spans="2:8">
      <c r="B3169" s="14" t="s">
        <v>9112</v>
      </c>
      <c r="C3169" s="245" t="s">
        <v>3623</v>
      </c>
      <c r="D3169" s="15">
        <v>0</v>
      </c>
      <c r="E3169" s="15">
        <v>0</v>
      </c>
      <c r="F3169" s="15">
        <v>0</v>
      </c>
      <c r="G3169" s="15">
        <v>0</v>
      </c>
      <c r="H3169" s="15">
        <v>0</v>
      </c>
    </row>
    <row r="3170" spans="2:8">
      <c r="B3170" s="17" t="s">
        <v>9113</v>
      </c>
      <c r="C3170" s="246" t="s">
        <v>3624</v>
      </c>
      <c r="D3170" s="18">
        <v>0</v>
      </c>
      <c r="E3170" s="18">
        <v>0</v>
      </c>
      <c r="F3170" s="18">
        <v>0</v>
      </c>
      <c r="G3170" s="18">
        <v>0</v>
      </c>
      <c r="H3170" s="18">
        <v>0</v>
      </c>
    </row>
    <row r="3171" spans="2:8">
      <c r="B3171" s="14" t="s">
        <v>9114</v>
      </c>
      <c r="C3171" s="245" t="s">
        <v>3625</v>
      </c>
      <c r="D3171" s="15">
        <v>0</v>
      </c>
      <c r="E3171" s="15">
        <v>0</v>
      </c>
      <c r="F3171" s="15">
        <v>0</v>
      </c>
      <c r="G3171" s="15">
        <v>0</v>
      </c>
      <c r="H3171" s="15">
        <v>0</v>
      </c>
    </row>
    <row r="3172" spans="2:8">
      <c r="B3172" s="17" t="s">
        <v>9115</v>
      </c>
      <c r="C3172" s="246" t="s">
        <v>3626</v>
      </c>
      <c r="D3172" s="18">
        <v>0</v>
      </c>
      <c r="E3172" s="18">
        <v>0</v>
      </c>
      <c r="F3172" s="18">
        <v>0</v>
      </c>
      <c r="G3172" s="18">
        <v>0</v>
      </c>
      <c r="H3172" s="18">
        <v>0</v>
      </c>
    </row>
    <row r="3173" spans="2:8">
      <c r="B3173" s="14" t="s">
        <v>9116</v>
      </c>
      <c r="C3173" s="245" t="s">
        <v>3627</v>
      </c>
      <c r="D3173" s="15">
        <v>0</v>
      </c>
      <c r="E3173" s="15">
        <v>0</v>
      </c>
      <c r="F3173" s="15">
        <v>0</v>
      </c>
      <c r="G3173" s="15">
        <v>0</v>
      </c>
      <c r="H3173" s="15">
        <v>0</v>
      </c>
    </row>
    <row r="3174" spans="2:8">
      <c r="B3174" s="17" t="s">
        <v>9117</v>
      </c>
      <c r="C3174" s="246" t="s">
        <v>3628</v>
      </c>
      <c r="D3174" s="18">
        <v>0</v>
      </c>
      <c r="E3174" s="18">
        <v>0</v>
      </c>
      <c r="F3174" s="18">
        <v>0</v>
      </c>
      <c r="G3174" s="18">
        <v>0</v>
      </c>
      <c r="H3174" s="18">
        <v>0</v>
      </c>
    </row>
    <row r="3175" spans="2:8">
      <c r="B3175" s="14" t="s">
        <v>9118</v>
      </c>
      <c r="C3175" s="245" t="s">
        <v>3629</v>
      </c>
      <c r="D3175" s="15">
        <v>0</v>
      </c>
      <c r="E3175" s="15">
        <v>0</v>
      </c>
      <c r="F3175" s="15">
        <v>0</v>
      </c>
      <c r="G3175" s="15">
        <v>0</v>
      </c>
      <c r="H3175" s="15">
        <v>0</v>
      </c>
    </row>
    <row r="3176" spans="2:8">
      <c r="B3176" s="17" t="s">
        <v>9119</v>
      </c>
      <c r="C3176" s="246" t="s">
        <v>3630</v>
      </c>
      <c r="D3176" s="18">
        <v>0</v>
      </c>
      <c r="E3176" s="18">
        <v>0</v>
      </c>
      <c r="F3176" s="18">
        <v>0</v>
      </c>
      <c r="G3176" s="18">
        <v>0</v>
      </c>
      <c r="H3176" s="18">
        <v>0</v>
      </c>
    </row>
    <row r="3177" spans="2:8">
      <c r="B3177" s="14" t="s">
        <v>9120</v>
      </c>
      <c r="C3177" s="245" t="s">
        <v>3631</v>
      </c>
      <c r="D3177" s="15">
        <v>0</v>
      </c>
      <c r="E3177" s="15">
        <v>0</v>
      </c>
      <c r="F3177" s="15">
        <v>0</v>
      </c>
      <c r="G3177" s="15">
        <v>0</v>
      </c>
      <c r="H3177" s="15">
        <v>0</v>
      </c>
    </row>
    <row r="3178" spans="2:8">
      <c r="B3178" s="17" t="s">
        <v>9121</v>
      </c>
      <c r="C3178" s="246" t="s">
        <v>3632</v>
      </c>
      <c r="D3178" s="18">
        <v>0</v>
      </c>
      <c r="E3178" s="18">
        <v>0</v>
      </c>
      <c r="F3178" s="18">
        <v>0</v>
      </c>
      <c r="G3178" s="18">
        <v>0</v>
      </c>
      <c r="H3178" s="18">
        <v>0</v>
      </c>
    </row>
    <row r="3179" spans="2:8">
      <c r="B3179" s="14" t="s">
        <v>9122</v>
      </c>
      <c r="C3179" s="245" t="s">
        <v>3633</v>
      </c>
      <c r="D3179" s="15">
        <v>0</v>
      </c>
      <c r="E3179" s="15">
        <v>0</v>
      </c>
      <c r="F3179" s="15">
        <v>0</v>
      </c>
      <c r="G3179" s="15">
        <v>0</v>
      </c>
      <c r="H3179" s="15">
        <v>0</v>
      </c>
    </row>
    <row r="3180" spans="2:8">
      <c r="B3180" s="17" t="s">
        <v>9123</v>
      </c>
      <c r="C3180" s="246" t="s">
        <v>3634</v>
      </c>
      <c r="D3180" s="18">
        <v>0</v>
      </c>
      <c r="E3180" s="18">
        <v>0</v>
      </c>
      <c r="F3180" s="18">
        <v>0</v>
      </c>
      <c r="G3180" s="18">
        <v>0</v>
      </c>
      <c r="H3180" s="18">
        <v>0</v>
      </c>
    </row>
    <row r="3181" spans="2:8">
      <c r="B3181" s="14" t="s">
        <v>9124</v>
      </c>
      <c r="C3181" s="245" t="s">
        <v>3635</v>
      </c>
      <c r="D3181" s="15">
        <v>0</v>
      </c>
      <c r="E3181" s="15">
        <v>0</v>
      </c>
      <c r="F3181" s="15">
        <v>0</v>
      </c>
      <c r="G3181" s="15">
        <v>0</v>
      </c>
      <c r="H3181" s="15">
        <v>0</v>
      </c>
    </row>
    <row r="3182" spans="2:8">
      <c r="B3182" s="17" t="s">
        <v>9125</v>
      </c>
      <c r="C3182" s="246" t="s">
        <v>3636</v>
      </c>
      <c r="D3182" s="18">
        <v>0</v>
      </c>
      <c r="E3182" s="18">
        <v>0</v>
      </c>
      <c r="F3182" s="18">
        <v>0</v>
      </c>
      <c r="G3182" s="18">
        <v>0</v>
      </c>
      <c r="H3182" s="18">
        <v>0</v>
      </c>
    </row>
    <row r="3183" spans="2:8">
      <c r="B3183" s="14" t="s">
        <v>9126</v>
      </c>
      <c r="C3183" s="245" t="s">
        <v>3637</v>
      </c>
      <c r="D3183" s="15">
        <v>0</v>
      </c>
      <c r="E3183" s="15">
        <v>0</v>
      </c>
      <c r="F3183" s="15">
        <v>0</v>
      </c>
      <c r="G3183" s="15">
        <v>0</v>
      </c>
      <c r="H3183" s="15">
        <v>0</v>
      </c>
    </row>
    <row r="3184" spans="2:8">
      <c r="B3184" s="17" t="s">
        <v>9127</v>
      </c>
      <c r="C3184" s="246" t="s">
        <v>3638</v>
      </c>
      <c r="D3184" s="18">
        <v>0</v>
      </c>
      <c r="E3184" s="18">
        <v>0</v>
      </c>
      <c r="F3184" s="18">
        <v>0</v>
      </c>
      <c r="G3184" s="18">
        <v>0</v>
      </c>
      <c r="H3184" s="18">
        <v>0</v>
      </c>
    </row>
    <row r="3185" spans="2:8">
      <c r="B3185" s="14" t="s">
        <v>9128</v>
      </c>
      <c r="C3185" s="245" t="s">
        <v>3639</v>
      </c>
      <c r="D3185" s="15">
        <v>0</v>
      </c>
      <c r="E3185" s="15">
        <v>0</v>
      </c>
      <c r="F3185" s="15">
        <v>0</v>
      </c>
      <c r="G3185" s="15">
        <v>0</v>
      </c>
      <c r="H3185" s="15">
        <v>0</v>
      </c>
    </row>
    <row r="3186" spans="2:8">
      <c r="B3186" s="17" t="s">
        <v>9129</v>
      </c>
      <c r="C3186" s="246" t="s">
        <v>3640</v>
      </c>
      <c r="D3186" s="18">
        <v>7</v>
      </c>
      <c r="E3186" s="18">
        <v>0</v>
      </c>
      <c r="F3186" s="18">
        <v>0</v>
      </c>
      <c r="G3186" s="18">
        <v>0</v>
      </c>
      <c r="H3186" s="18">
        <v>0</v>
      </c>
    </row>
    <row r="3187" spans="2:8">
      <c r="B3187" s="14" t="s">
        <v>9130</v>
      </c>
      <c r="C3187" s="245" t="s">
        <v>3641</v>
      </c>
      <c r="D3187" s="15">
        <v>0</v>
      </c>
      <c r="E3187" s="15">
        <v>0</v>
      </c>
      <c r="F3187" s="15">
        <v>0</v>
      </c>
      <c r="G3187" s="15">
        <v>0</v>
      </c>
      <c r="H3187" s="15">
        <v>0</v>
      </c>
    </row>
    <row r="3188" spans="2:8">
      <c r="B3188" s="17" t="s">
        <v>9131</v>
      </c>
      <c r="C3188" s="246" t="s">
        <v>3642</v>
      </c>
      <c r="D3188" s="18">
        <v>0</v>
      </c>
      <c r="E3188" s="18">
        <v>0</v>
      </c>
      <c r="F3188" s="18">
        <v>0</v>
      </c>
      <c r="G3188" s="18">
        <v>0</v>
      </c>
      <c r="H3188" s="18">
        <v>0</v>
      </c>
    </row>
    <row r="3189" spans="2:8">
      <c r="B3189" s="14" t="s">
        <v>9132</v>
      </c>
      <c r="C3189" s="245" t="s">
        <v>3643</v>
      </c>
      <c r="D3189" s="15">
        <v>0</v>
      </c>
      <c r="E3189" s="15">
        <v>0</v>
      </c>
      <c r="F3189" s="15">
        <v>0</v>
      </c>
      <c r="G3189" s="15">
        <v>0</v>
      </c>
      <c r="H3189" s="15">
        <v>0</v>
      </c>
    </row>
    <row r="3190" spans="2:8">
      <c r="B3190" s="17" t="s">
        <v>9133</v>
      </c>
      <c r="C3190" s="246" t="s">
        <v>3644</v>
      </c>
      <c r="D3190" s="18">
        <v>0</v>
      </c>
      <c r="E3190" s="18">
        <v>0</v>
      </c>
      <c r="F3190" s="18">
        <v>0</v>
      </c>
      <c r="G3190" s="18">
        <v>0</v>
      </c>
      <c r="H3190" s="18">
        <v>0</v>
      </c>
    </row>
    <row r="3191" spans="2:8">
      <c r="B3191" s="14" t="s">
        <v>9134</v>
      </c>
      <c r="C3191" s="245" t="s">
        <v>3645</v>
      </c>
      <c r="D3191" s="15">
        <v>0</v>
      </c>
      <c r="E3191" s="15">
        <v>0</v>
      </c>
      <c r="F3191" s="15">
        <v>0</v>
      </c>
      <c r="G3191" s="15">
        <v>0</v>
      </c>
      <c r="H3191" s="15">
        <v>0</v>
      </c>
    </row>
    <row r="3192" spans="2:8">
      <c r="B3192" s="17" t="s">
        <v>9135</v>
      </c>
      <c r="C3192" s="246" t="s">
        <v>3646</v>
      </c>
      <c r="D3192" s="18">
        <v>23</v>
      </c>
      <c r="E3192" s="18">
        <v>0</v>
      </c>
      <c r="F3192" s="18">
        <v>0</v>
      </c>
      <c r="G3192" s="18">
        <v>0</v>
      </c>
      <c r="H3192" s="18">
        <v>0</v>
      </c>
    </row>
    <row r="3193" spans="2:8">
      <c r="B3193" s="14" t="s">
        <v>9136</v>
      </c>
      <c r="C3193" s="245" t="s">
        <v>3647</v>
      </c>
      <c r="D3193" s="15">
        <v>0</v>
      </c>
      <c r="E3193" s="15">
        <v>0</v>
      </c>
      <c r="F3193" s="15">
        <v>0</v>
      </c>
      <c r="G3193" s="15">
        <v>0</v>
      </c>
      <c r="H3193" s="15">
        <v>0</v>
      </c>
    </row>
    <row r="3194" spans="2:8">
      <c r="B3194" s="17" t="s">
        <v>9137</v>
      </c>
      <c r="C3194" s="246" t="s">
        <v>3648</v>
      </c>
      <c r="D3194" s="18">
        <v>0</v>
      </c>
      <c r="E3194" s="18">
        <v>0</v>
      </c>
      <c r="F3194" s="18">
        <v>0</v>
      </c>
      <c r="G3194" s="18">
        <v>0</v>
      </c>
      <c r="H3194" s="18">
        <v>0</v>
      </c>
    </row>
    <row r="3195" spans="2:8">
      <c r="B3195" s="14" t="s">
        <v>9138</v>
      </c>
      <c r="C3195" s="245" t="s">
        <v>2459</v>
      </c>
      <c r="D3195" s="15">
        <v>0</v>
      </c>
      <c r="E3195" s="15">
        <v>0</v>
      </c>
      <c r="F3195" s="15">
        <v>0</v>
      </c>
      <c r="G3195" s="15">
        <v>0</v>
      </c>
      <c r="H3195" s="15">
        <v>0</v>
      </c>
    </row>
    <row r="3196" spans="2:8">
      <c r="B3196" s="17" t="s">
        <v>9139</v>
      </c>
      <c r="C3196" s="246" t="s">
        <v>3649</v>
      </c>
      <c r="D3196" s="18">
        <v>0</v>
      </c>
      <c r="E3196" s="18">
        <v>0</v>
      </c>
      <c r="F3196" s="18">
        <v>0</v>
      </c>
      <c r="G3196" s="18">
        <v>0</v>
      </c>
      <c r="H3196" s="18">
        <v>0</v>
      </c>
    </row>
    <row r="3197" spans="2:8">
      <c r="B3197" s="14" t="s">
        <v>9140</v>
      </c>
      <c r="C3197" s="245" t="s">
        <v>3650</v>
      </c>
      <c r="D3197" s="15">
        <v>0</v>
      </c>
      <c r="E3197" s="15">
        <v>0</v>
      </c>
      <c r="F3197" s="15">
        <v>0</v>
      </c>
      <c r="G3197" s="15">
        <v>0</v>
      </c>
      <c r="H3197" s="15">
        <v>0</v>
      </c>
    </row>
    <row r="3198" spans="2:8">
      <c r="B3198" s="17" t="s">
        <v>9141</v>
      </c>
      <c r="C3198" s="246" t="s">
        <v>3651</v>
      </c>
      <c r="D3198" s="18">
        <v>0</v>
      </c>
      <c r="E3198" s="18">
        <v>0</v>
      </c>
      <c r="F3198" s="18">
        <v>0</v>
      </c>
      <c r="G3198" s="18">
        <v>0</v>
      </c>
      <c r="H3198" s="18">
        <v>0</v>
      </c>
    </row>
    <row r="3199" spans="2:8">
      <c r="B3199" s="14" t="s">
        <v>9142</v>
      </c>
      <c r="C3199" s="245" t="s">
        <v>3652</v>
      </c>
      <c r="D3199" s="15">
        <v>0</v>
      </c>
      <c r="E3199" s="15">
        <v>0</v>
      </c>
      <c r="F3199" s="15">
        <v>0</v>
      </c>
      <c r="G3199" s="15">
        <v>0</v>
      </c>
      <c r="H3199" s="15">
        <v>0</v>
      </c>
    </row>
    <row r="3200" spans="2:8">
      <c r="B3200" s="17" t="s">
        <v>9143</v>
      </c>
      <c r="C3200" s="246" t="s">
        <v>3653</v>
      </c>
      <c r="D3200" s="18">
        <v>0</v>
      </c>
      <c r="E3200" s="18">
        <v>0</v>
      </c>
      <c r="F3200" s="18">
        <v>0</v>
      </c>
      <c r="G3200" s="18">
        <v>0</v>
      </c>
      <c r="H3200" s="18">
        <v>0</v>
      </c>
    </row>
    <row r="3201" spans="2:8">
      <c r="B3201" s="14" t="s">
        <v>9144</v>
      </c>
      <c r="C3201" s="245" t="s">
        <v>3654</v>
      </c>
      <c r="D3201" s="15">
        <v>0</v>
      </c>
      <c r="E3201" s="15">
        <v>0</v>
      </c>
      <c r="F3201" s="15">
        <v>0</v>
      </c>
      <c r="G3201" s="15">
        <v>0</v>
      </c>
      <c r="H3201" s="15">
        <v>0</v>
      </c>
    </row>
    <row r="3202" spans="2:8">
      <c r="B3202" s="17" t="s">
        <v>9145</v>
      </c>
      <c r="C3202" s="246" t="s">
        <v>3655</v>
      </c>
      <c r="D3202" s="18">
        <v>0</v>
      </c>
      <c r="E3202" s="18">
        <v>0</v>
      </c>
      <c r="F3202" s="18">
        <v>0</v>
      </c>
      <c r="G3202" s="18">
        <v>0</v>
      </c>
      <c r="H3202" s="18">
        <v>0</v>
      </c>
    </row>
    <row r="3203" spans="2:8">
      <c r="B3203" s="14" t="s">
        <v>9146</v>
      </c>
      <c r="C3203" s="245" t="s">
        <v>3656</v>
      </c>
      <c r="D3203" s="15">
        <v>0</v>
      </c>
      <c r="E3203" s="15">
        <v>0</v>
      </c>
      <c r="F3203" s="15">
        <v>0</v>
      </c>
      <c r="G3203" s="15">
        <v>0</v>
      </c>
      <c r="H3203" s="15">
        <v>0</v>
      </c>
    </row>
    <row r="3204" spans="2:8">
      <c r="B3204" s="17" t="s">
        <v>9147</v>
      </c>
      <c r="C3204" s="246" t="s">
        <v>3657</v>
      </c>
      <c r="D3204" s="18">
        <v>0</v>
      </c>
      <c r="E3204" s="18">
        <v>0</v>
      </c>
      <c r="F3204" s="18">
        <v>0</v>
      </c>
      <c r="G3204" s="18">
        <v>0</v>
      </c>
      <c r="H3204" s="18">
        <v>0</v>
      </c>
    </row>
    <row r="3205" spans="2:8">
      <c r="B3205" s="14" t="s">
        <v>9148</v>
      </c>
      <c r="C3205" s="245" t="s">
        <v>3658</v>
      </c>
      <c r="D3205" s="15">
        <v>0</v>
      </c>
      <c r="E3205" s="15">
        <v>0</v>
      </c>
      <c r="F3205" s="15">
        <v>0</v>
      </c>
      <c r="G3205" s="15">
        <v>0</v>
      </c>
      <c r="H3205" s="15">
        <v>0</v>
      </c>
    </row>
    <row r="3206" spans="2:8">
      <c r="B3206" s="17" t="s">
        <v>9149</v>
      </c>
      <c r="C3206" s="246" t="s">
        <v>3659</v>
      </c>
      <c r="D3206" s="18">
        <v>0</v>
      </c>
      <c r="E3206" s="18">
        <v>0</v>
      </c>
      <c r="F3206" s="18">
        <v>0</v>
      </c>
      <c r="G3206" s="18">
        <v>0</v>
      </c>
      <c r="H3206" s="18">
        <v>0</v>
      </c>
    </row>
    <row r="3207" spans="2:8">
      <c r="B3207" s="14" t="s">
        <v>9150</v>
      </c>
      <c r="C3207" s="245" t="s">
        <v>3660</v>
      </c>
      <c r="D3207" s="15">
        <v>0</v>
      </c>
      <c r="E3207" s="15">
        <v>0</v>
      </c>
      <c r="F3207" s="15">
        <v>0</v>
      </c>
      <c r="G3207" s="15">
        <v>0</v>
      </c>
      <c r="H3207" s="15">
        <v>0</v>
      </c>
    </row>
    <row r="3208" spans="2:8">
      <c r="B3208" s="17" t="s">
        <v>9151</v>
      </c>
      <c r="C3208" s="246" t="s">
        <v>3661</v>
      </c>
      <c r="D3208" s="18">
        <v>0</v>
      </c>
      <c r="E3208" s="18">
        <v>0</v>
      </c>
      <c r="F3208" s="18">
        <v>0</v>
      </c>
      <c r="G3208" s="18">
        <v>0</v>
      </c>
      <c r="H3208" s="18">
        <v>0</v>
      </c>
    </row>
    <row r="3209" spans="2:8">
      <c r="B3209" s="14" t="s">
        <v>9152</v>
      </c>
      <c r="C3209" s="245" t="s">
        <v>3662</v>
      </c>
      <c r="D3209" s="15">
        <v>0</v>
      </c>
      <c r="E3209" s="15">
        <v>0</v>
      </c>
      <c r="F3209" s="15">
        <v>0</v>
      </c>
      <c r="G3209" s="15">
        <v>0</v>
      </c>
      <c r="H3209" s="15">
        <v>0</v>
      </c>
    </row>
    <row r="3210" spans="2:8">
      <c r="B3210" s="17" t="s">
        <v>9153</v>
      </c>
      <c r="C3210" s="246" t="s">
        <v>2674</v>
      </c>
      <c r="D3210" s="18">
        <v>0</v>
      </c>
      <c r="E3210" s="18">
        <v>0</v>
      </c>
      <c r="F3210" s="18">
        <v>0</v>
      </c>
      <c r="G3210" s="18">
        <v>0</v>
      </c>
      <c r="H3210" s="18">
        <v>0</v>
      </c>
    </row>
    <row r="3211" spans="2:8">
      <c r="B3211" s="14" t="s">
        <v>9154</v>
      </c>
      <c r="C3211" s="245" t="s">
        <v>2674</v>
      </c>
      <c r="D3211" s="15">
        <v>0</v>
      </c>
      <c r="E3211" s="15">
        <v>0</v>
      </c>
      <c r="F3211" s="15">
        <v>0</v>
      </c>
      <c r="G3211" s="15">
        <v>0</v>
      </c>
      <c r="H3211" s="15">
        <v>0</v>
      </c>
    </row>
    <row r="3212" spans="2:8">
      <c r="B3212" s="17" t="s">
        <v>9155</v>
      </c>
      <c r="C3212" s="246" t="s">
        <v>2674</v>
      </c>
      <c r="D3212" s="18">
        <v>0</v>
      </c>
      <c r="E3212" s="18">
        <v>0</v>
      </c>
      <c r="F3212" s="18">
        <v>0</v>
      </c>
      <c r="G3212" s="18">
        <v>0</v>
      </c>
      <c r="H3212" s="18">
        <v>0</v>
      </c>
    </row>
    <row r="3213" spans="2:8">
      <c r="B3213" s="14" t="s">
        <v>9156</v>
      </c>
      <c r="C3213" s="245" t="s">
        <v>3663</v>
      </c>
      <c r="D3213" s="15">
        <v>0</v>
      </c>
      <c r="E3213" s="15">
        <v>0</v>
      </c>
      <c r="F3213" s="15">
        <v>0</v>
      </c>
      <c r="G3213" s="15">
        <v>0</v>
      </c>
      <c r="H3213" s="15">
        <v>0</v>
      </c>
    </row>
    <row r="3214" spans="2:8">
      <c r="B3214" s="17" t="s">
        <v>9157</v>
      </c>
      <c r="C3214" s="246" t="s">
        <v>3664</v>
      </c>
      <c r="D3214" s="18">
        <v>0</v>
      </c>
      <c r="E3214" s="18">
        <v>0</v>
      </c>
      <c r="F3214" s="18">
        <v>0</v>
      </c>
      <c r="G3214" s="18">
        <v>0</v>
      </c>
      <c r="H3214" s="18">
        <v>0</v>
      </c>
    </row>
    <row r="3215" spans="2:8">
      <c r="B3215" s="14" t="s">
        <v>9158</v>
      </c>
      <c r="C3215" s="245" t="s">
        <v>3665</v>
      </c>
      <c r="D3215" s="15">
        <v>0</v>
      </c>
      <c r="E3215" s="15">
        <v>0</v>
      </c>
      <c r="F3215" s="15">
        <v>0</v>
      </c>
      <c r="G3215" s="15">
        <v>0</v>
      </c>
      <c r="H3215" s="15">
        <v>0</v>
      </c>
    </row>
    <row r="3216" spans="2:8">
      <c r="B3216" s="17" t="s">
        <v>9159</v>
      </c>
      <c r="C3216" s="246" t="s">
        <v>3666</v>
      </c>
      <c r="D3216" s="18">
        <v>0</v>
      </c>
      <c r="E3216" s="18">
        <v>0</v>
      </c>
      <c r="F3216" s="18">
        <v>0</v>
      </c>
      <c r="G3216" s="18">
        <v>0</v>
      </c>
      <c r="H3216" s="18">
        <v>0</v>
      </c>
    </row>
    <row r="3217" spans="2:8">
      <c r="B3217" s="14" t="s">
        <v>9160</v>
      </c>
      <c r="C3217" s="245" t="s">
        <v>3667</v>
      </c>
      <c r="D3217" s="15">
        <v>0</v>
      </c>
      <c r="E3217" s="15">
        <v>0</v>
      </c>
      <c r="F3217" s="15">
        <v>0</v>
      </c>
      <c r="G3217" s="15">
        <v>0</v>
      </c>
      <c r="H3217" s="15">
        <v>0</v>
      </c>
    </row>
    <row r="3218" spans="2:8">
      <c r="B3218" s="17" t="s">
        <v>9161</v>
      </c>
      <c r="C3218" s="246" t="s">
        <v>3668</v>
      </c>
      <c r="D3218" s="18">
        <v>0</v>
      </c>
      <c r="E3218" s="18">
        <v>0</v>
      </c>
      <c r="F3218" s="18">
        <v>0</v>
      </c>
      <c r="G3218" s="18">
        <v>0</v>
      </c>
      <c r="H3218" s="18">
        <v>0</v>
      </c>
    </row>
    <row r="3219" spans="2:8">
      <c r="B3219" s="14" t="s">
        <v>9162</v>
      </c>
      <c r="C3219" s="245" t="s">
        <v>3669</v>
      </c>
      <c r="D3219" s="15">
        <v>0</v>
      </c>
      <c r="E3219" s="15">
        <v>0</v>
      </c>
      <c r="F3219" s="15">
        <v>0</v>
      </c>
      <c r="G3219" s="15">
        <v>0</v>
      </c>
      <c r="H3219" s="15">
        <v>0</v>
      </c>
    </row>
    <row r="3220" spans="2:8">
      <c r="B3220" s="17" t="s">
        <v>9163</v>
      </c>
      <c r="C3220" s="246" t="s">
        <v>3670</v>
      </c>
      <c r="D3220" s="18">
        <v>0</v>
      </c>
      <c r="E3220" s="18">
        <v>0</v>
      </c>
      <c r="F3220" s="18">
        <v>0</v>
      </c>
      <c r="G3220" s="18">
        <v>0</v>
      </c>
      <c r="H3220" s="18">
        <v>0</v>
      </c>
    </row>
    <row r="3221" spans="2:8">
      <c r="B3221" s="14" t="s">
        <v>9164</v>
      </c>
      <c r="C3221" s="245" t="s">
        <v>3671</v>
      </c>
      <c r="D3221" s="15">
        <v>0</v>
      </c>
      <c r="E3221" s="15">
        <v>0</v>
      </c>
      <c r="F3221" s="15">
        <v>0</v>
      </c>
      <c r="G3221" s="15">
        <v>0</v>
      </c>
      <c r="H3221" s="15">
        <v>0</v>
      </c>
    </row>
    <row r="3222" spans="2:8">
      <c r="B3222" s="17" t="s">
        <v>9165</v>
      </c>
      <c r="C3222" s="246" t="s">
        <v>3672</v>
      </c>
      <c r="D3222" s="18">
        <v>0</v>
      </c>
      <c r="E3222" s="18">
        <v>0</v>
      </c>
      <c r="F3222" s="18">
        <v>0</v>
      </c>
      <c r="G3222" s="18">
        <v>0</v>
      </c>
      <c r="H3222" s="18">
        <v>0</v>
      </c>
    </row>
    <row r="3223" spans="2:8">
      <c r="B3223" s="14" t="s">
        <v>9166</v>
      </c>
      <c r="C3223" s="245" t="s">
        <v>3673</v>
      </c>
      <c r="D3223" s="15">
        <v>0</v>
      </c>
      <c r="E3223" s="15">
        <v>0</v>
      </c>
      <c r="F3223" s="15">
        <v>0</v>
      </c>
      <c r="G3223" s="15">
        <v>0</v>
      </c>
      <c r="H3223" s="15">
        <v>0</v>
      </c>
    </row>
    <row r="3224" spans="2:8">
      <c r="B3224" s="17" t="s">
        <v>9167</v>
      </c>
      <c r="C3224" s="246" t="s">
        <v>3674</v>
      </c>
      <c r="D3224" s="18">
        <v>0</v>
      </c>
      <c r="E3224" s="18">
        <v>0</v>
      </c>
      <c r="F3224" s="18">
        <v>0</v>
      </c>
      <c r="G3224" s="18">
        <v>0</v>
      </c>
      <c r="H3224" s="18">
        <v>0</v>
      </c>
    </row>
    <row r="3225" spans="2:8">
      <c r="B3225" s="14" t="s">
        <v>9168</v>
      </c>
      <c r="C3225" s="245" t="s">
        <v>3675</v>
      </c>
      <c r="D3225" s="15">
        <v>0</v>
      </c>
      <c r="E3225" s="15">
        <v>0</v>
      </c>
      <c r="F3225" s="15">
        <v>0</v>
      </c>
      <c r="G3225" s="15">
        <v>0</v>
      </c>
      <c r="H3225" s="15">
        <v>0</v>
      </c>
    </row>
    <row r="3226" spans="2:8">
      <c r="B3226" s="17" t="s">
        <v>9169</v>
      </c>
      <c r="C3226" s="246" t="s">
        <v>3676</v>
      </c>
      <c r="D3226" s="18">
        <v>0</v>
      </c>
      <c r="E3226" s="18">
        <v>0</v>
      </c>
      <c r="F3226" s="18">
        <v>0</v>
      </c>
      <c r="G3226" s="18">
        <v>0</v>
      </c>
      <c r="H3226" s="18">
        <v>0</v>
      </c>
    </row>
    <row r="3227" spans="2:8">
      <c r="B3227" s="14" t="s">
        <v>9170</v>
      </c>
      <c r="C3227" s="245" t="s">
        <v>3677</v>
      </c>
      <c r="D3227" s="15">
        <v>0</v>
      </c>
      <c r="E3227" s="15">
        <v>0</v>
      </c>
      <c r="F3227" s="15">
        <v>0</v>
      </c>
      <c r="G3227" s="15">
        <v>0</v>
      </c>
      <c r="H3227" s="15">
        <v>0</v>
      </c>
    </row>
    <row r="3228" spans="2:8">
      <c r="B3228" s="17" t="s">
        <v>9171</v>
      </c>
      <c r="C3228" s="246" t="s">
        <v>3678</v>
      </c>
      <c r="D3228" s="18">
        <v>0</v>
      </c>
      <c r="E3228" s="18">
        <v>0</v>
      </c>
      <c r="F3228" s="18">
        <v>0</v>
      </c>
      <c r="G3228" s="18">
        <v>0</v>
      </c>
      <c r="H3228" s="18">
        <v>0</v>
      </c>
    </row>
    <row r="3229" spans="2:8">
      <c r="B3229" s="14" t="s">
        <v>9172</v>
      </c>
      <c r="C3229" s="245" t="s">
        <v>3679</v>
      </c>
      <c r="D3229" s="15">
        <v>0</v>
      </c>
      <c r="E3229" s="15">
        <v>0</v>
      </c>
      <c r="F3229" s="15">
        <v>0</v>
      </c>
      <c r="G3229" s="15">
        <v>0</v>
      </c>
      <c r="H3229" s="15">
        <v>0</v>
      </c>
    </row>
    <row r="3230" spans="2:8">
      <c r="B3230" s="17" t="s">
        <v>9173</v>
      </c>
      <c r="C3230" s="246" t="s">
        <v>3680</v>
      </c>
      <c r="D3230" s="18">
        <v>0</v>
      </c>
      <c r="E3230" s="18">
        <v>0</v>
      </c>
      <c r="F3230" s="18">
        <v>0</v>
      </c>
      <c r="G3230" s="18">
        <v>0</v>
      </c>
      <c r="H3230" s="18">
        <v>0</v>
      </c>
    </row>
    <row r="3231" spans="2:8">
      <c r="B3231" s="14" t="s">
        <v>9174</v>
      </c>
      <c r="C3231" s="245" t="s">
        <v>3681</v>
      </c>
      <c r="D3231" s="15">
        <v>0</v>
      </c>
      <c r="E3231" s="15">
        <v>0</v>
      </c>
      <c r="F3231" s="15">
        <v>0</v>
      </c>
      <c r="G3231" s="15">
        <v>0</v>
      </c>
      <c r="H3231" s="15">
        <v>0</v>
      </c>
    </row>
    <row r="3232" spans="2:8">
      <c r="B3232" s="17" t="s">
        <v>9175</v>
      </c>
      <c r="C3232" s="246" t="s">
        <v>3682</v>
      </c>
      <c r="D3232" s="18">
        <v>0</v>
      </c>
      <c r="E3232" s="18">
        <v>0</v>
      </c>
      <c r="F3232" s="18">
        <v>0</v>
      </c>
      <c r="G3232" s="18">
        <v>0</v>
      </c>
      <c r="H3232" s="18">
        <v>0</v>
      </c>
    </row>
    <row r="3233" spans="2:8">
      <c r="B3233" s="14" t="s">
        <v>9176</v>
      </c>
      <c r="C3233" s="245" t="s">
        <v>3683</v>
      </c>
      <c r="D3233" s="15">
        <v>0</v>
      </c>
      <c r="E3233" s="15">
        <v>0</v>
      </c>
      <c r="F3233" s="15">
        <v>0</v>
      </c>
      <c r="G3233" s="15">
        <v>0</v>
      </c>
      <c r="H3233" s="15">
        <v>0</v>
      </c>
    </row>
    <row r="3234" spans="2:8">
      <c r="B3234" s="17" t="s">
        <v>9177</v>
      </c>
      <c r="C3234" s="246" t="s">
        <v>3684</v>
      </c>
      <c r="D3234" s="18">
        <v>0</v>
      </c>
      <c r="E3234" s="18">
        <v>0</v>
      </c>
      <c r="F3234" s="18">
        <v>0</v>
      </c>
      <c r="G3234" s="18">
        <v>0</v>
      </c>
      <c r="H3234" s="18">
        <v>0</v>
      </c>
    </row>
    <row r="3235" spans="2:8">
      <c r="B3235" s="14" t="s">
        <v>9178</v>
      </c>
      <c r="C3235" s="245" t="s">
        <v>3685</v>
      </c>
      <c r="D3235" s="15">
        <v>0</v>
      </c>
      <c r="E3235" s="15">
        <v>0</v>
      </c>
      <c r="F3235" s="15">
        <v>0</v>
      </c>
      <c r="G3235" s="15">
        <v>0</v>
      </c>
      <c r="H3235" s="15">
        <v>0</v>
      </c>
    </row>
    <row r="3236" spans="2:8">
      <c r="B3236" s="17" t="s">
        <v>9179</v>
      </c>
      <c r="C3236" s="246" t="s">
        <v>3686</v>
      </c>
      <c r="D3236" s="18">
        <v>0</v>
      </c>
      <c r="E3236" s="18">
        <v>0</v>
      </c>
      <c r="F3236" s="18">
        <v>0</v>
      </c>
      <c r="G3236" s="18">
        <v>0</v>
      </c>
      <c r="H3236" s="18">
        <v>0</v>
      </c>
    </row>
    <row r="3237" spans="2:8">
      <c r="B3237" s="14" t="s">
        <v>9180</v>
      </c>
      <c r="C3237" s="245" t="s">
        <v>3687</v>
      </c>
      <c r="D3237" s="15">
        <v>0</v>
      </c>
      <c r="E3237" s="15">
        <v>0</v>
      </c>
      <c r="F3237" s="15">
        <v>0</v>
      </c>
      <c r="G3237" s="15">
        <v>0</v>
      </c>
      <c r="H3237" s="15">
        <v>0</v>
      </c>
    </row>
    <row r="3238" spans="2:8">
      <c r="B3238" s="17" t="s">
        <v>9181</v>
      </c>
      <c r="C3238" s="246" t="s">
        <v>3688</v>
      </c>
      <c r="D3238" s="18">
        <v>0</v>
      </c>
      <c r="E3238" s="18">
        <v>0</v>
      </c>
      <c r="F3238" s="18">
        <v>0</v>
      </c>
      <c r="G3238" s="18">
        <v>0</v>
      </c>
      <c r="H3238" s="18">
        <v>0</v>
      </c>
    </row>
    <row r="3239" spans="2:8">
      <c r="B3239" s="14" t="s">
        <v>9182</v>
      </c>
      <c r="C3239" s="245" t="s">
        <v>3689</v>
      </c>
      <c r="D3239" s="15">
        <v>0</v>
      </c>
      <c r="E3239" s="15">
        <v>0</v>
      </c>
      <c r="F3239" s="15">
        <v>0</v>
      </c>
      <c r="G3239" s="15">
        <v>0</v>
      </c>
      <c r="H3239" s="15">
        <v>0</v>
      </c>
    </row>
    <row r="3240" spans="2:8">
      <c r="B3240" s="17" t="s">
        <v>9183</v>
      </c>
      <c r="C3240" s="246" t="s">
        <v>3690</v>
      </c>
      <c r="D3240" s="18">
        <v>0</v>
      </c>
      <c r="E3240" s="18">
        <v>0</v>
      </c>
      <c r="F3240" s="18">
        <v>0</v>
      </c>
      <c r="G3240" s="18">
        <v>0</v>
      </c>
      <c r="H3240" s="18">
        <v>0</v>
      </c>
    </row>
    <row r="3241" spans="2:8">
      <c r="B3241" s="14" t="s">
        <v>9184</v>
      </c>
      <c r="C3241" s="245" t="s">
        <v>3691</v>
      </c>
      <c r="D3241" s="15">
        <v>0</v>
      </c>
      <c r="E3241" s="15">
        <v>0</v>
      </c>
      <c r="F3241" s="15">
        <v>0</v>
      </c>
      <c r="G3241" s="15">
        <v>0</v>
      </c>
      <c r="H3241" s="15">
        <v>0</v>
      </c>
    </row>
    <row r="3242" spans="2:8">
      <c r="B3242" s="17" t="s">
        <v>9185</v>
      </c>
      <c r="C3242" s="246" t="s">
        <v>3692</v>
      </c>
      <c r="D3242" s="18">
        <v>0</v>
      </c>
      <c r="E3242" s="18">
        <v>0</v>
      </c>
      <c r="F3242" s="18">
        <v>0</v>
      </c>
      <c r="G3242" s="18">
        <v>0</v>
      </c>
      <c r="H3242" s="18">
        <v>0</v>
      </c>
    </row>
    <row r="3243" spans="2:8">
      <c r="B3243" s="14" t="s">
        <v>9186</v>
      </c>
      <c r="C3243" s="245" t="s">
        <v>3693</v>
      </c>
      <c r="D3243" s="15">
        <v>0</v>
      </c>
      <c r="E3243" s="15">
        <v>0</v>
      </c>
      <c r="F3243" s="15">
        <v>0</v>
      </c>
      <c r="G3243" s="15">
        <v>0</v>
      </c>
      <c r="H3243" s="15">
        <v>0</v>
      </c>
    </row>
    <row r="3244" spans="2:8">
      <c r="B3244" s="17" t="s">
        <v>9187</v>
      </c>
      <c r="C3244" s="246" t="s">
        <v>3694</v>
      </c>
      <c r="D3244" s="18">
        <v>971</v>
      </c>
      <c r="E3244" s="18">
        <v>665</v>
      </c>
      <c r="F3244" s="18">
        <v>0</v>
      </c>
      <c r="G3244" s="18">
        <v>0</v>
      </c>
      <c r="H3244" s="18">
        <v>0</v>
      </c>
    </row>
    <row r="3245" spans="2:8">
      <c r="B3245" s="14" t="s">
        <v>9188</v>
      </c>
      <c r="C3245" s="245" t="s">
        <v>871</v>
      </c>
      <c r="D3245" s="15">
        <v>0</v>
      </c>
      <c r="E3245" s="15">
        <v>0</v>
      </c>
      <c r="F3245" s="15">
        <v>0</v>
      </c>
      <c r="G3245" s="15">
        <v>0</v>
      </c>
      <c r="H3245" s="15">
        <v>0</v>
      </c>
    </row>
    <row r="3246" spans="2:8">
      <c r="B3246" s="17" t="s">
        <v>9189</v>
      </c>
      <c r="C3246" s="246" t="s">
        <v>3695</v>
      </c>
      <c r="D3246" s="18">
        <v>0</v>
      </c>
      <c r="E3246" s="18">
        <v>0</v>
      </c>
      <c r="F3246" s="18">
        <v>0</v>
      </c>
      <c r="G3246" s="18">
        <v>0</v>
      </c>
      <c r="H3246" s="18">
        <v>0</v>
      </c>
    </row>
    <row r="3247" spans="2:8">
      <c r="B3247" s="14" t="s">
        <v>9190</v>
      </c>
      <c r="C3247" s="245" t="s">
        <v>3696</v>
      </c>
      <c r="D3247" s="15">
        <v>6</v>
      </c>
      <c r="E3247" s="15">
        <v>3</v>
      </c>
      <c r="F3247" s="15">
        <v>0</v>
      </c>
      <c r="G3247" s="15">
        <v>2</v>
      </c>
      <c r="H3247" s="15">
        <v>0</v>
      </c>
    </row>
    <row r="3248" spans="2:8">
      <c r="B3248" s="17" t="s">
        <v>9191</v>
      </c>
      <c r="C3248" s="246" t="s">
        <v>3697</v>
      </c>
      <c r="D3248" s="18">
        <v>0</v>
      </c>
      <c r="E3248" s="18">
        <v>0</v>
      </c>
      <c r="F3248" s="18">
        <v>0</v>
      </c>
      <c r="G3248" s="18">
        <v>0</v>
      </c>
      <c r="H3248" s="18">
        <v>0</v>
      </c>
    </row>
    <row r="3249" spans="2:8">
      <c r="B3249" s="14" t="s">
        <v>9192</v>
      </c>
      <c r="C3249" s="245" t="s">
        <v>3698</v>
      </c>
      <c r="D3249" s="15">
        <v>0</v>
      </c>
      <c r="E3249" s="15">
        <v>0</v>
      </c>
      <c r="F3249" s="15">
        <v>0</v>
      </c>
      <c r="G3249" s="15">
        <v>0</v>
      </c>
      <c r="H3249" s="15">
        <v>0</v>
      </c>
    </row>
    <row r="3250" spans="2:8">
      <c r="B3250" s="17" t="s">
        <v>9193</v>
      </c>
      <c r="C3250" s="246" t="s">
        <v>3699</v>
      </c>
      <c r="D3250" s="18">
        <v>0</v>
      </c>
      <c r="E3250" s="18">
        <v>44</v>
      </c>
      <c r="F3250" s="18">
        <v>0</v>
      </c>
      <c r="G3250" s="18">
        <v>0</v>
      </c>
      <c r="H3250" s="18">
        <v>0</v>
      </c>
    </row>
    <row r="3251" spans="2:8">
      <c r="B3251" s="14" t="s">
        <v>9194</v>
      </c>
      <c r="C3251" s="245" t="s">
        <v>3700</v>
      </c>
      <c r="D3251" s="15">
        <v>0</v>
      </c>
      <c r="E3251" s="15">
        <v>0</v>
      </c>
      <c r="F3251" s="15">
        <v>0</v>
      </c>
      <c r="G3251" s="15">
        <v>0</v>
      </c>
      <c r="H3251" s="15">
        <v>0</v>
      </c>
    </row>
    <row r="3252" spans="2:8">
      <c r="B3252" s="17" t="s">
        <v>9195</v>
      </c>
      <c r="C3252" s="246" t="s">
        <v>3701</v>
      </c>
      <c r="D3252" s="18">
        <v>0</v>
      </c>
      <c r="E3252" s="18">
        <v>0</v>
      </c>
      <c r="F3252" s="18">
        <v>0</v>
      </c>
      <c r="G3252" s="18">
        <v>0</v>
      </c>
      <c r="H3252" s="18">
        <v>0</v>
      </c>
    </row>
    <row r="3253" spans="2:8">
      <c r="B3253" s="14" t="s">
        <v>9196</v>
      </c>
      <c r="C3253" s="245" t="s">
        <v>3702</v>
      </c>
      <c r="D3253" s="15">
        <v>35</v>
      </c>
      <c r="E3253" s="15">
        <v>79</v>
      </c>
      <c r="F3253" s="15">
        <v>0</v>
      </c>
      <c r="G3253" s="15">
        <v>0</v>
      </c>
      <c r="H3253" s="15">
        <v>0</v>
      </c>
    </row>
    <row r="3254" spans="2:8">
      <c r="B3254" s="17" t="s">
        <v>9197</v>
      </c>
      <c r="C3254" s="246" t="s">
        <v>3703</v>
      </c>
      <c r="D3254" s="18">
        <v>0</v>
      </c>
      <c r="E3254" s="18">
        <v>0</v>
      </c>
      <c r="F3254" s="18">
        <v>0</v>
      </c>
      <c r="G3254" s="18">
        <v>0</v>
      </c>
      <c r="H3254" s="18">
        <v>0</v>
      </c>
    </row>
    <row r="3255" spans="2:8">
      <c r="B3255" s="14" t="s">
        <v>9198</v>
      </c>
      <c r="C3255" s="245" t="s">
        <v>3704</v>
      </c>
      <c r="D3255" s="15">
        <v>0</v>
      </c>
      <c r="E3255" s="15">
        <v>0</v>
      </c>
      <c r="F3255" s="15">
        <v>0</v>
      </c>
      <c r="G3255" s="15">
        <v>0</v>
      </c>
      <c r="H3255" s="15">
        <v>0</v>
      </c>
    </row>
    <row r="3256" spans="2:8">
      <c r="B3256" s="17" t="s">
        <v>9199</v>
      </c>
      <c r="C3256" s="246" t="s">
        <v>3705</v>
      </c>
      <c r="D3256" s="18">
        <v>0</v>
      </c>
      <c r="E3256" s="18">
        <v>0</v>
      </c>
      <c r="F3256" s="18">
        <v>0</v>
      </c>
      <c r="G3256" s="18">
        <v>0</v>
      </c>
      <c r="H3256" s="18">
        <v>0</v>
      </c>
    </row>
    <row r="3257" spans="2:8">
      <c r="B3257" s="14" t="s">
        <v>9200</v>
      </c>
      <c r="C3257" s="245" t="s">
        <v>3706</v>
      </c>
      <c r="D3257" s="15">
        <v>0</v>
      </c>
      <c r="E3257" s="15">
        <v>0</v>
      </c>
      <c r="F3257" s="15">
        <v>0</v>
      </c>
      <c r="G3257" s="15">
        <v>0</v>
      </c>
      <c r="H3257" s="15">
        <v>0</v>
      </c>
    </row>
    <row r="3258" spans="2:8">
      <c r="B3258" s="17" t="s">
        <v>9201</v>
      </c>
      <c r="C3258" s="246" t="s">
        <v>3707</v>
      </c>
      <c r="D3258" s="18">
        <v>0</v>
      </c>
      <c r="E3258" s="18">
        <v>0</v>
      </c>
      <c r="F3258" s="18">
        <v>0</v>
      </c>
      <c r="G3258" s="18">
        <v>0</v>
      </c>
      <c r="H3258" s="18">
        <v>0</v>
      </c>
    </row>
    <row r="3259" spans="2:8">
      <c r="B3259" s="14" t="s">
        <v>9202</v>
      </c>
      <c r="C3259" s="245" t="s">
        <v>3708</v>
      </c>
      <c r="D3259" s="15">
        <v>92</v>
      </c>
      <c r="E3259" s="15">
        <v>30</v>
      </c>
      <c r="F3259" s="15">
        <v>11</v>
      </c>
      <c r="G3259" s="15">
        <v>0</v>
      </c>
      <c r="H3259" s="15">
        <v>0</v>
      </c>
    </row>
    <row r="3260" spans="2:8">
      <c r="B3260" s="17" t="s">
        <v>9203</v>
      </c>
      <c r="C3260" s="246" t="s">
        <v>3709</v>
      </c>
      <c r="D3260" s="18">
        <v>0</v>
      </c>
      <c r="E3260" s="18">
        <v>0</v>
      </c>
      <c r="F3260" s="18">
        <v>0</v>
      </c>
      <c r="G3260" s="18">
        <v>0</v>
      </c>
      <c r="H3260" s="18">
        <v>0</v>
      </c>
    </row>
    <row r="3261" spans="2:8">
      <c r="B3261" s="14" t="s">
        <v>9204</v>
      </c>
      <c r="C3261" s="245" t="s">
        <v>3710</v>
      </c>
      <c r="D3261" s="15">
        <v>0</v>
      </c>
      <c r="E3261" s="15">
        <v>74</v>
      </c>
      <c r="F3261" s="15">
        <v>0</v>
      </c>
      <c r="G3261" s="15">
        <v>0</v>
      </c>
      <c r="H3261" s="15">
        <v>0</v>
      </c>
    </row>
    <row r="3262" spans="2:8">
      <c r="B3262" s="17" t="s">
        <v>9205</v>
      </c>
      <c r="C3262" s="246" t="s">
        <v>3711</v>
      </c>
      <c r="D3262" s="18">
        <v>0</v>
      </c>
      <c r="E3262" s="18">
        <v>0</v>
      </c>
      <c r="F3262" s="18">
        <v>0</v>
      </c>
      <c r="G3262" s="18">
        <v>0</v>
      </c>
      <c r="H3262" s="18">
        <v>0</v>
      </c>
    </row>
    <row r="3263" spans="2:8">
      <c r="B3263" s="14" t="s">
        <v>9206</v>
      </c>
      <c r="C3263" s="245" t="s">
        <v>3712</v>
      </c>
      <c r="D3263" s="15">
        <v>0</v>
      </c>
      <c r="E3263" s="15">
        <v>0</v>
      </c>
      <c r="F3263" s="15">
        <v>0</v>
      </c>
      <c r="G3263" s="15">
        <v>0</v>
      </c>
      <c r="H3263" s="15">
        <v>0</v>
      </c>
    </row>
    <row r="3264" spans="2:8">
      <c r="B3264" s="17" t="s">
        <v>9207</v>
      </c>
      <c r="C3264" s="246" t="s">
        <v>3713</v>
      </c>
      <c r="D3264" s="18">
        <v>276</v>
      </c>
      <c r="E3264" s="18">
        <v>0</v>
      </c>
      <c r="F3264" s="18">
        <v>0</v>
      </c>
      <c r="G3264" s="18">
        <v>9</v>
      </c>
      <c r="H3264" s="18">
        <v>0</v>
      </c>
    </row>
    <row r="3265" spans="2:8">
      <c r="B3265" s="14" t="s">
        <v>9208</v>
      </c>
      <c r="C3265" s="245" t="s">
        <v>3714</v>
      </c>
      <c r="D3265" s="15">
        <v>0</v>
      </c>
      <c r="E3265" s="15">
        <v>208</v>
      </c>
      <c r="F3265" s="15">
        <v>0</v>
      </c>
      <c r="G3265" s="15">
        <v>44</v>
      </c>
      <c r="H3265" s="15">
        <v>0</v>
      </c>
    </row>
    <row r="3266" spans="2:8">
      <c r="B3266" s="17" t="s">
        <v>9209</v>
      </c>
      <c r="C3266" s="246" t="s">
        <v>3715</v>
      </c>
      <c r="D3266" s="18">
        <v>0</v>
      </c>
      <c r="E3266" s="18">
        <v>20</v>
      </c>
      <c r="F3266" s="18">
        <v>259</v>
      </c>
      <c r="G3266" s="18">
        <v>0</v>
      </c>
      <c r="H3266" s="18">
        <v>0</v>
      </c>
    </row>
    <row r="3267" spans="2:8">
      <c r="B3267" s="14" t="s">
        <v>9210</v>
      </c>
      <c r="C3267" s="245" t="s">
        <v>3716</v>
      </c>
      <c r="D3267" s="15">
        <v>0</v>
      </c>
      <c r="E3267" s="15">
        <v>0</v>
      </c>
      <c r="F3267" s="15">
        <v>0</v>
      </c>
      <c r="G3267" s="15">
        <v>0</v>
      </c>
      <c r="H3267" s="15">
        <v>0</v>
      </c>
    </row>
    <row r="3268" spans="2:8">
      <c r="B3268" s="17" t="s">
        <v>9211</v>
      </c>
      <c r="C3268" s="246" t="s">
        <v>3717</v>
      </c>
      <c r="D3268" s="18">
        <v>0</v>
      </c>
      <c r="E3268" s="18">
        <v>0</v>
      </c>
      <c r="F3268" s="18">
        <v>0</v>
      </c>
      <c r="G3268" s="18">
        <v>0</v>
      </c>
      <c r="H3268" s="18">
        <v>0</v>
      </c>
    </row>
    <row r="3269" spans="2:8">
      <c r="B3269" s="14" t="s">
        <v>9212</v>
      </c>
      <c r="C3269" s="245" t="s">
        <v>3718</v>
      </c>
      <c r="D3269" s="15">
        <v>0</v>
      </c>
      <c r="E3269" s="15">
        <v>0</v>
      </c>
      <c r="F3269" s="15">
        <v>0</v>
      </c>
      <c r="G3269" s="15">
        <v>0</v>
      </c>
      <c r="H3269" s="15">
        <v>0</v>
      </c>
    </row>
    <row r="3270" spans="2:8">
      <c r="B3270" s="17" t="s">
        <v>9213</v>
      </c>
      <c r="C3270" s="246" t="s">
        <v>3719</v>
      </c>
      <c r="D3270" s="18">
        <v>0</v>
      </c>
      <c r="E3270" s="18">
        <v>7</v>
      </c>
      <c r="F3270" s="18">
        <v>0</v>
      </c>
      <c r="G3270" s="18">
        <v>0</v>
      </c>
      <c r="H3270" s="18">
        <v>0</v>
      </c>
    </row>
    <row r="3271" spans="2:8">
      <c r="B3271" s="14" t="s">
        <v>9214</v>
      </c>
      <c r="C3271" s="245" t="s">
        <v>3720</v>
      </c>
      <c r="D3271" s="15">
        <v>0</v>
      </c>
      <c r="E3271" s="15">
        <v>0</v>
      </c>
      <c r="F3271" s="15">
        <v>0</v>
      </c>
      <c r="G3271" s="15">
        <v>0</v>
      </c>
      <c r="H3271" s="15">
        <v>0</v>
      </c>
    </row>
    <row r="3272" spans="2:8">
      <c r="B3272" s="17" t="s">
        <v>9215</v>
      </c>
      <c r="C3272" s="246" t="s">
        <v>3721</v>
      </c>
      <c r="D3272" s="18">
        <v>0</v>
      </c>
      <c r="E3272" s="18">
        <v>0</v>
      </c>
      <c r="F3272" s="18">
        <v>0</v>
      </c>
      <c r="G3272" s="18">
        <v>0</v>
      </c>
      <c r="H3272" s="18">
        <v>0</v>
      </c>
    </row>
    <row r="3273" spans="2:8">
      <c r="B3273" s="14" t="s">
        <v>9216</v>
      </c>
      <c r="C3273" s="245" t="s">
        <v>3722</v>
      </c>
      <c r="D3273" s="15">
        <v>0</v>
      </c>
      <c r="E3273" s="15">
        <v>0</v>
      </c>
      <c r="F3273" s="15">
        <v>0</v>
      </c>
      <c r="G3273" s="15">
        <v>0</v>
      </c>
      <c r="H3273" s="15">
        <v>0</v>
      </c>
    </row>
    <row r="3274" spans="2:8">
      <c r="B3274" s="17" t="s">
        <v>9217</v>
      </c>
      <c r="C3274" s="246" t="s">
        <v>3723</v>
      </c>
      <c r="D3274" s="18">
        <v>16</v>
      </c>
      <c r="E3274" s="18">
        <v>14</v>
      </c>
      <c r="F3274" s="18">
        <v>7</v>
      </c>
      <c r="G3274" s="18">
        <v>0</v>
      </c>
      <c r="H3274" s="18">
        <v>0</v>
      </c>
    </row>
    <row r="3275" spans="2:8">
      <c r="B3275" s="14" t="s">
        <v>9218</v>
      </c>
      <c r="C3275" s="245" t="s">
        <v>3724</v>
      </c>
      <c r="D3275" s="15">
        <v>0</v>
      </c>
      <c r="E3275" s="15">
        <v>0</v>
      </c>
      <c r="F3275" s="15">
        <v>0</v>
      </c>
      <c r="G3275" s="15">
        <v>0</v>
      </c>
      <c r="H3275" s="15">
        <v>0</v>
      </c>
    </row>
    <row r="3276" spans="2:8">
      <c r="B3276" s="17" t="s">
        <v>9219</v>
      </c>
      <c r="C3276" s="246" t="s">
        <v>3725</v>
      </c>
      <c r="D3276" s="18">
        <v>0</v>
      </c>
      <c r="E3276" s="18">
        <v>0</v>
      </c>
      <c r="F3276" s="18">
        <v>0</v>
      </c>
      <c r="G3276" s="18">
        <v>1349</v>
      </c>
      <c r="H3276" s="18">
        <v>0</v>
      </c>
    </row>
    <row r="3277" spans="2:8">
      <c r="B3277" s="14" t="s">
        <v>9220</v>
      </c>
      <c r="C3277" s="245" t="s">
        <v>3726</v>
      </c>
      <c r="D3277" s="15">
        <v>0</v>
      </c>
      <c r="E3277" s="15">
        <v>0</v>
      </c>
      <c r="F3277" s="15">
        <v>0</v>
      </c>
      <c r="G3277" s="15">
        <v>0</v>
      </c>
      <c r="H3277" s="15">
        <v>0</v>
      </c>
    </row>
    <row r="3278" spans="2:8">
      <c r="B3278" s="17" t="s">
        <v>9221</v>
      </c>
      <c r="C3278" s="246" t="s">
        <v>3727</v>
      </c>
      <c r="D3278" s="18">
        <v>0</v>
      </c>
      <c r="E3278" s="18">
        <v>0</v>
      </c>
      <c r="F3278" s="18">
        <v>0</v>
      </c>
      <c r="G3278" s="18">
        <v>0</v>
      </c>
      <c r="H3278" s="18">
        <v>0</v>
      </c>
    </row>
    <row r="3279" spans="2:8">
      <c r="B3279" s="14" t="s">
        <v>9222</v>
      </c>
      <c r="C3279" s="245" t="s">
        <v>3728</v>
      </c>
      <c r="D3279" s="15">
        <v>0</v>
      </c>
      <c r="E3279" s="15">
        <v>0</v>
      </c>
      <c r="F3279" s="15">
        <v>0</v>
      </c>
      <c r="G3279" s="15">
        <v>0</v>
      </c>
      <c r="H3279" s="15">
        <v>0</v>
      </c>
    </row>
    <row r="3280" spans="2:8">
      <c r="B3280" s="17" t="s">
        <v>9223</v>
      </c>
      <c r="C3280" s="246" t="s">
        <v>3729</v>
      </c>
      <c r="D3280" s="18">
        <v>0</v>
      </c>
      <c r="E3280" s="18">
        <v>0</v>
      </c>
      <c r="F3280" s="18">
        <v>0</v>
      </c>
      <c r="G3280" s="18">
        <v>0</v>
      </c>
      <c r="H3280" s="18">
        <v>0</v>
      </c>
    </row>
    <row r="3281" spans="2:8">
      <c r="B3281" s="14" t="s">
        <v>9224</v>
      </c>
      <c r="C3281" s="245" t="s">
        <v>3730</v>
      </c>
      <c r="D3281" s="15">
        <v>0</v>
      </c>
      <c r="E3281" s="15">
        <v>0</v>
      </c>
      <c r="F3281" s="15">
        <v>0</v>
      </c>
      <c r="G3281" s="15">
        <v>0</v>
      </c>
      <c r="H3281" s="15">
        <v>0</v>
      </c>
    </row>
    <row r="3282" spans="2:8">
      <c r="B3282" s="17" t="s">
        <v>9225</v>
      </c>
      <c r="C3282" s="246" t="s">
        <v>3731</v>
      </c>
      <c r="D3282" s="18">
        <v>0</v>
      </c>
      <c r="E3282" s="18">
        <v>0</v>
      </c>
      <c r="F3282" s="18">
        <v>0</v>
      </c>
      <c r="G3282" s="18">
        <v>0</v>
      </c>
      <c r="H3282" s="18">
        <v>0</v>
      </c>
    </row>
    <row r="3283" spans="2:8">
      <c r="B3283" s="14" t="s">
        <v>9226</v>
      </c>
      <c r="C3283" s="245" t="s">
        <v>3732</v>
      </c>
      <c r="D3283" s="15">
        <v>0</v>
      </c>
      <c r="E3283" s="15">
        <v>0</v>
      </c>
      <c r="F3283" s="15">
        <v>0</v>
      </c>
      <c r="G3283" s="15">
        <v>0</v>
      </c>
      <c r="H3283" s="15">
        <v>0</v>
      </c>
    </row>
    <row r="3284" spans="2:8">
      <c r="B3284" s="17" t="s">
        <v>9227</v>
      </c>
      <c r="C3284" s="246" t="s">
        <v>3733</v>
      </c>
      <c r="D3284" s="18">
        <v>0</v>
      </c>
      <c r="E3284" s="18">
        <v>0</v>
      </c>
      <c r="F3284" s="18">
        <v>0</v>
      </c>
      <c r="G3284" s="18">
        <v>0</v>
      </c>
      <c r="H3284" s="18">
        <v>0</v>
      </c>
    </row>
    <row r="3285" spans="2:8">
      <c r="B3285" s="14" t="s">
        <v>9228</v>
      </c>
      <c r="C3285" s="245" t="s">
        <v>3734</v>
      </c>
      <c r="D3285" s="15">
        <v>0</v>
      </c>
      <c r="E3285" s="15">
        <v>0</v>
      </c>
      <c r="F3285" s="15">
        <v>0</v>
      </c>
      <c r="G3285" s="15">
        <v>0</v>
      </c>
      <c r="H3285" s="15">
        <v>0</v>
      </c>
    </row>
    <row r="3286" spans="2:8">
      <c r="B3286" s="17" t="s">
        <v>9229</v>
      </c>
      <c r="C3286" s="246" t="s">
        <v>3735</v>
      </c>
      <c r="D3286" s="18">
        <v>0</v>
      </c>
      <c r="E3286" s="18">
        <v>0</v>
      </c>
      <c r="F3286" s="18">
        <v>0</v>
      </c>
      <c r="G3286" s="18">
        <v>0</v>
      </c>
      <c r="H3286" s="18">
        <v>0</v>
      </c>
    </row>
    <row r="3287" spans="2:8">
      <c r="B3287" s="14" t="s">
        <v>9230</v>
      </c>
      <c r="C3287" s="245" t="s">
        <v>3736</v>
      </c>
      <c r="D3287" s="15">
        <v>0</v>
      </c>
      <c r="E3287" s="15">
        <v>0</v>
      </c>
      <c r="F3287" s="15">
        <v>0</v>
      </c>
      <c r="G3287" s="15">
        <v>0</v>
      </c>
      <c r="H3287" s="15">
        <v>0</v>
      </c>
    </row>
    <row r="3288" spans="2:8">
      <c r="B3288" s="17" t="s">
        <v>9231</v>
      </c>
      <c r="C3288" s="246" t="s">
        <v>3737</v>
      </c>
      <c r="D3288" s="18">
        <v>0</v>
      </c>
      <c r="E3288" s="18">
        <v>0</v>
      </c>
      <c r="F3288" s="18">
        <v>0</v>
      </c>
      <c r="G3288" s="18">
        <v>0</v>
      </c>
      <c r="H3288" s="18">
        <v>0</v>
      </c>
    </row>
    <row r="3289" spans="2:8">
      <c r="B3289" s="14" t="s">
        <v>9232</v>
      </c>
      <c r="C3289" s="245" t="s">
        <v>3405</v>
      </c>
      <c r="D3289" s="15">
        <v>0</v>
      </c>
      <c r="E3289" s="15">
        <v>0</v>
      </c>
      <c r="F3289" s="15">
        <v>0</v>
      </c>
      <c r="G3289" s="15">
        <v>0</v>
      </c>
      <c r="H3289" s="15">
        <v>0</v>
      </c>
    </row>
    <row r="3290" spans="2:8">
      <c r="B3290" s="17" t="s">
        <v>9233</v>
      </c>
      <c r="C3290" s="246" t="s">
        <v>3738</v>
      </c>
      <c r="D3290" s="18">
        <v>0</v>
      </c>
      <c r="E3290" s="18">
        <v>0</v>
      </c>
      <c r="F3290" s="18">
        <v>0</v>
      </c>
      <c r="G3290" s="18">
        <v>0</v>
      </c>
      <c r="H3290" s="18">
        <v>0</v>
      </c>
    </row>
    <row r="3291" spans="2:8">
      <c r="B3291" s="14" t="s">
        <v>9234</v>
      </c>
      <c r="C3291" s="245" t="s">
        <v>3739</v>
      </c>
      <c r="D3291" s="15">
        <v>0</v>
      </c>
      <c r="E3291" s="15">
        <v>0</v>
      </c>
      <c r="F3291" s="15">
        <v>0</v>
      </c>
      <c r="G3291" s="15">
        <v>0</v>
      </c>
      <c r="H3291" s="15">
        <v>0</v>
      </c>
    </row>
    <row r="3292" spans="2:8">
      <c r="B3292" s="17" t="s">
        <v>9235</v>
      </c>
      <c r="C3292" s="246" t="s">
        <v>2023</v>
      </c>
      <c r="D3292" s="18">
        <v>0</v>
      </c>
      <c r="E3292" s="18">
        <v>0</v>
      </c>
      <c r="F3292" s="18">
        <v>0</v>
      </c>
      <c r="G3292" s="18">
        <v>0</v>
      </c>
      <c r="H3292" s="18">
        <v>0</v>
      </c>
    </row>
    <row r="3293" spans="2:8">
      <c r="B3293" s="14" t="s">
        <v>9236</v>
      </c>
      <c r="C3293" s="245" t="s">
        <v>3740</v>
      </c>
      <c r="D3293" s="15">
        <v>0</v>
      </c>
      <c r="E3293" s="15">
        <v>0</v>
      </c>
      <c r="F3293" s="15">
        <v>0</v>
      </c>
      <c r="G3293" s="15">
        <v>0</v>
      </c>
      <c r="H3293" s="15">
        <v>0</v>
      </c>
    </row>
    <row r="3294" spans="2:8">
      <c r="B3294" s="17" t="s">
        <v>9237</v>
      </c>
      <c r="C3294" s="246" t="s">
        <v>3741</v>
      </c>
      <c r="D3294" s="18">
        <v>0</v>
      </c>
      <c r="E3294" s="18">
        <v>0</v>
      </c>
      <c r="F3294" s="18">
        <v>0</v>
      </c>
      <c r="G3294" s="18">
        <v>0</v>
      </c>
      <c r="H3294" s="18">
        <v>0</v>
      </c>
    </row>
    <row r="3295" spans="2:8">
      <c r="B3295" s="14" t="s">
        <v>9238</v>
      </c>
      <c r="C3295" s="245" t="s">
        <v>3742</v>
      </c>
      <c r="D3295" s="15">
        <v>0</v>
      </c>
      <c r="E3295" s="15">
        <v>0</v>
      </c>
      <c r="F3295" s="15">
        <v>0</v>
      </c>
      <c r="G3295" s="15">
        <v>0</v>
      </c>
      <c r="H3295" s="15">
        <v>0</v>
      </c>
    </row>
    <row r="3296" spans="2:8">
      <c r="B3296" s="17" t="s">
        <v>9239</v>
      </c>
      <c r="C3296" s="246" t="s">
        <v>3743</v>
      </c>
      <c r="D3296" s="18">
        <v>0</v>
      </c>
      <c r="E3296" s="18">
        <v>0</v>
      </c>
      <c r="F3296" s="18">
        <v>0</v>
      </c>
      <c r="G3296" s="18">
        <v>0</v>
      </c>
      <c r="H3296" s="18">
        <v>0</v>
      </c>
    </row>
    <row r="3297" spans="2:8">
      <c r="B3297" s="14" t="s">
        <v>9240</v>
      </c>
      <c r="C3297" s="245" t="s">
        <v>3744</v>
      </c>
      <c r="D3297" s="15">
        <v>0</v>
      </c>
      <c r="E3297" s="15">
        <v>0</v>
      </c>
      <c r="F3297" s="15">
        <v>0</v>
      </c>
      <c r="G3297" s="15">
        <v>0</v>
      </c>
      <c r="H3297" s="15">
        <v>0</v>
      </c>
    </row>
    <row r="3298" spans="2:8">
      <c r="B3298" s="17" t="s">
        <v>9241</v>
      </c>
      <c r="C3298" s="246" t="s">
        <v>3745</v>
      </c>
      <c r="D3298" s="18">
        <v>0</v>
      </c>
      <c r="E3298" s="18">
        <v>0</v>
      </c>
      <c r="F3298" s="18">
        <v>0</v>
      </c>
      <c r="G3298" s="18">
        <v>0</v>
      </c>
      <c r="H3298" s="18">
        <v>0</v>
      </c>
    </row>
    <row r="3299" spans="2:8">
      <c r="B3299" s="14" t="s">
        <v>9242</v>
      </c>
      <c r="C3299" s="245" t="s">
        <v>3741</v>
      </c>
      <c r="D3299" s="15">
        <v>0</v>
      </c>
      <c r="E3299" s="15">
        <v>0</v>
      </c>
      <c r="F3299" s="15">
        <v>0</v>
      </c>
      <c r="G3299" s="15">
        <v>0</v>
      </c>
      <c r="H3299" s="15">
        <v>0</v>
      </c>
    </row>
    <row r="3300" spans="2:8">
      <c r="B3300" s="17" t="s">
        <v>9243</v>
      </c>
      <c r="C3300" s="246" t="s">
        <v>3746</v>
      </c>
      <c r="D3300" s="18">
        <v>0</v>
      </c>
      <c r="E3300" s="18">
        <v>0</v>
      </c>
      <c r="F3300" s="18">
        <v>0</v>
      </c>
      <c r="G3300" s="18">
        <v>0</v>
      </c>
      <c r="H3300" s="18">
        <v>0</v>
      </c>
    </row>
    <row r="3301" spans="2:8">
      <c r="B3301" s="14" t="s">
        <v>9244</v>
      </c>
      <c r="C3301" s="245" t="s">
        <v>3747</v>
      </c>
      <c r="D3301" s="15">
        <v>0</v>
      </c>
      <c r="E3301" s="15">
        <v>0</v>
      </c>
      <c r="F3301" s="15">
        <v>0</v>
      </c>
      <c r="G3301" s="15">
        <v>0</v>
      </c>
      <c r="H3301" s="15">
        <v>0</v>
      </c>
    </row>
    <row r="3302" spans="2:8">
      <c r="B3302" s="17" t="s">
        <v>9245</v>
      </c>
      <c r="C3302" s="246" t="s">
        <v>2132</v>
      </c>
      <c r="D3302" s="18">
        <v>0</v>
      </c>
      <c r="E3302" s="18">
        <v>0</v>
      </c>
      <c r="F3302" s="18">
        <v>0</v>
      </c>
      <c r="G3302" s="18">
        <v>0</v>
      </c>
      <c r="H3302" s="18">
        <v>0</v>
      </c>
    </row>
    <row r="3303" spans="2:8">
      <c r="B3303" s="14" t="s">
        <v>9246</v>
      </c>
      <c r="C3303" s="245" t="s">
        <v>3748</v>
      </c>
      <c r="D3303" s="15">
        <v>3</v>
      </c>
      <c r="E3303" s="15">
        <v>1</v>
      </c>
      <c r="F3303" s="15">
        <v>0</v>
      </c>
      <c r="G3303" s="15">
        <v>1</v>
      </c>
      <c r="H3303" s="15">
        <v>0</v>
      </c>
    </row>
    <row r="3304" spans="2:8">
      <c r="B3304" s="17" t="s">
        <v>9247</v>
      </c>
      <c r="C3304" s="246" t="s">
        <v>3749</v>
      </c>
      <c r="D3304" s="18">
        <v>0</v>
      </c>
      <c r="E3304" s="18">
        <v>0</v>
      </c>
      <c r="F3304" s="18">
        <v>0</v>
      </c>
      <c r="G3304" s="18">
        <v>0</v>
      </c>
      <c r="H3304" s="18">
        <v>0</v>
      </c>
    </row>
    <row r="3305" spans="2:8">
      <c r="B3305" s="14" t="s">
        <v>9248</v>
      </c>
      <c r="C3305" s="245" t="s">
        <v>3750</v>
      </c>
      <c r="D3305" s="15">
        <v>0</v>
      </c>
      <c r="E3305" s="15">
        <v>0</v>
      </c>
      <c r="F3305" s="15">
        <v>2</v>
      </c>
      <c r="G3305" s="15">
        <v>0</v>
      </c>
      <c r="H3305" s="15">
        <v>0</v>
      </c>
    </row>
    <row r="3306" spans="2:8">
      <c r="B3306" s="17" t="s">
        <v>9249</v>
      </c>
      <c r="C3306" s="246" t="s">
        <v>3751</v>
      </c>
      <c r="D3306" s="18">
        <v>281</v>
      </c>
      <c r="E3306" s="18">
        <v>130</v>
      </c>
      <c r="F3306" s="18">
        <v>25</v>
      </c>
      <c r="G3306" s="18">
        <v>0</v>
      </c>
      <c r="H3306" s="18">
        <v>0</v>
      </c>
    </row>
    <row r="3307" spans="2:8">
      <c r="B3307" s="14" t="s">
        <v>9250</v>
      </c>
      <c r="C3307" s="245" t="s">
        <v>3752</v>
      </c>
      <c r="D3307" s="15">
        <v>0</v>
      </c>
      <c r="E3307" s="15">
        <v>0</v>
      </c>
      <c r="F3307" s="15">
        <v>0</v>
      </c>
      <c r="G3307" s="15">
        <v>0</v>
      </c>
      <c r="H3307" s="15">
        <v>0</v>
      </c>
    </row>
    <row r="3308" spans="2:8">
      <c r="B3308" s="17" t="s">
        <v>9251</v>
      </c>
      <c r="C3308" s="246" t="s">
        <v>3753</v>
      </c>
      <c r="D3308" s="18">
        <v>95</v>
      </c>
      <c r="E3308" s="18">
        <v>5</v>
      </c>
      <c r="F3308" s="18">
        <v>0</v>
      </c>
      <c r="G3308" s="18">
        <v>22</v>
      </c>
      <c r="H3308" s="18">
        <v>0</v>
      </c>
    </row>
    <row r="3309" spans="2:8">
      <c r="B3309" s="14" t="s">
        <v>9252</v>
      </c>
      <c r="C3309" s="245" t="s">
        <v>3754</v>
      </c>
      <c r="D3309" s="15">
        <v>0</v>
      </c>
      <c r="E3309" s="15">
        <v>0</v>
      </c>
      <c r="F3309" s="15">
        <v>0</v>
      </c>
      <c r="G3309" s="15">
        <v>0</v>
      </c>
      <c r="H3309" s="15">
        <v>0</v>
      </c>
    </row>
    <row r="3310" spans="2:8">
      <c r="B3310" s="17" t="s">
        <v>9253</v>
      </c>
      <c r="C3310" s="246" t="s">
        <v>3755</v>
      </c>
      <c r="D3310" s="18">
        <v>0</v>
      </c>
      <c r="E3310" s="18">
        <v>0</v>
      </c>
      <c r="F3310" s="18">
        <v>0</v>
      </c>
      <c r="G3310" s="18">
        <v>0</v>
      </c>
      <c r="H3310" s="18">
        <v>0</v>
      </c>
    </row>
    <row r="3311" spans="2:8">
      <c r="B3311" s="14" t="s">
        <v>9254</v>
      </c>
      <c r="C3311" s="245" t="s">
        <v>3756</v>
      </c>
      <c r="D3311" s="15">
        <v>4</v>
      </c>
      <c r="E3311" s="15">
        <v>4</v>
      </c>
      <c r="F3311" s="15">
        <v>0</v>
      </c>
      <c r="G3311" s="15">
        <v>3</v>
      </c>
      <c r="H3311" s="15">
        <v>0</v>
      </c>
    </row>
    <row r="3312" spans="2:8">
      <c r="B3312" s="17" t="s">
        <v>9255</v>
      </c>
      <c r="C3312" s="246" t="s">
        <v>3757</v>
      </c>
      <c r="D3312" s="18">
        <v>2</v>
      </c>
      <c r="E3312" s="18">
        <v>0</v>
      </c>
      <c r="F3312" s="18">
        <v>7</v>
      </c>
      <c r="G3312" s="18">
        <v>0</v>
      </c>
      <c r="H3312" s="18">
        <v>0</v>
      </c>
    </row>
    <row r="3313" spans="2:8">
      <c r="B3313" s="14" t="s">
        <v>9256</v>
      </c>
      <c r="C3313" s="245" t="s">
        <v>3758</v>
      </c>
      <c r="D3313" s="15">
        <v>56</v>
      </c>
      <c r="E3313" s="15">
        <v>30</v>
      </c>
      <c r="F3313" s="15">
        <v>44</v>
      </c>
      <c r="G3313" s="15">
        <v>53</v>
      </c>
      <c r="H3313" s="15">
        <v>0</v>
      </c>
    </row>
    <row r="3314" spans="2:8">
      <c r="B3314" s="17" t="s">
        <v>9257</v>
      </c>
      <c r="C3314" s="246" t="s">
        <v>3759</v>
      </c>
      <c r="D3314" s="18">
        <v>0</v>
      </c>
      <c r="E3314" s="18">
        <v>0</v>
      </c>
      <c r="F3314" s="18">
        <v>0</v>
      </c>
      <c r="G3314" s="18">
        <v>0</v>
      </c>
      <c r="H3314" s="18">
        <v>0</v>
      </c>
    </row>
    <row r="3315" spans="2:8">
      <c r="B3315" s="14" t="s">
        <v>9258</v>
      </c>
      <c r="C3315" s="245" t="s">
        <v>3760</v>
      </c>
      <c r="D3315" s="15">
        <v>0</v>
      </c>
      <c r="E3315" s="15">
        <v>0</v>
      </c>
      <c r="F3315" s="15">
        <v>0</v>
      </c>
      <c r="G3315" s="15">
        <v>0</v>
      </c>
      <c r="H3315" s="15">
        <v>0</v>
      </c>
    </row>
    <row r="3316" spans="2:8">
      <c r="B3316" s="17" t="s">
        <v>9259</v>
      </c>
      <c r="C3316" s="246" t="s">
        <v>3761</v>
      </c>
      <c r="D3316" s="18">
        <v>4</v>
      </c>
      <c r="E3316" s="18">
        <v>0</v>
      </c>
      <c r="F3316" s="18">
        <v>0</v>
      </c>
      <c r="G3316" s="18">
        <v>0</v>
      </c>
      <c r="H3316" s="18">
        <v>0</v>
      </c>
    </row>
    <row r="3317" spans="2:8">
      <c r="B3317" s="14" t="s">
        <v>9260</v>
      </c>
      <c r="C3317" s="245" t="s">
        <v>3762</v>
      </c>
      <c r="D3317" s="15">
        <v>0</v>
      </c>
      <c r="E3317" s="15">
        <v>0</v>
      </c>
      <c r="F3317" s="15">
        <v>0</v>
      </c>
      <c r="G3317" s="15">
        <v>0</v>
      </c>
      <c r="H3317" s="15">
        <v>0</v>
      </c>
    </row>
    <row r="3318" spans="2:8">
      <c r="B3318" s="17" t="s">
        <v>9261</v>
      </c>
      <c r="C3318" s="246" t="s">
        <v>3763</v>
      </c>
      <c r="D3318" s="18">
        <v>0</v>
      </c>
      <c r="E3318" s="18">
        <v>0</v>
      </c>
      <c r="F3318" s="18">
        <v>0</v>
      </c>
      <c r="G3318" s="18">
        <v>0</v>
      </c>
      <c r="H3318" s="18">
        <v>0</v>
      </c>
    </row>
    <row r="3319" spans="2:8">
      <c r="B3319" s="14" t="s">
        <v>9262</v>
      </c>
      <c r="C3319" s="245" t="s">
        <v>3764</v>
      </c>
      <c r="D3319" s="15">
        <v>0</v>
      </c>
      <c r="E3319" s="15">
        <v>0</v>
      </c>
      <c r="F3319" s="15">
        <v>0</v>
      </c>
      <c r="G3319" s="15">
        <v>0</v>
      </c>
      <c r="H3319" s="15">
        <v>0</v>
      </c>
    </row>
    <row r="3320" spans="2:8">
      <c r="B3320" s="17" t="s">
        <v>9263</v>
      </c>
      <c r="C3320" s="246" t="s">
        <v>3765</v>
      </c>
      <c r="D3320" s="18">
        <v>0</v>
      </c>
      <c r="E3320" s="18">
        <v>0</v>
      </c>
      <c r="F3320" s="18">
        <v>0</v>
      </c>
      <c r="G3320" s="18">
        <v>0</v>
      </c>
      <c r="H3320" s="18">
        <v>0</v>
      </c>
    </row>
    <row r="3321" spans="2:8">
      <c r="B3321" s="14" t="s">
        <v>9264</v>
      </c>
      <c r="C3321" s="245" t="s">
        <v>3766</v>
      </c>
      <c r="D3321" s="15">
        <v>0</v>
      </c>
      <c r="E3321" s="15">
        <v>0</v>
      </c>
      <c r="F3321" s="15">
        <v>0</v>
      </c>
      <c r="G3321" s="15">
        <v>0</v>
      </c>
      <c r="H3321" s="15">
        <v>0</v>
      </c>
    </row>
    <row r="3322" spans="2:8">
      <c r="B3322" s="17" t="s">
        <v>9265</v>
      </c>
      <c r="C3322" s="246" t="s">
        <v>3767</v>
      </c>
      <c r="D3322" s="18">
        <v>0</v>
      </c>
      <c r="E3322" s="18">
        <v>0</v>
      </c>
      <c r="F3322" s="18">
        <v>0</v>
      </c>
      <c r="G3322" s="18">
        <v>0</v>
      </c>
      <c r="H3322" s="18">
        <v>0</v>
      </c>
    </row>
    <row r="3323" spans="2:8">
      <c r="B3323" s="14" t="s">
        <v>9266</v>
      </c>
      <c r="C3323" s="245" t="s">
        <v>3768</v>
      </c>
      <c r="D3323" s="15">
        <v>0</v>
      </c>
      <c r="E3323" s="15">
        <v>0</v>
      </c>
      <c r="F3323" s="15">
        <v>0</v>
      </c>
      <c r="G3323" s="15">
        <v>0</v>
      </c>
      <c r="H3323" s="15">
        <v>0</v>
      </c>
    </row>
    <row r="3324" spans="2:8">
      <c r="B3324" s="17" t="s">
        <v>9267</v>
      </c>
      <c r="C3324" s="246" t="s">
        <v>3769</v>
      </c>
      <c r="D3324" s="18">
        <v>0</v>
      </c>
      <c r="E3324" s="18">
        <v>0</v>
      </c>
      <c r="F3324" s="18">
        <v>0</v>
      </c>
      <c r="G3324" s="18">
        <v>0</v>
      </c>
      <c r="H3324" s="18">
        <v>0</v>
      </c>
    </row>
    <row r="3325" spans="2:8">
      <c r="B3325" s="14" t="s">
        <v>9268</v>
      </c>
      <c r="C3325" s="245" t="s">
        <v>3770</v>
      </c>
      <c r="D3325" s="15">
        <v>0</v>
      </c>
      <c r="E3325" s="15">
        <v>0</v>
      </c>
      <c r="F3325" s="15">
        <v>0</v>
      </c>
      <c r="G3325" s="15">
        <v>0</v>
      </c>
      <c r="H3325" s="15">
        <v>0</v>
      </c>
    </row>
    <row r="3326" spans="2:8">
      <c r="B3326" s="17" t="s">
        <v>9269</v>
      </c>
      <c r="C3326" s="246" t="s">
        <v>3771</v>
      </c>
      <c r="D3326" s="18">
        <v>19</v>
      </c>
      <c r="E3326" s="18">
        <v>24</v>
      </c>
      <c r="F3326" s="18">
        <v>13</v>
      </c>
      <c r="G3326" s="18">
        <v>0</v>
      </c>
      <c r="H3326" s="18">
        <v>0</v>
      </c>
    </row>
    <row r="3327" spans="2:8">
      <c r="B3327" s="14" t="s">
        <v>9270</v>
      </c>
      <c r="C3327" s="245" t="s">
        <v>3772</v>
      </c>
      <c r="D3327" s="15">
        <v>0</v>
      </c>
      <c r="E3327" s="15">
        <v>0</v>
      </c>
      <c r="F3327" s="15">
        <v>0</v>
      </c>
      <c r="G3327" s="15">
        <v>0</v>
      </c>
      <c r="H3327" s="15">
        <v>0</v>
      </c>
    </row>
    <row r="3328" spans="2:8">
      <c r="B3328" s="17" t="s">
        <v>9271</v>
      </c>
      <c r="C3328" s="246" t="s">
        <v>3773</v>
      </c>
      <c r="D3328" s="18">
        <v>93</v>
      </c>
      <c r="E3328" s="18">
        <v>22</v>
      </c>
      <c r="F3328" s="18">
        <v>2521</v>
      </c>
      <c r="G3328" s="18">
        <v>55</v>
      </c>
      <c r="H3328" s="18">
        <v>0</v>
      </c>
    </row>
    <row r="3329" spans="2:8">
      <c r="B3329" s="14" t="s">
        <v>9272</v>
      </c>
      <c r="C3329" s="245" t="s">
        <v>3774</v>
      </c>
      <c r="D3329" s="15">
        <v>0</v>
      </c>
      <c r="E3329" s="15">
        <v>0</v>
      </c>
      <c r="F3329" s="15">
        <v>0</v>
      </c>
      <c r="G3329" s="15">
        <v>0</v>
      </c>
      <c r="H3329" s="15">
        <v>0</v>
      </c>
    </row>
    <row r="3330" spans="2:8">
      <c r="B3330" s="17" t="s">
        <v>9273</v>
      </c>
      <c r="C3330" s="246" t="s">
        <v>3775</v>
      </c>
      <c r="D3330" s="18">
        <v>0</v>
      </c>
      <c r="E3330" s="18">
        <v>0</v>
      </c>
      <c r="F3330" s="18">
        <v>0</v>
      </c>
      <c r="G3330" s="18">
        <v>0</v>
      </c>
      <c r="H3330" s="18">
        <v>0</v>
      </c>
    </row>
    <row r="3331" spans="2:8">
      <c r="B3331" s="14" t="s">
        <v>9274</v>
      </c>
      <c r="C3331" s="245" t="s">
        <v>2141</v>
      </c>
      <c r="D3331" s="15">
        <v>0</v>
      </c>
      <c r="E3331" s="15">
        <v>0</v>
      </c>
      <c r="F3331" s="15">
        <v>0</v>
      </c>
      <c r="G3331" s="15">
        <v>0</v>
      </c>
      <c r="H3331" s="15">
        <v>0</v>
      </c>
    </row>
    <row r="3332" spans="2:8">
      <c r="B3332" s="17" t="s">
        <v>9275</v>
      </c>
      <c r="C3332" s="246" t="s">
        <v>2141</v>
      </c>
      <c r="D3332" s="18">
        <v>0</v>
      </c>
      <c r="E3332" s="18">
        <v>0</v>
      </c>
      <c r="F3332" s="18">
        <v>0</v>
      </c>
      <c r="G3332" s="18">
        <v>0</v>
      </c>
      <c r="H3332" s="18">
        <v>0</v>
      </c>
    </row>
    <row r="3333" spans="2:8">
      <c r="B3333" s="14" t="s">
        <v>9276</v>
      </c>
      <c r="C3333" s="245" t="s">
        <v>2141</v>
      </c>
      <c r="D3333" s="15">
        <v>0</v>
      </c>
      <c r="E3333" s="15">
        <v>0</v>
      </c>
      <c r="F3333" s="15">
        <v>0</v>
      </c>
      <c r="G3333" s="15">
        <v>0</v>
      </c>
      <c r="H3333" s="15">
        <v>0</v>
      </c>
    </row>
    <row r="3334" spans="2:8">
      <c r="B3334" s="17" t="s">
        <v>9277</v>
      </c>
      <c r="C3334" s="246" t="s">
        <v>3084</v>
      </c>
      <c r="D3334" s="18">
        <v>0</v>
      </c>
      <c r="E3334" s="18">
        <v>0</v>
      </c>
      <c r="F3334" s="18">
        <v>0</v>
      </c>
      <c r="G3334" s="18">
        <v>0</v>
      </c>
      <c r="H3334" s="18">
        <v>0</v>
      </c>
    </row>
    <row r="3335" spans="2:8">
      <c r="B3335" s="14" t="s">
        <v>9278</v>
      </c>
      <c r="C3335" s="245" t="s">
        <v>2142</v>
      </c>
      <c r="D3335" s="15">
        <v>0</v>
      </c>
      <c r="E3335" s="15">
        <v>0</v>
      </c>
      <c r="F3335" s="15">
        <v>0</v>
      </c>
      <c r="G3335" s="15">
        <v>0</v>
      </c>
      <c r="H3335" s="15">
        <v>0</v>
      </c>
    </row>
    <row r="3336" spans="2:8">
      <c r="B3336" s="17" t="s">
        <v>9279</v>
      </c>
      <c r="C3336" s="246" t="s">
        <v>2144</v>
      </c>
      <c r="D3336" s="18">
        <v>0</v>
      </c>
      <c r="E3336" s="18">
        <v>0</v>
      </c>
      <c r="F3336" s="18">
        <v>0</v>
      </c>
      <c r="G3336" s="18">
        <v>0</v>
      </c>
      <c r="H3336" s="18">
        <v>0</v>
      </c>
    </row>
    <row r="3337" spans="2:8">
      <c r="B3337" s="14" t="s">
        <v>9280</v>
      </c>
      <c r="C3337" s="245" t="s">
        <v>2149</v>
      </c>
      <c r="D3337" s="15">
        <v>0</v>
      </c>
      <c r="E3337" s="15">
        <v>0</v>
      </c>
      <c r="F3337" s="15">
        <v>0</v>
      </c>
      <c r="G3337" s="15">
        <v>0</v>
      </c>
      <c r="H3337" s="15">
        <v>0</v>
      </c>
    </row>
    <row r="3338" spans="2:8">
      <c r="B3338" s="17" t="s">
        <v>9281</v>
      </c>
      <c r="C3338" s="246" t="s">
        <v>3776</v>
      </c>
      <c r="D3338" s="18">
        <v>0</v>
      </c>
      <c r="E3338" s="18">
        <v>0</v>
      </c>
      <c r="F3338" s="18">
        <v>0</v>
      </c>
      <c r="G3338" s="18">
        <v>0</v>
      </c>
      <c r="H3338" s="18">
        <v>0</v>
      </c>
    </row>
    <row r="3339" spans="2:8">
      <c r="B3339" s="14" t="s">
        <v>9282</v>
      </c>
      <c r="C3339" s="245" t="s">
        <v>3777</v>
      </c>
      <c r="D3339" s="15">
        <v>0</v>
      </c>
      <c r="E3339" s="15">
        <v>0</v>
      </c>
      <c r="F3339" s="15">
        <v>0</v>
      </c>
      <c r="G3339" s="15">
        <v>0</v>
      </c>
      <c r="H3339" s="15">
        <v>0</v>
      </c>
    </row>
    <row r="3340" spans="2:8">
      <c r="B3340" s="17" t="s">
        <v>9283</v>
      </c>
      <c r="C3340" s="246" t="s">
        <v>2802</v>
      </c>
      <c r="D3340" s="18">
        <v>0</v>
      </c>
      <c r="E3340" s="18">
        <v>0</v>
      </c>
      <c r="F3340" s="18">
        <v>0</v>
      </c>
      <c r="G3340" s="18">
        <v>0</v>
      </c>
      <c r="H3340" s="18">
        <v>0</v>
      </c>
    </row>
    <row r="3341" spans="2:8">
      <c r="B3341" s="14" t="s">
        <v>9284</v>
      </c>
      <c r="C3341" s="245" t="s">
        <v>3778</v>
      </c>
      <c r="D3341" s="15">
        <v>0</v>
      </c>
      <c r="E3341" s="15">
        <v>0</v>
      </c>
      <c r="F3341" s="15">
        <v>0</v>
      </c>
      <c r="G3341" s="15">
        <v>0</v>
      </c>
      <c r="H3341" s="15">
        <v>0</v>
      </c>
    </row>
    <row r="3342" spans="2:8">
      <c r="B3342" s="17" t="s">
        <v>9285</v>
      </c>
      <c r="C3342" s="246" t="s">
        <v>3779</v>
      </c>
      <c r="D3342" s="18">
        <v>0</v>
      </c>
      <c r="E3342" s="18">
        <v>0</v>
      </c>
      <c r="F3342" s="18">
        <v>0</v>
      </c>
      <c r="G3342" s="18">
        <v>0</v>
      </c>
      <c r="H3342" s="18">
        <v>0</v>
      </c>
    </row>
    <row r="3343" spans="2:8">
      <c r="B3343" s="14" t="s">
        <v>9286</v>
      </c>
      <c r="C3343" s="245" t="s">
        <v>3780</v>
      </c>
      <c r="D3343" s="15">
        <v>0</v>
      </c>
      <c r="E3343" s="15">
        <v>0</v>
      </c>
      <c r="F3343" s="15">
        <v>0</v>
      </c>
      <c r="G3343" s="15">
        <v>0</v>
      </c>
      <c r="H3343" s="15">
        <v>0</v>
      </c>
    </row>
    <row r="3344" spans="2:8">
      <c r="B3344" s="17" t="s">
        <v>9287</v>
      </c>
      <c r="C3344" s="246" t="s">
        <v>3781</v>
      </c>
      <c r="D3344" s="18">
        <v>0</v>
      </c>
      <c r="E3344" s="18">
        <v>0</v>
      </c>
      <c r="F3344" s="18">
        <v>0</v>
      </c>
      <c r="G3344" s="18">
        <v>0</v>
      </c>
      <c r="H3344" s="18">
        <v>0</v>
      </c>
    </row>
    <row r="3345" spans="2:8">
      <c r="B3345" s="14" t="s">
        <v>9288</v>
      </c>
      <c r="C3345" s="245" t="s">
        <v>3782</v>
      </c>
      <c r="D3345" s="15">
        <v>0</v>
      </c>
      <c r="E3345" s="15">
        <v>0</v>
      </c>
      <c r="F3345" s="15">
        <v>0</v>
      </c>
      <c r="G3345" s="15">
        <v>0</v>
      </c>
      <c r="H3345" s="15">
        <v>0</v>
      </c>
    </row>
    <row r="3346" spans="2:8">
      <c r="B3346" s="17" t="s">
        <v>9289</v>
      </c>
      <c r="C3346" s="246" t="s">
        <v>3783</v>
      </c>
      <c r="D3346" s="18">
        <v>0</v>
      </c>
      <c r="E3346" s="18">
        <v>0</v>
      </c>
      <c r="F3346" s="18">
        <v>0</v>
      </c>
      <c r="G3346" s="18">
        <v>0</v>
      </c>
      <c r="H3346" s="18">
        <v>0</v>
      </c>
    </row>
    <row r="3347" spans="2:8">
      <c r="B3347" s="14" t="s">
        <v>9290</v>
      </c>
      <c r="C3347" s="245" t="s">
        <v>2158</v>
      </c>
      <c r="D3347" s="15">
        <v>0</v>
      </c>
      <c r="E3347" s="15">
        <v>0</v>
      </c>
      <c r="F3347" s="15">
        <v>0</v>
      </c>
      <c r="G3347" s="15">
        <v>0</v>
      </c>
      <c r="H3347" s="15">
        <v>0</v>
      </c>
    </row>
    <row r="3348" spans="2:8">
      <c r="B3348" s="17" t="s">
        <v>9291</v>
      </c>
      <c r="C3348" s="246" t="s">
        <v>2809</v>
      </c>
      <c r="D3348" s="18">
        <v>0</v>
      </c>
      <c r="E3348" s="18">
        <v>0</v>
      </c>
      <c r="F3348" s="18">
        <v>0</v>
      </c>
      <c r="G3348" s="18">
        <v>0</v>
      </c>
      <c r="H3348" s="18">
        <v>0</v>
      </c>
    </row>
    <row r="3349" spans="2:8">
      <c r="B3349" s="14" t="s">
        <v>9292</v>
      </c>
      <c r="C3349" s="245" t="s">
        <v>3784</v>
      </c>
      <c r="D3349" s="15">
        <v>0</v>
      </c>
      <c r="E3349" s="15">
        <v>0</v>
      </c>
      <c r="F3349" s="15">
        <v>0</v>
      </c>
      <c r="G3349" s="15">
        <v>0</v>
      </c>
      <c r="H3349" s="15">
        <v>0</v>
      </c>
    </row>
    <row r="3350" spans="2:8">
      <c r="B3350" s="17" t="s">
        <v>9293</v>
      </c>
      <c r="C3350" s="246" t="s">
        <v>3785</v>
      </c>
      <c r="D3350" s="18">
        <v>0</v>
      </c>
      <c r="E3350" s="18">
        <v>0</v>
      </c>
      <c r="F3350" s="18">
        <v>0</v>
      </c>
      <c r="G3350" s="18">
        <v>0</v>
      </c>
      <c r="H3350" s="18">
        <v>0</v>
      </c>
    </row>
    <row r="3351" spans="2:8">
      <c r="B3351" s="14" t="s">
        <v>9294</v>
      </c>
      <c r="C3351" s="245" t="s">
        <v>3786</v>
      </c>
      <c r="D3351" s="15">
        <v>0</v>
      </c>
      <c r="E3351" s="15">
        <v>0</v>
      </c>
      <c r="F3351" s="15">
        <v>0</v>
      </c>
      <c r="G3351" s="15">
        <v>0</v>
      </c>
      <c r="H3351" s="15">
        <v>0</v>
      </c>
    </row>
    <row r="3352" spans="2:8">
      <c r="B3352" s="17" t="s">
        <v>9295</v>
      </c>
      <c r="C3352" s="246" t="s">
        <v>3787</v>
      </c>
      <c r="D3352" s="18">
        <v>0</v>
      </c>
      <c r="E3352" s="18">
        <v>0</v>
      </c>
      <c r="F3352" s="18">
        <v>0</v>
      </c>
      <c r="G3352" s="18">
        <v>0</v>
      </c>
      <c r="H3352" s="18">
        <v>0</v>
      </c>
    </row>
    <row r="3353" spans="2:8">
      <c r="B3353" s="14" t="s">
        <v>9296</v>
      </c>
      <c r="C3353" s="245" t="s">
        <v>3788</v>
      </c>
      <c r="D3353" s="15">
        <v>19</v>
      </c>
      <c r="E3353" s="15">
        <v>0</v>
      </c>
      <c r="F3353" s="15">
        <v>4</v>
      </c>
      <c r="G3353" s="15">
        <v>0</v>
      </c>
      <c r="H3353" s="15">
        <v>0</v>
      </c>
    </row>
    <row r="3354" spans="2:8">
      <c r="B3354" s="17" t="s">
        <v>9297</v>
      </c>
      <c r="C3354" s="246" t="s">
        <v>1800</v>
      </c>
      <c r="D3354" s="18">
        <v>0</v>
      </c>
      <c r="E3354" s="18">
        <v>21</v>
      </c>
      <c r="F3354" s="18">
        <v>18</v>
      </c>
      <c r="G3354" s="18">
        <v>0</v>
      </c>
      <c r="H3354" s="18">
        <v>0</v>
      </c>
    </row>
    <row r="3355" spans="2:8">
      <c r="B3355" s="14" t="s">
        <v>9298</v>
      </c>
      <c r="C3355" s="245" t="s">
        <v>1800</v>
      </c>
      <c r="D3355" s="15">
        <v>0</v>
      </c>
      <c r="E3355" s="15">
        <v>0</v>
      </c>
      <c r="F3355" s="15">
        <v>24</v>
      </c>
      <c r="G3355" s="15">
        <v>46</v>
      </c>
      <c r="H3355" s="15">
        <v>0</v>
      </c>
    </row>
    <row r="3356" spans="2:8">
      <c r="B3356" s="17" t="s">
        <v>9299</v>
      </c>
      <c r="C3356" s="246" t="s">
        <v>3789</v>
      </c>
      <c r="D3356" s="18">
        <v>0</v>
      </c>
      <c r="E3356" s="18">
        <v>0</v>
      </c>
      <c r="F3356" s="18">
        <v>2</v>
      </c>
      <c r="G3356" s="18">
        <v>0</v>
      </c>
      <c r="H3356" s="18">
        <v>0</v>
      </c>
    </row>
    <row r="3357" spans="2:8">
      <c r="B3357" s="14" t="s">
        <v>9300</v>
      </c>
      <c r="C3357" s="245" t="s">
        <v>3790</v>
      </c>
      <c r="D3357" s="15">
        <v>0</v>
      </c>
      <c r="E3357" s="15">
        <v>0</v>
      </c>
      <c r="F3357" s="15">
        <v>0</v>
      </c>
      <c r="G3357" s="15">
        <v>0</v>
      </c>
      <c r="H3357" s="15">
        <v>0</v>
      </c>
    </row>
    <row r="3358" spans="2:8">
      <c r="B3358" s="17" t="s">
        <v>9301</v>
      </c>
      <c r="C3358" s="246" t="s">
        <v>2182</v>
      </c>
      <c r="D3358" s="18">
        <v>0</v>
      </c>
      <c r="E3358" s="18">
        <v>0</v>
      </c>
      <c r="F3358" s="18">
        <v>0</v>
      </c>
      <c r="G3358" s="18">
        <v>0</v>
      </c>
      <c r="H3358" s="18">
        <v>0</v>
      </c>
    </row>
    <row r="3359" spans="2:8">
      <c r="B3359" s="14" t="s">
        <v>9302</v>
      </c>
      <c r="C3359" s="245" t="s">
        <v>3791</v>
      </c>
      <c r="D3359" s="15">
        <v>0</v>
      </c>
      <c r="E3359" s="15">
        <v>0</v>
      </c>
      <c r="F3359" s="15">
        <v>0</v>
      </c>
      <c r="G3359" s="15">
        <v>0</v>
      </c>
      <c r="H3359" s="15">
        <v>0</v>
      </c>
    </row>
    <row r="3360" spans="2:8">
      <c r="B3360" s="17" t="s">
        <v>9303</v>
      </c>
      <c r="C3360" s="246" t="s">
        <v>3792</v>
      </c>
      <c r="D3360" s="18">
        <v>0</v>
      </c>
      <c r="E3360" s="18">
        <v>0</v>
      </c>
      <c r="F3360" s="18">
        <v>0</v>
      </c>
      <c r="G3360" s="18">
        <v>0</v>
      </c>
      <c r="H3360" s="18">
        <v>0</v>
      </c>
    </row>
    <row r="3361" spans="2:8">
      <c r="B3361" s="14" t="s">
        <v>9304</v>
      </c>
      <c r="C3361" s="245" t="s">
        <v>3793</v>
      </c>
      <c r="D3361" s="15">
        <v>4</v>
      </c>
      <c r="E3361" s="15">
        <v>3</v>
      </c>
      <c r="F3361" s="15">
        <v>10</v>
      </c>
      <c r="G3361" s="15">
        <v>0</v>
      </c>
      <c r="H3361" s="15">
        <v>0</v>
      </c>
    </row>
    <row r="3362" spans="2:8">
      <c r="B3362" s="17" t="s">
        <v>9305</v>
      </c>
      <c r="C3362" s="246" t="s">
        <v>3794</v>
      </c>
      <c r="D3362" s="18">
        <v>0</v>
      </c>
      <c r="E3362" s="18">
        <v>0</v>
      </c>
      <c r="F3362" s="18">
        <v>0</v>
      </c>
      <c r="G3362" s="18">
        <v>0</v>
      </c>
      <c r="H3362" s="18">
        <v>0</v>
      </c>
    </row>
    <row r="3363" spans="2:8">
      <c r="B3363" s="14" t="s">
        <v>9306</v>
      </c>
      <c r="C3363" s="245" t="s">
        <v>3795</v>
      </c>
      <c r="D3363" s="15">
        <v>0</v>
      </c>
      <c r="E3363" s="15">
        <v>0</v>
      </c>
      <c r="F3363" s="15">
        <v>0</v>
      </c>
      <c r="G3363" s="15">
        <v>0</v>
      </c>
      <c r="H3363" s="15">
        <v>0</v>
      </c>
    </row>
    <row r="3364" spans="2:8">
      <c r="B3364" s="17" t="s">
        <v>9307</v>
      </c>
      <c r="C3364" s="246" t="s">
        <v>3796</v>
      </c>
      <c r="D3364" s="18">
        <v>0</v>
      </c>
      <c r="E3364" s="18">
        <v>0</v>
      </c>
      <c r="F3364" s="18">
        <v>0</v>
      </c>
      <c r="G3364" s="18">
        <v>0</v>
      </c>
      <c r="H3364" s="18">
        <v>0</v>
      </c>
    </row>
    <row r="3365" spans="2:8">
      <c r="B3365" s="14" t="s">
        <v>9308</v>
      </c>
      <c r="C3365" s="245" t="s">
        <v>3797</v>
      </c>
      <c r="D3365" s="15">
        <v>0</v>
      </c>
      <c r="E3365" s="15">
        <v>0</v>
      </c>
      <c r="F3365" s="15">
        <v>0</v>
      </c>
      <c r="G3365" s="15">
        <v>0</v>
      </c>
      <c r="H3365" s="15">
        <v>0</v>
      </c>
    </row>
    <row r="3366" spans="2:8">
      <c r="B3366" s="17" t="s">
        <v>9309</v>
      </c>
      <c r="C3366" s="246" t="s">
        <v>3798</v>
      </c>
      <c r="D3366" s="18">
        <v>0</v>
      </c>
      <c r="E3366" s="18">
        <v>0</v>
      </c>
      <c r="F3366" s="18">
        <v>0</v>
      </c>
      <c r="G3366" s="18">
        <v>0</v>
      </c>
      <c r="H3366" s="18">
        <v>0</v>
      </c>
    </row>
    <row r="3367" spans="2:8">
      <c r="B3367" s="14" t="s">
        <v>9310</v>
      </c>
      <c r="C3367" s="245" t="s">
        <v>3799</v>
      </c>
      <c r="D3367" s="15">
        <v>0</v>
      </c>
      <c r="E3367" s="15">
        <v>0</v>
      </c>
      <c r="F3367" s="15">
        <v>0</v>
      </c>
      <c r="G3367" s="15">
        <v>0</v>
      </c>
      <c r="H3367" s="15">
        <v>0</v>
      </c>
    </row>
    <row r="3368" spans="2:8">
      <c r="B3368" s="17" t="s">
        <v>9311</v>
      </c>
      <c r="C3368" s="246" t="s">
        <v>3800</v>
      </c>
      <c r="D3368" s="18">
        <v>0</v>
      </c>
      <c r="E3368" s="18">
        <v>0</v>
      </c>
      <c r="F3368" s="18">
        <v>0</v>
      </c>
      <c r="G3368" s="18">
        <v>0</v>
      </c>
      <c r="H3368" s="18">
        <v>0</v>
      </c>
    </row>
    <row r="3369" spans="2:8">
      <c r="B3369" s="14" t="s">
        <v>9312</v>
      </c>
      <c r="C3369" s="245" t="s">
        <v>3801</v>
      </c>
      <c r="D3369" s="15">
        <v>0</v>
      </c>
      <c r="E3369" s="15">
        <v>0</v>
      </c>
      <c r="F3369" s="15">
        <v>0</v>
      </c>
      <c r="G3369" s="15">
        <v>0</v>
      </c>
      <c r="H3369" s="15">
        <v>0</v>
      </c>
    </row>
    <row r="3370" spans="2:8">
      <c r="B3370" s="17" t="s">
        <v>9313</v>
      </c>
      <c r="C3370" s="246" t="s">
        <v>3802</v>
      </c>
      <c r="D3370" s="18">
        <v>0</v>
      </c>
      <c r="E3370" s="18">
        <v>0</v>
      </c>
      <c r="F3370" s="18">
        <v>0</v>
      </c>
      <c r="G3370" s="18">
        <v>0</v>
      </c>
      <c r="H3370" s="18">
        <v>0</v>
      </c>
    </row>
    <row r="3371" spans="2:8">
      <c r="B3371" s="14" t="s">
        <v>9314</v>
      </c>
      <c r="C3371" s="245" t="s">
        <v>3803</v>
      </c>
      <c r="D3371" s="15">
        <v>0</v>
      </c>
      <c r="E3371" s="15">
        <v>0</v>
      </c>
      <c r="F3371" s="15">
        <v>0</v>
      </c>
      <c r="G3371" s="15">
        <v>0</v>
      </c>
      <c r="H3371" s="15">
        <v>0</v>
      </c>
    </row>
    <row r="3372" spans="2:8">
      <c r="B3372" s="17" t="s">
        <v>9315</v>
      </c>
      <c r="C3372" s="246" t="s">
        <v>3804</v>
      </c>
      <c r="D3372" s="18">
        <v>0</v>
      </c>
      <c r="E3372" s="18">
        <v>0</v>
      </c>
      <c r="F3372" s="18">
        <v>0</v>
      </c>
      <c r="G3372" s="18">
        <v>0</v>
      </c>
      <c r="H3372" s="18">
        <v>0</v>
      </c>
    </row>
    <row r="3373" spans="2:8">
      <c r="B3373" s="14" t="s">
        <v>9316</v>
      </c>
      <c r="C3373" s="245" t="s">
        <v>3805</v>
      </c>
      <c r="D3373" s="15">
        <v>0</v>
      </c>
      <c r="E3373" s="15">
        <v>0</v>
      </c>
      <c r="F3373" s="15">
        <v>0</v>
      </c>
      <c r="G3373" s="15">
        <v>0</v>
      </c>
      <c r="H3373" s="15">
        <v>0</v>
      </c>
    </row>
    <row r="3374" spans="2:8">
      <c r="B3374" s="17" t="s">
        <v>9317</v>
      </c>
      <c r="C3374" s="246" t="s">
        <v>2494</v>
      </c>
      <c r="D3374" s="18">
        <v>0</v>
      </c>
      <c r="E3374" s="18">
        <v>0</v>
      </c>
      <c r="F3374" s="18">
        <v>0</v>
      </c>
      <c r="G3374" s="18">
        <v>0</v>
      </c>
      <c r="H3374" s="18">
        <v>0</v>
      </c>
    </row>
    <row r="3375" spans="2:8">
      <c r="B3375" s="14" t="s">
        <v>9318</v>
      </c>
      <c r="C3375" s="245" t="s">
        <v>2494</v>
      </c>
      <c r="D3375" s="15">
        <v>0</v>
      </c>
      <c r="E3375" s="15">
        <v>0</v>
      </c>
      <c r="F3375" s="15">
        <v>0</v>
      </c>
      <c r="G3375" s="15">
        <v>0</v>
      </c>
      <c r="H3375" s="15">
        <v>0</v>
      </c>
    </row>
    <row r="3376" spans="2:8">
      <c r="B3376" s="17" t="s">
        <v>9319</v>
      </c>
      <c r="C3376" s="246" t="s">
        <v>2179</v>
      </c>
      <c r="D3376" s="18">
        <v>0</v>
      </c>
      <c r="E3376" s="18">
        <v>0</v>
      </c>
      <c r="F3376" s="18">
        <v>0</v>
      </c>
      <c r="G3376" s="18">
        <v>0</v>
      </c>
      <c r="H3376" s="18">
        <v>0</v>
      </c>
    </row>
    <row r="3377" spans="2:8">
      <c r="B3377" s="14" t="s">
        <v>9320</v>
      </c>
      <c r="C3377" s="245" t="s">
        <v>2179</v>
      </c>
      <c r="D3377" s="15">
        <v>0</v>
      </c>
      <c r="E3377" s="15">
        <v>0</v>
      </c>
      <c r="F3377" s="15">
        <v>0</v>
      </c>
      <c r="G3377" s="15">
        <v>0</v>
      </c>
      <c r="H3377" s="15">
        <v>0</v>
      </c>
    </row>
    <row r="3378" spans="2:8">
      <c r="B3378" s="17" t="s">
        <v>9321</v>
      </c>
      <c r="C3378" s="246" t="s">
        <v>1716</v>
      </c>
      <c r="D3378" s="18">
        <v>0</v>
      </c>
      <c r="E3378" s="18">
        <v>0</v>
      </c>
      <c r="F3378" s="18">
        <v>0</v>
      </c>
      <c r="G3378" s="18">
        <v>0</v>
      </c>
      <c r="H3378" s="18">
        <v>0</v>
      </c>
    </row>
    <row r="3379" spans="2:8">
      <c r="B3379" s="14" t="s">
        <v>9322</v>
      </c>
      <c r="C3379" s="245" t="s">
        <v>1523</v>
      </c>
      <c r="D3379" s="15">
        <v>0</v>
      </c>
      <c r="E3379" s="15">
        <v>0</v>
      </c>
      <c r="F3379" s="15">
        <v>0</v>
      </c>
      <c r="G3379" s="15">
        <v>0</v>
      </c>
      <c r="H3379" s="15">
        <v>0</v>
      </c>
    </row>
    <row r="3380" spans="2:8">
      <c r="B3380" s="17" t="s">
        <v>9323</v>
      </c>
      <c r="C3380" s="246" t="s">
        <v>1523</v>
      </c>
      <c r="D3380" s="18">
        <v>0</v>
      </c>
      <c r="E3380" s="18">
        <v>0</v>
      </c>
      <c r="F3380" s="18">
        <v>0</v>
      </c>
      <c r="G3380" s="18">
        <v>0</v>
      </c>
      <c r="H3380" s="18">
        <v>0</v>
      </c>
    </row>
    <row r="3381" spans="2:8">
      <c r="B3381" s="14" t="s">
        <v>9324</v>
      </c>
      <c r="C3381" s="245" t="s">
        <v>1375</v>
      </c>
      <c r="D3381" s="15">
        <v>0</v>
      </c>
      <c r="E3381" s="15">
        <v>0</v>
      </c>
      <c r="F3381" s="15">
        <v>0</v>
      </c>
      <c r="G3381" s="15">
        <v>0</v>
      </c>
      <c r="H3381" s="15">
        <v>0</v>
      </c>
    </row>
    <row r="3382" spans="2:8">
      <c r="B3382" s="17" t="s">
        <v>9325</v>
      </c>
      <c r="C3382" s="246" t="s">
        <v>1375</v>
      </c>
      <c r="D3382" s="18">
        <v>0</v>
      </c>
      <c r="E3382" s="18">
        <v>0</v>
      </c>
      <c r="F3382" s="18">
        <v>0</v>
      </c>
      <c r="G3382" s="18">
        <v>27</v>
      </c>
      <c r="H3382" s="18">
        <v>0</v>
      </c>
    </row>
    <row r="3383" spans="2:8">
      <c r="B3383" s="14" t="s">
        <v>9326</v>
      </c>
      <c r="C3383" s="245" t="s">
        <v>2183</v>
      </c>
      <c r="D3383" s="15">
        <v>0</v>
      </c>
      <c r="E3383" s="15">
        <v>0</v>
      </c>
      <c r="F3383" s="15">
        <v>0</v>
      </c>
      <c r="G3383" s="15">
        <v>0</v>
      </c>
      <c r="H3383" s="15">
        <v>0</v>
      </c>
    </row>
    <row r="3384" spans="2:8">
      <c r="B3384" s="17" t="s">
        <v>9327</v>
      </c>
      <c r="C3384" s="246" t="s">
        <v>3806</v>
      </c>
      <c r="D3384" s="18">
        <v>0</v>
      </c>
      <c r="E3384" s="18">
        <v>0</v>
      </c>
      <c r="F3384" s="18">
        <v>0</v>
      </c>
      <c r="G3384" s="18">
        <v>0</v>
      </c>
      <c r="H3384" s="18">
        <v>0</v>
      </c>
    </row>
    <row r="3385" spans="2:8">
      <c r="B3385" s="14" t="s">
        <v>9328</v>
      </c>
      <c r="C3385" s="245" t="s">
        <v>3807</v>
      </c>
      <c r="D3385" s="15">
        <v>0</v>
      </c>
      <c r="E3385" s="15">
        <v>0</v>
      </c>
      <c r="F3385" s="15">
        <v>0</v>
      </c>
      <c r="G3385" s="15">
        <v>0</v>
      </c>
      <c r="H3385" s="15">
        <v>0</v>
      </c>
    </row>
    <row r="3386" spans="2:8">
      <c r="B3386" s="17" t="s">
        <v>9329</v>
      </c>
      <c r="C3386" s="246" t="s">
        <v>3808</v>
      </c>
      <c r="D3386" s="18">
        <v>0</v>
      </c>
      <c r="E3386" s="18">
        <v>0</v>
      </c>
      <c r="F3386" s="18">
        <v>0</v>
      </c>
      <c r="G3386" s="18">
        <v>0</v>
      </c>
      <c r="H3386" s="18">
        <v>0</v>
      </c>
    </row>
    <row r="3387" spans="2:8">
      <c r="B3387" s="14" t="s">
        <v>9330</v>
      </c>
      <c r="C3387" s="245" t="s">
        <v>3809</v>
      </c>
      <c r="D3387" s="15">
        <v>0</v>
      </c>
      <c r="E3387" s="15">
        <v>0</v>
      </c>
      <c r="F3387" s="15">
        <v>0</v>
      </c>
      <c r="G3387" s="15">
        <v>0</v>
      </c>
      <c r="H3387" s="15">
        <v>0</v>
      </c>
    </row>
    <row r="3388" spans="2:8">
      <c r="B3388" s="17" t="s">
        <v>9331</v>
      </c>
      <c r="C3388" s="246" t="s">
        <v>3810</v>
      </c>
      <c r="D3388" s="18">
        <v>0</v>
      </c>
      <c r="E3388" s="18">
        <v>0</v>
      </c>
      <c r="F3388" s="18">
        <v>0</v>
      </c>
      <c r="G3388" s="18">
        <v>0</v>
      </c>
      <c r="H3388" s="18">
        <v>0</v>
      </c>
    </row>
    <row r="3389" spans="2:8">
      <c r="B3389" s="14" t="s">
        <v>9332</v>
      </c>
      <c r="C3389" s="245" t="s">
        <v>1653</v>
      </c>
      <c r="D3389" s="15">
        <v>0</v>
      </c>
      <c r="E3389" s="15">
        <v>0</v>
      </c>
      <c r="F3389" s="15">
        <v>0</v>
      </c>
      <c r="G3389" s="15">
        <v>0</v>
      </c>
      <c r="H3389" s="15">
        <v>0</v>
      </c>
    </row>
    <row r="3390" spans="2:8">
      <c r="B3390" s="17" t="s">
        <v>9333</v>
      </c>
      <c r="C3390" s="246" t="s">
        <v>3811</v>
      </c>
      <c r="D3390" s="18">
        <v>0</v>
      </c>
      <c r="E3390" s="18">
        <v>0</v>
      </c>
      <c r="F3390" s="18">
        <v>0</v>
      </c>
      <c r="G3390" s="18">
        <v>0</v>
      </c>
      <c r="H3390" s="18">
        <v>0</v>
      </c>
    </row>
    <row r="3391" spans="2:8">
      <c r="B3391" s="14" t="s">
        <v>9334</v>
      </c>
      <c r="C3391" s="245" t="s">
        <v>3812</v>
      </c>
      <c r="D3391" s="15">
        <v>0</v>
      </c>
      <c r="E3391" s="15">
        <v>0</v>
      </c>
      <c r="F3391" s="15">
        <v>0</v>
      </c>
      <c r="G3391" s="15">
        <v>0</v>
      </c>
      <c r="H3391" s="15">
        <v>0</v>
      </c>
    </row>
    <row r="3392" spans="2:8">
      <c r="B3392" s="17" t="s">
        <v>9335</v>
      </c>
      <c r="C3392" s="246" t="s">
        <v>2509</v>
      </c>
      <c r="D3392" s="18">
        <v>0</v>
      </c>
      <c r="E3392" s="18">
        <v>0</v>
      </c>
      <c r="F3392" s="18">
        <v>0</v>
      </c>
      <c r="G3392" s="18">
        <v>0</v>
      </c>
      <c r="H3392" s="18">
        <v>0</v>
      </c>
    </row>
    <row r="3393" spans="2:8">
      <c r="B3393" s="14" t="s">
        <v>9336</v>
      </c>
      <c r="C3393" s="245" t="s">
        <v>2510</v>
      </c>
      <c r="D3393" s="15">
        <v>0</v>
      </c>
      <c r="E3393" s="15">
        <v>0</v>
      </c>
      <c r="F3393" s="15">
        <v>0</v>
      </c>
      <c r="G3393" s="15">
        <v>0</v>
      </c>
      <c r="H3393" s="15">
        <v>0</v>
      </c>
    </row>
    <row r="3394" spans="2:8">
      <c r="B3394" s="17" t="s">
        <v>9337</v>
      </c>
      <c r="C3394" s="246" t="s">
        <v>3813</v>
      </c>
      <c r="D3394" s="18">
        <v>0</v>
      </c>
      <c r="E3394" s="18">
        <v>0</v>
      </c>
      <c r="F3394" s="18">
        <v>0</v>
      </c>
      <c r="G3394" s="18">
        <v>0</v>
      </c>
      <c r="H3394" s="18">
        <v>0</v>
      </c>
    </row>
    <row r="3395" spans="2:8">
      <c r="B3395" s="14" t="s">
        <v>9338</v>
      </c>
      <c r="C3395" s="245" t="s">
        <v>2190</v>
      </c>
      <c r="D3395" s="15">
        <v>0</v>
      </c>
      <c r="E3395" s="15">
        <v>0</v>
      </c>
      <c r="F3395" s="15">
        <v>0</v>
      </c>
      <c r="G3395" s="15">
        <v>0</v>
      </c>
      <c r="H3395" s="15">
        <v>0</v>
      </c>
    </row>
    <row r="3396" spans="2:8">
      <c r="B3396" s="17" t="s">
        <v>9339</v>
      </c>
      <c r="C3396" s="246" t="s">
        <v>2190</v>
      </c>
      <c r="D3396" s="18">
        <v>0</v>
      </c>
      <c r="E3396" s="18">
        <v>0</v>
      </c>
      <c r="F3396" s="18">
        <v>0</v>
      </c>
      <c r="G3396" s="18">
        <v>0</v>
      </c>
      <c r="H3396" s="18">
        <v>0</v>
      </c>
    </row>
    <row r="3397" spans="2:8">
      <c r="B3397" s="14" t="s">
        <v>9340</v>
      </c>
      <c r="C3397" s="245" t="s">
        <v>3814</v>
      </c>
      <c r="D3397" s="15">
        <v>0</v>
      </c>
      <c r="E3397" s="15">
        <v>0</v>
      </c>
      <c r="F3397" s="15">
        <v>0</v>
      </c>
      <c r="G3397" s="15">
        <v>0</v>
      </c>
      <c r="H3397" s="15">
        <v>0</v>
      </c>
    </row>
    <row r="3398" spans="2:8">
      <c r="B3398" s="17" t="s">
        <v>9341</v>
      </c>
      <c r="C3398" s="246" t="s">
        <v>2511</v>
      </c>
      <c r="D3398" s="18">
        <v>0</v>
      </c>
      <c r="E3398" s="18">
        <v>0</v>
      </c>
      <c r="F3398" s="18">
        <v>0</v>
      </c>
      <c r="G3398" s="18">
        <v>0</v>
      </c>
      <c r="H3398" s="18">
        <v>0</v>
      </c>
    </row>
    <row r="3399" spans="2:8">
      <c r="B3399" s="14" t="s">
        <v>9342</v>
      </c>
      <c r="C3399" s="245" t="s">
        <v>2512</v>
      </c>
      <c r="D3399" s="15">
        <v>0</v>
      </c>
      <c r="E3399" s="15">
        <v>0</v>
      </c>
      <c r="F3399" s="15">
        <v>0</v>
      </c>
      <c r="G3399" s="15">
        <v>0</v>
      </c>
      <c r="H3399" s="15">
        <v>0</v>
      </c>
    </row>
    <row r="3400" spans="2:8">
      <c r="B3400" s="17" t="s">
        <v>9343</v>
      </c>
      <c r="C3400" s="246" t="s">
        <v>3815</v>
      </c>
      <c r="D3400" s="18">
        <v>0</v>
      </c>
      <c r="E3400" s="18">
        <v>0</v>
      </c>
      <c r="F3400" s="18">
        <v>0</v>
      </c>
      <c r="G3400" s="18">
        <v>0</v>
      </c>
      <c r="H3400" s="18">
        <v>0</v>
      </c>
    </row>
    <row r="3401" spans="2:8">
      <c r="B3401" s="14" t="s">
        <v>9344</v>
      </c>
      <c r="C3401" s="245" t="s">
        <v>3816</v>
      </c>
      <c r="D3401" s="15">
        <v>0</v>
      </c>
      <c r="E3401" s="15">
        <v>0</v>
      </c>
      <c r="F3401" s="15">
        <v>0</v>
      </c>
      <c r="G3401" s="15">
        <v>0</v>
      </c>
      <c r="H3401" s="15">
        <v>0</v>
      </c>
    </row>
    <row r="3402" spans="2:8">
      <c r="B3402" s="17" t="s">
        <v>9345</v>
      </c>
      <c r="C3402" s="246" t="s">
        <v>3817</v>
      </c>
      <c r="D3402" s="18">
        <v>0</v>
      </c>
      <c r="E3402" s="18">
        <v>0</v>
      </c>
      <c r="F3402" s="18">
        <v>0</v>
      </c>
      <c r="G3402" s="18">
        <v>0</v>
      </c>
      <c r="H3402" s="18">
        <v>0</v>
      </c>
    </row>
    <row r="3403" spans="2:8">
      <c r="B3403" s="14" t="s">
        <v>9346</v>
      </c>
      <c r="C3403" s="245" t="s">
        <v>3817</v>
      </c>
      <c r="D3403" s="15">
        <v>0</v>
      </c>
      <c r="E3403" s="15">
        <v>0</v>
      </c>
      <c r="F3403" s="15">
        <v>0</v>
      </c>
      <c r="G3403" s="15">
        <v>0</v>
      </c>
      <c r="H3403" s="15">
        <v>0</v>
      </c>
    </row>
    <row r="3404" spans="2:8">
      <c r="B3404" s="17" t="s">
        <v>9347</v>
      </c>
      <c r="C3404" s="246" t="s">
        <v>1742</v>
      </c>
      <c r="D3404" s="18">
        <v>0</v>
      </c>
      <c r="E3404" s="18">
        <v>0</v>
      </c>
      <c r="F3404" s="18">
        <v>0</v>
      </c>
      <c r="G3404" s="18">
        <v>0</v>
      </c>
      <c r="H3404" s="18">
        <v>0</v>
      </c>
    </row>
    <row r="3405" spans="2:8">
      <c r="B3405" s="14" t="s">
        <v>9348</v>
      </c>
      <c r="C3405" s="245" t="s">
        <v>1396</v>
      </c>
      <c r="D3405" s="15">
        <v>0</v>
      </c>
      <c r="E3405" s="15">
        <v>0</v>
      </c>
      <c r="F3405" s="15">
        <v>0</v>
      </c>
      <c r="G3405" s="15">
        <v>0</v>
      </c>
      <c r="H3405" s="15">
        <v>0</v>
      </c>
    </row>
    <row r="3406" spans="2:8">
      <c r="B3406" s="17" t="s">
        <v>9349</v>
      </c>
      <c r="C3406" s="246" t="s">
        <v>1396</v>
      </c>
      <c r="D3406" s="18">
        <v>0</v>
      </c>
      <c r="E3406" s="18">
        <v>0</v>
      </c>
      <c r="F3406" s="18">
        <v>0</v>
      </c>
      <c r="G3406" s="18">
        <v>0</v>
      </c>
      <c r="H3406" s="18">
        <v>0</v>
      </c>
    </row>
    <row r="3407" spans="2:8">
      <c r="B3407" s="14" t="s">
        <v>9350</v>
      </c>
      <c r="C3407" s="245" t="s">
        <v>2200</v>
      </c>
      <c r="D3407" s="15">
        <v>0</v>
      </c>
      <c r="E3407" s="15">
        <v>0</v>
      </c>
      <c r="F3407" s="15">
        <v>0</v>
      </c>
      <c r="G3407" s="15">
        <v>0</v>
      </c>
      <c r="H3407" s="15">
        <v>0</v>
      </c>
    </row>
    <row r="3408" spans="2:8">
      <c r="B3408" s="17" t="s">
        <v>9351</v>
      </c>
      <c r="C3408" s="246" t="s">
        <v>1396</v>
      </c>
      <c r="D3408" s="18">
        <v>0</v>
      </c>
      <c r="E3408" s="18">
        <v>0</v>
      </c>
      <c r="F3408" s="18">
        <v>0</v>
      </c>
      <c r="G3408" s="18">
        <v>0</v>
      </c>
      <c r="H3408" s="18">
        <v>0</v>
      </c>
    </row>
    <row r="3409" spans="2:8">
      <c r="B3409" s="14" t="s">
        <v>9352</v>
      </c>
      <c r="C3409" s="245" t="s">
        <v>2200</v>
      </c>
      <c r="D3409" s="15">
        <v>0</v>
      </c>
      <c r="E3409" s="15">
        <v>0</v>
      </c>
      <c r="F3409" s="15">
        <v>0</v>
      </c>
      <c r="G3409" s="15">
        <v>0</v>
      </c>
      <c r="H3409" s="15">
        <v>0</v>
      </c>
    </row>
    <row r="3410" spans="2:8">
      <c r="B3410" s="17" t="s">
        <v>9353</v>
      </c>
      <c r="C3410" s="246" t="s">
        <v>2203</v>
      </c>
      <c r="D3410" s="18">
        <v>0</v>
      </c>
      <c r="E3410" s="18">
        <v>0</v>
      </c>
      <c r="F3410" s="18">
        <v>0</v>
      </c>
      <c r="G3410" s="18">
        <v>0</v>
      </c>
      <c r="H3410" s="18">
        <v>0</v>
      </c>
    </row>
    <row r="3411" spans="2:8">
      <c r="B3411" s="14" t="s">
        <v>9354</v>
      </c>
      <c r="C3411" s="245" t="s">
        <v>3818</v>
      </c>
      <c r="D3411" s="15">
        <v>0</v>
      </c>
      <c r="E3411" s="15">
        <v>0</v>
      </c>
      <c r="F3411" s="15">
        <v>0</v>
      </c>
      <c r="G3411" s="15">
        <v>0</v>
      </c>
      <c r="H3411" s="15">
        <v>0</v>
      </c>
    </row>
    <row r="3412" spans="2:8">
      <c r="B3412" s="17" t="s">
        <v>9355</v>
      </c>
      <c r="C3412" s="246" t="s">
        <v>2219</v>
      </c>
      <c r="D3412" s="18">
        <v>0</v>
      </c>
      <c r="E3412" s="18">
        <v>0</v>
      </c>
      <c r="F3412" s="18">
        <v>0</v>
      </c>
      <c r="G3412" s="18">
        <v>0</v>
      </c>
      <c r="H3412" s="18">
        <v>0</v>
      </c>
    </row>
    <row r="3413" spans="2:8">
      <c r="B3413" s="14" t="s">
        <v>9356</v>
      </c>
      <c r="C3413" s="245" t="s">
        <v>3819</v>
      </c>
      <c r="D3413" s="15">
        <v>0</v>
      </c>
      <c r="E3413" s="15">
        <v>0</v>
      </c>
      <c r="F3413" s="15">
        <v>0</v>
      </c>
      <c r="G3413" s="15">
        <v>0</v>
      </c>
      <c r="H3413" s="15">
        <v>0</v>
      </c>
    </row>
    <row r="3414" spans="2:8">
      <c r="B3414" s="17" t="s">
        <v>9357</v>
      </c>
      <c r="C3414" s="246" t="s">
        <v>3820</v>
      </c>
      <c r="D3414" s="18">
        <v>0</v>
      </c>
      <c r="E3414" s="18">
        <v>0</v>
      </c>
      <c r="F3414" s="18">
        <v>0</v>
      </c>
      <c r="G3414" s="18">
        <v>0</v>
      </c>
      <c r="H3414" s="18">
        <v>0</v>
      </c>
    </row>
    <row r="3415" spans="2:8">
      <c r="B3415" s="14" t="s">
        <v>9358</v>
      </c>
      <c r="C3415" s="245" t="s">
        <v>3821</v>
      </c>
      <c r="D3415" s="15">
        <v>0</v>
      </c>
      <c r="E3415" s="15">
        <v>0</v>
      </c>
      <c r="F3415" s="15">
        <v>0</v>
      </c>
      <c r="G3415" s="15">
        <v>0</v>
      </c>
      <c r="H3415" s="15">
        <v>0</v>
      </c>
    </row>
    <row r="3416" spans="2:8">
      <c r="B3416" s="17" t="s">
        <v>9359</v>
      </c>
      <c r="C3416" s="246" t="s">
        <v>3822</v>
      </c>
      <c r="D3416" s="18">
        <v>0</v>
      </c>
      <c r="E3416" s="18">
        <v>0</v>
      </c>
      <c r="F3416" s="18">
        <v>0</v>
      </c>
      <c r="G3416" s="18">
        <v>0</v>
      </c>
      <c r="H3416" s="18">
        <v>0</v>
      </c>
    </row>
    <row r="3417" spans="2:8">
      <c r="B3417" s="14" t="s">
        <v>9360</v>
      </c>
      <c r="C3417" s="245" t="s">
        <v>3823</v>
      </c>
      <c r="D3417" s="15">
        <v>0</v>
      </c>
      <c r="E3417" s="15">
        <v>0</v>
      </c>
      <c r="F3417" s="15">
        <v>41</v>
      </c>
      <c r="G3417" s="15">
        <v>0</v>
      </c>
      <c r="H3417" s="15">
        <v>0</v>
      </c>
    </row>
    <row r="3418" spans="2:8">
      <c r="B3418" s="17" t="s">
        <v>9361</v>
      </c>
      <c r="C3418" s="246" t="s">
        <v>3824</v>
      </c>
      <c r="D3418" s="18">
        <v>0</v>
      </c>
      <c r="E3418" s="18">
        <v>0</v>
      </c>
      <c r="F3418" s="18">
        <v>0</v>
      </c>
      <c r="G3418" s="18">
        <v>0</v>
      </c>
      <c r="H3418" s="18">
        <v>0</v>
      </c>
    </row>
    <row r="3419" spans="2:8">
      <c r="B3419" s="14" t="s">
        <v>9362</v>
      </c>
      <c r="C3419" s="245" t="s">
        <v>3825</v>
      </c>
      <c r="D3419" s="15">
        <v>0</v>
      </c>
      <c r="E3419" s="15">
        <v>0</v>
      </c>
      <c r="F3419" s="15">
        <v>0</v>
      </c>
      <c r="G3419" s="15">
        <v>0</v>
      </c>
      <c r="H3419" s="15">
        <v>0</v>
      </c>
    </row>
    <row r="3420" spans="2:8">
      <c r="B3420" s="17" t="s">
        <v>9363</v>
      </c>
      <c r="C3420" s="246" t="s">
        <v>3826</v>
      </c>
      <c r="D3420" s="18">
        <v>0</v>
      </c>
      <c r="E3420" s="18">
        <v>0</v>
      </c>
      <c r="F3420" s="18">
        <v>0</v>
      </c>
      <c r="G3420" s="18">
        <v>0</v>
      </c>
      <c r="H3420" s="18">
        <v>0</v>
      </c>
    </row>
    <row r="3421" spans="2:8">
      <c r="B3421" s="14" t="s">
        <v>9364</v>
      </c>
      <c r="C3421" s="245" t="s">
        <v>3827</v>
      </c>
      <c r="D3421" s="15">
        <v>0</v>
      </c>
      <c r="E3421" s="15">
        <v>0</v>
      </c>
      <c r="F3421" s="15">
        <v>0</v>
      </c>
      <c r="G3421" s="15">
        <v>0</v>
      </c>
      <c r="H3421" s="15">
        <v>0</v>
      </c>
    </row>
    <row r="3422" spans="2:8">
      <c r="B3422" s="17" t="s">
        <v>9365</v>
      </c>
      <c r="C3422" s="246" t="s">
        <v>3828</v>
      </c>
      <c r="D3422" s="18">
        <v>0</v>
      </c>
      <c r="E3422" s="18">
        <v>0</v>
      </c>
      <c r="F3422" s="18">
        <v>0</v>
      </c>
      <c r="G3422" s="18">
        <v>0</v>
      </c>
      <c r="H3422" s="18">
        <v>0</v>
      </c>
    </row>
    <row r="3423" spans="2:8">
      <c r="B3423" s="14" t="s">
        <v>9366</v>
      </c>
      <c r="C3423" s="245" t="s">
        <v>3829</v>
      </c>
      <c r="D3423" s="15">
        <v>0</v>
      </c>
      <c r="E3423" s="15">
        <v>0</v>
      </c>
      <c r="F3423" s="15">
        <v>0</v>
      </c>
      <c r="G3423" s="15">
        <v>0</v>
      </c>
      <c r="H3423" s="15">
        <v>0</v>
      </c>
    </row>
    <row r="3424" spans="2:8">
      <c r="B3424" s="17" t="s">
        <v>9367</v>
      </c>
      <c r="C3424" s="246" t="s">
        <v>3830</v>
      </c>
      <c r="D3424" s="18">
        <v>0</v>
      </c>
      <c r="E3424" s="18">
        <v>0</v>
      </c>
      <c r="F3424" s="18">
        <v>0</v>
      </c>
      <c r="G3424" s="18">
        <v>0</v>
      </c>
      <c r="H3424" s="18">
        <v>0</v>
      </c>
    </row>
    <row r="3425" spans="2:8">
      <c r="B3425" s="14" t="s">
        <v>9368</v>
      </c>
      <c r="C3425" s="245" t="s">
        <v>3831</v>
      </c>
      <c r="D3425" s="15">
        <v>0</v>
      </c>
      <c r="E3425" s="15">
        <v>0</v>
      </c>
      <c r="F3425" s="15">
        <v>0</v>
      </c>
      <c r="G3425" s="15">
        <v>0</v>
      </c>
      <c r="H3425" s="15">
        <v>0</v>
      </c>
    </row>
    <row r="3426" spans="2:8">
      <c r="B3426" s="17" t="s">
        <v>9369</v>
      </c>
      <c r="C3426" s="246" t="s">
        <v>3832</v>
      </c>
      <c r="D3426" s="18">
        <v>0</v>
      </c>
      <c r="E3426" s="18">
        <v>0</v>
      </c>
      <c r="F3426" s="18">
        <v>0</v>
      </c>
      <c r="G3426" s="18">
        <v>0</v>
      </c>
      <c r="H3426" s="18">
        <v>0</v>
      </c>
    </row>
    <row r="3427" spans="2:8">
      <c r="B3427" s="14" t="s">
        <v>9370</v>
      </c>
      <c r="C3427" s="245" t="s">
        <v>3833</v>
      </c>
      <c r="D3427" s="15">
        <v>0</v>
      </c>
      <c r="E3427" s="15">
        <v>0</v>
      </c>
      <c r="F3427" s="15">
        <v>0</v>
      </c>
      <c r="G3427" s="15">
        <v>0</v>
      </c>
      <c r="H3427" s="15">
        <v>0</v>
      </c>
    </row>
    <row r="3428" spans="2:8">
      <c r="B3428" s="17" t="s">
        <v>9371</v>
      </c>
      <c r="C3428" s="246" t="s">
        <v>3834</v>
      </c>
      <c r="D3428" s="18">
        <v>0</v>
      </c>
      <c r="E3428" s="18">
        <v>0</v>
      </c>
      <c r="F3428" s="18">
        <v>0</v>
      </c>
      <c r="G3428" s="18">
        <v>0</v>
      </c>
      <c r="H3428" s="18">
        <v>0</v>
      </c>
    </row>
    <row r="3429" spans="2:8">
      <c r="B3429" s="14" t="s">
        <v>9372</v>
      </c>
      <c r="C3429" s="245" t="s">
        <v>3835</v>
      </c>
      <c r="D3429" s="15">
        <v>0</v>
      </c>
      <c r="E3429" s="15">
        <v>0</v>
      </c>
      <c r="F3429" s="15">
        <v>0</v>
      </c>
      <c r="G3429" s="15">
        <v>0</v>
      </c>
      <c r="H3429" s="15">
        <v>0</v>
      </c>
    </row>
    <row r="3430" spans="2:8">
      <c r="B3430" s="17" t="s">
        <v>9373</v>
      </c>
      <c r="C3430" s="246" t="s">
        <v>3836</v>
      </c>
      <c r="D3430" s="18">
        <v>0</v>
      </c>
      <c r="E3430" s="18">
        <v>0</v>
      </c>
      <c r="F3430" s="18">
        <v>0</v>
      </c>
      <c r="G3430" s="18">
        <v>0</v>
      </c>
      <c r="H3430" s="18">
        <v>0</v>
      </c>
    </row>
    <row r="3431" spans="2:8">
      <c r="B3431" s="14" t="s">
        <v>9374</v>
      </c>
      <c r="C3431" s="245" t="s">
        <v>3837</v>
      </c>
      <c r="D3431" s="15">
        <v>0</v>
      </c>
      <c r="E3431" s="15">
        <v>0</v>
      </c>
      <c r="F3431" s="15">
        <v>0</v>
      </c>
      <c r="G3431" s="15">
        <v>0</v>
      </c>
      <c r="H3431" s="15">
        <v>0</v>
      </c>
    </row>
    <row r="3432" spans="2:8">
      <c r="B3432" s="17" t="s">
        <v>9375</v>
      </c>
      <c r="C3432" s="246" t="s">
        <v>3838</v>
      </c>
      <c r="D3432" s="18">
        <v>0</v>
      </c>
      <c r="E3432" s="18">
        <v>0</v>
      </c>
      <c r="F3432" s="18">
        <v>0</v>
      </c>
      <c r="G3432" s="18">
        <v>0</v>
      </c>
      <c r="H3432" s="18">
        <v>0</v>
      </c>
    </row>
    <row r="3433" spans="2:8">
      <c r="B3433" s="14" t="s">
        <v>9376</v>
      </c>
      <c r="C3433" s="245" t="s">
        <v>3839</v>
      </c>
      <c r="D3433" s="15">
        <v>0</v>
      </c>
      <c r="E3433" s="15">
        <v>0</v>
      </c>
      <c r="F3433" s="15">
        <v>0</v>
      </c>
      <c r="G3433" s="15">
        <v>0</v>
      </c>
      <c r="H3433" s="15">
        <v>0</v>
      </c>
    </row>
    <row r="3434" spans="2:8">
      <c r="B3434" s="17" t="s">
        <v>9377</v>
      </c>
      <c r="C3434" s="246" t="s">
        <v>3840</v>
      </c>
      <c r="D3434" s="18">
        <v>0</v>
      </c>
      <c r="E3434" s="18">
        <v>0</v>
      </c>
      <c r="F3434" s="18">
        <v>0</v>
      </c>
      <c r="G3434" s="18">
        <v>5</v>
      </c>
      <c r="H3434" s="18">
        <v>0</v>
      </c>
    </row>
    <row r="3435" spans="2:8">
      <c r="B3435" s="14" t="s">
        <v>9378</v>
      </c>
      <c r="C3435" s="245" t="s">
        <v>3841</v>
      </c>
      <c r="D3435" s="15">
        <v>0</v>
      </c>
      <c r="E3435" s="15">
        <v>0</v>
      </c>
      <c r="F3435" s="15">
        <v>0</v>
      </c>
      <c r="G3435" s="15">
        <v>0</v>
      </c>
      <c r="H3435" s="15">
        <v>0</v>
      </c>
    </row>
    <row r="3436" spans="2:8">
      <c r="B3436" s="17" t="s">
        <v>9379</v>
      </c>
      <c r="C3436" s="246" t="s">
        <v>3842</v>
      </c>
      <c r="D3436" s="18">
        <v>0</v>
      </c>
      <c r="E3436" s="18">
        <v>0</v>
      </c>
      <c r="F3436" s="18">
        <v>0</v>
      </c>
      <c r="G3436" s="18">
        <v>0</v>
      </c>
      <c r="H3436" s="18">
        <v>0</v>
      </c>
    </row>
    <row r="3437" spans="2:8">
      <c r="B3437" s="14" t="s">
        <v>9380</v>
      </c>
      <c r="C3437" s="245" t="s">
        <v>3843</v>
      </c>
      <c r="D3437" s="15">
        <v>0</v>
      </c>
      <c r="E3437" s="15">
        <v>0</v>
      </c>
      <c r="F3437" s="15">
        <v>0</v>
      </c>
      <c r="G3437" s="15">
        <v>0</v>
      </c>
      <c r="H3437" s="15">
        <v>0</v>
      </c>
    </row>
    <row r="3438" spans="2:8">
      <c r="B3438" s="17" t="s">
        <v>9381</v>
      </c>
      <c r="C3438" s="246" t="s">
        <v>3844</v>
      </c>
      <c r="D3438" s="18">
        <v>0</v>
      </c>
      <c r="E3438" s="18">
        <v>0</v>
      </c>
      <c r="F3438" s="18">
        <v>0</v>
      </c>
      <c r="G3438" s="18">
        <v>0</v>
      </c>
      <c r="H3438" s="18">
        <v>0</v>
      </c>
    </row>
    <row r="3439" spans="2:8">
      <c r="B3439" s="14" t="s">
        <v>9382</v>
      </c>
      <c r="C3439" s="245" t="s">
        <v>3845</v>
      </c>
      <c r="D3439" s="15">
        <v>0</v>
      </c>
      <c r="E3439" s="15">
        <v>0</v>
      </c>
      <c r="F3439" s="15">
        <v>0</v>
      </c>
      <c r="G3439" s="15">
        <v>0</v>
      </c>
      <c r="H3439" s="15">
        <v>0</v>
      </c>
    </row>
    <row r="3440" spans="2:8">
      <c r="B3440" s="17" t="s">
        <v>9383</v>
      </c>
      <c r="C3440" s="246" t="s">
        <v>3846</v>
      </c>
      <c r="D3440" s="18">
        <v>0</v>
      </c>
      <c r="E3440" s="18">
        <v>0</v>
      </c>
      <c r="F3440" s="18">
        <v>0</v>
      </c>
      <c r="G3440" s="18">
        <v>0</v>
      </c>
      <c r="H3440" s="18">
        <v>0</v>
      </c>
    </row>
    <row r="3441" spans="2:8">
      <c r="B3441" s="14" t="s">
        <v>9384</v>
      </c>
      <c r="C3441" s="245" t="s">
        <v>3847</v>
      </c>
      <c r="D3441" s="15">
        <v>0</v>
      </c>
      <c r="E3441" s="15">
        <v>0</v>
      </c>
      <c r="F3441" s="15">
        <v>0</v>
      </c>
      <c r="G3441" s="15">
        <v>0</v>
      </c>
      <c r="H3441" s="15">
        <v>0</v>
      </c>
    </row>
    <row r="3442" spans="2:8">
      <c r="B3442" s="17" t="s">
        <v>9385</v>
      </c>
      <c r="C3442" s="246" t="s">
        <v>3848</v>
      </c>
      <c r="D3442" s="18">
        <v>0</v>
      </c>
      <c r="E3442" s="18">
        <v>0</v>
      </c>
      <c r="F3442" s="18">
        <v>0</v>
      </c>
      <c r="G3442" s="18">
        <v>0</v>
      </c>
      <c r="H3442" s="18">
        <v>0</v>
      </c>
    </row>
    <row r="3443" spans="2:8">
      <c r="B3443" s="14" t="s">
        <v>9386</v>
      </c>
      <c r="C3443" s="245" t="s">
        <v>3849</v>
      </c>
      <c r="D3443" s="15">
        <v>0</v>
      </c>
      <c r="E3443" s="15">
        <v>0</v>
      </c>
      <c r="F3443" s="15">
        <v>0</v>
      </c>
      <c r="G3443" s="15">
        <v>0</v>
      </c>
      <c r="H3443" s="15">
        <v>0</v>
      </c>
    </row>
    <row r="3444" spans="2:8">
      <c r="B3444" s="17" t="s">
        <v>9387</v>
      </c>
      <c r="C3444" s="246" t="s">
        <v>3850</v>
      </c>
      <c r="D3444" s="18">
        <v>0</v>
      </c>
      <c r="E3444" s="18">
        <v>0</v>
      </c>
      <c r="F3444" s="18">
        <v>0</v>
      </c>
      <c r="G3444" s="18">
        <v>0</v>
      </c>
      <c r="H3444" s="18">
        <v>0</v>
      </c>
    </row>
    <row r="3445" spans="2:8">
      <c r="B3445" s="14" t="s">
        <v>9388</v>
      </c>
      <c r="C3445" s="245" t="s">
        <v>3851</v>
      </c>
      <c r="D3445" s="15">
        <v>0</v>
      </c>
      <c r="E3445" s="15">
        <v>0</v>
      </c>
      <c r="F3445" s="15">
        <v>0</v>
      </c>
      <c r="G3445" s="15">
        <v>0</v>
      </c>
      <c r="H3445" s="15">
        <v>0</v>
      </c>
    </row>
    <row r="3446" spans="2:8">
      <c r="B3446" s="17" t="s">
        <v>9389</v>
      </c>
      <c r="C3446" s="246" t="s">
        <v>3852</v>
      </c>
      <c r="D3446" s="18">
        <v>0</v>
      </c>
      <c r="E3446" s="18">
        <v>0</v>
      </c>
      <c r="F3446" s="18">
        <v>0</v>
      </c>
      <c r="G3446" s="18">
        <v>0</v>
      </c>
      <c r="H3446" s="18">
        <v>0</v>
      </c>
    </row>
    <row r="3447" spans="2:8">
      <c r="B3447" s="14" t="s">
        <v>9390</v>
      </c>
      <c r="C3447" s="245" t="s">
        <v>3853</v>
      </c>
      <c r="D3447" s="15">
        <v>0</v>
      </c>
      <c r="E3447" s="15">
        <v>0</v>
      </c>
      <c r="F3447" s="15">
        <v>0</v>
      </c>
      <c r="G3447" s="15">
        <v>0</v>
      </c>
      <c r="H3447" s="15">
        <v>0</v>
      </c>
    </row>
    <row r="3448" spans="2:8">
      <c r="B3448" s="17" t="s">
        <v>9391</v>
      </c>
      <c r="C3448" s="246" t="s">
        <v>3854</v>
      </c>
      <c r="D3448" s="18">
        <v>0</v>
      </c>
      <c r="E3448" s="18">
        <v>0</v>
      </c>
      <c r="F3448" s="18">
        <v>0</v>
      </c>
      <c r="G3448" s="18">
        <v>0</v>
      </c>
      <c r="H3448" s="18">
        <v>0</v>
      </c>
    </row>
    <row r="3449" spans="2:8">
      <c r="B3449" s="14" t="s">
        <v>9392</v>
      </c>
      <c r="C3449" s="245" t="s">
        <v>3855</v>
      </c>
      <c r="D3449" s="15">
        <v>0</v>
      </c>
      <c r="E3449" s="15">
        <v>0</v>
      </c>
      <c r="F3449" s="15">
        <v>0</v>
      </c>
      <c r="G3449" s="15">
        <v>0</v>
      </c>
      <c r="H3449" s="15">
        <v>0</v>
      </c>
    </row>
    <row r="3450" spans="2:8">
      <c r="B3450" s="17" t="s">
        <v>9393</v>
      </c>
      <c r="C3450" s="246" t="s">
        <v>3856</v>
      </c>
      <c r="D3450" s="18">
        <v>0</v>
      </c>
      <c r="E3450" s="18">
        <v>0</v>
      </c>
      <c r="F3450" s="18">
        <v>0</v>
      </c>
      <c r="G3450" s="18">
        <v>32</v>
      </c>
      <c r="H3450" s="18">
        <v>0</v>
      </c>
    </row>
    <row r="3451" spans="2:8">
      <c r="B3451" s="14" t="s">
        <v>9394</v>
      </c>
      <c r="C3451" s="245" t="s">
        <v>3857</v>
      </c>
      <c r="D3451" s="15">
        <v>0</v>
      </c>
      <c r="E3451" s="15">
        <v>0</v>
      </c>
      <c r="F3451" s="15">
        <v>0</v>
      </c>
      <c r="G3451" s="15">
        <v>0</v>
      </c>
      <c r="H3451" s="15">
        <v>0</v>
      </c>
    </row>
    <row r="3452" spans="2:8">
      <c r="B3452" s="17" t="s">
        <v>9395</v>
      </c>
      <c r="C3452" s="246" t="s">
        <v>3858</v>
      </c>
      <c r="D3452" s="18">
        <v>0</v>
      </c>
      <c r="E3452" s="18">
        <v>0</v>
      </c>
      <c r="F3452" s="18">
        <v>0</v>
      </c>
      <c r="G3452" s="18">
        <v>0</v>
      </c>
      <c r="H3452" s="18">
        <v>0</v>
      </c>
    </row>
    <row r="3453" spans="2:8">
      <c r="B3453" s="14" t="s">
        <v>9396</v>
      </c>
      <c r="C3453" s="245" t="s">
        <v>3859</v>
      </c>
      <c r="D3453" s="15">
        <v>0</v>
      </c>
      <c r="E3453" s="15">
        <v>0</v>
      </c>
      <c r="F3453" s="15">
        <v>0</v>
      </c>
      <c r="G3453" s="15">
        <v>0</v>
      </c>
      <c r="H3453" s="15">
        <v>0</v>
      </c>
    </row>
    <row r="3454" spans="2:8">
      <c r="B3454" s="17" t="s">
        <v>9397</v>
      </c>
      <c r="C3454" s="246" t="s">
        <v>3860</v>
      </c>
      <c r="D3454" s="18">
        <v>0</v>
      </c>
      <c r="E3454" s="18">
        <v>0</v>
      </c>
      <c r="F3454" s="18">
        <v>0</v>
      </c>
      <c r="G3454" s="18">
        <v>0</v>
      </c>
      <c r="H3454" s="18">
        <v>0</v>
      </c>
    </row>
    <row r="3455" spans="2:8">
      <c r="B3455" s="14" t="s">
        <v>9398</v>
      </c>
      <c r="C3455" s="245" t="s">
        <v>1748</v>
      </c>
      <c r="D3455" s="15">
        <v>0</v>
      </c>
      <c r="E3455" s="15">
        <v>0</v>
      </c>
      <c r="F3455" s="15">
        <v>0</v>
      </c>
      <c r="G3455" s="15">
        <v>0</v>
      </c>
      <c r="H3455" s="15">
        <v>0</v>
      </c>
    </row>
    <row r="3456" spans="2:8">
      <c r="B3456" s="17" t="s">
        <v>9399</v>
      </c>
      <c r="C3456" s="246" t="s">
        <v>3861</v>
      </c>
      <c r="D3456" s="18">
        <v>0</v>
      </c>
      <c r="E3456" s="18">
        <v>0</v>
      </c>
      <c r="F3456" s="18">
        <v>0</v>
      </c>
      <c r="G3456" s="18">
        <v>0</v>
      </c>
      <c r="H3456" s="18">
        <v>0</v>
      </c>
    </row>
    <row r="3457" spans="2:8">
      <c r="B3457" s="14" t="s">
        <v>9400</v>
      </c>
      <c r="C3457" s="245" t="s">
        <v>3862</v>
      </c>
      <c r="D3457" s="15">
        <v>0</v>
      </c>
      <c r="E3457" s="15">
        <v>0</v>
      </c>
      <c r="F3457" s="15">
        <v>0</v>
      </c>
      <c r="G3457" s="15">
        <v>0</v>
      </c>
      <c r="H3457" s="15">
        <v>0</v>
      </c>
    </row>
    <row r="3458" spans="2:8">
      <c r="B3458" s="17" t="s">
        <v>9401</v>
      </c>
      <c r="C3458" s="246" t="s">
        <v>3862</v>
      </c>
      <c r="D3458" s="18">
        <v>0</v>
      </c>
      <c r="E3458" s="18">
        <v>0</v>
      </c>
      <c r="F3458" s="18">
        <v>0</v>
      </c>
      <c r="G3458" s="18">
        <v>0</v>
      </c>
      <c r="H3458" s="18">
        <v>0</v>
      </c>
    </row>
    <row r="3459" spans="2:8">
      <c r="B3459" s="14" t="s">
        <v>9402</v>
      </c>
      <c r="C3459" s="245" t="s">
        <v>3863</v>
      </c>
      <c r="D3459" s="15">
        <v>0</v>
      </c>
      <c r="E3459" s="15">
        <v>0</v>
      </c>
      <c r="F3459" s="15">
        <v>0</v>
      </c>
      <c r="G3459" s="15">
        <v>0</v>
      </c>
      <c r="H3459" s="15">
        <v>0</v>
      </c>
    </row>
    <row r="3460" spans="2:8">
      <c r="B3460" s="17" t="s">
        <v>9403</v>
      </c>
      <c r="C3460" s="246" t="s">
        <v>3864</v>
      </c>
      <c r="D3460" s="18">
        <v>0</v>
      </c>
      <c r="E3460" s="18">
        <v>0</v>
      </c>
      <c r="F3460" s="18">
        <v>8</v>
      </c>
      <c r="G3460" s="18">
        <v>0</v>
      </c>
      <c r="H3460" s="18">
        <v>0</v>
      </c>
    </row>
    <row r="3461" spans="2:8">
      <c r="B3461" s="14" t="s">
        <v>9404</v>
      </c>
      <c r="C3461" s="245" t="s">
        <v>3865</v>
      </c>
      <c r="D3461" s="15">
        <v>0</v>
      </c>
      <c r="E3461" s="15">
        <v>0</v>
      </c>
      <c r="F3461" s="15">
        <v>0</v>
      </c>
      <c r="G3461" s="15">
        <v>0</v>
      </c>
      <c r="H3461" s="15">
        <v>0</v>
      </c>
    </row>
    <row r="3462" spans="2:8">
      <c r="B3462" s="17" t="s">
        <v>9405</v>
      </c>
      <c r="C3462" s="246" t="s">
        <v>3866</v>
      </c>
      <c r="D3462" s="18">
        <v>0</v>
      </c>
      <c r="E3462" s="18">
        <v>26</v>
      </c>
      <c r="F3462" s="18">
        <v>0</v>
      </c>
      <c r="G3462" s="18">
        <v>0</v>
      </c>
      <c r="H3462" s="18">
        <v>0</v>
      </c>
    </row>
    <row r="3463" spans="2:8">
      <c r="B3463" s="14" t="s">
        <v>9406</v>
      </c>
      <c r="C3463" s="245" t="s">
        <v>3867</v>
      </c>
      <c r="D3463" s="15">
        <v>0</v>
      </c>
      <c r="E3463" s="15">
        <v>0</v>
      </c>
      <c r="F3463" s="15">
        <v>0</v>
      </c>
      <c r="G3463" s="15">
        <v>0</v>
      </c>
      <c r="H3463" s="15">
        <v>0</v>
      </c>
    </row>
    <row r="3464" spans="2:8">
      <c r="B3464" s="17" t="s">
        <v>9407</v>
      </c>
      <c r="C3464" s="246" t="s">
        <v>3868</v>
      </c>
      <c r="D3464" s="18">
        <v>0</v>
      </c>
      <c r="E3464" s="18">
        <v>3</v>
      </c>
      <c r="F3464" s="18">
        <v>0</v>
      </c>
      <c r="G3464" s="18">
        <v>0</v>
      </c>
      <c r="H3464" s="18">
        <v>0</v>
      </c>
    </row>
    <row r="3465" spans="2:8">
      <c r="B3465" s="14" t="s">
        <v>9408</v>
      </c>
      <c r="C3465" s="245" t="s">
        <v>3869</v>
      </c>
      <c r="D3465" s="15">
        <v>80</v>
      </c>
      <c r="E3465" s="15">
        <v>677</v>
      </c>
      <c r="F3465" s="15">
        <v>773</v>
      </c>
      <c r="G3465" s="15">
        <v>41</v>
      </c>
      <c r="H3465" s="15">
        <v>0</v>
      </c>
    </row>
    <row r="3466" spans="2:8">
      <c r="B3466" s="17" t="s">
        <v>9409</v>
      </c>
      <c r="C3466" s="246" t="s">
        <v>3870</v>
      </c>
      <c r="D3466" s="18">
        <v>0</v>
      </c>
      <c r="E3466" s="18">
        <v>0</v>
      </c>
      <c r="F3466" s="18">
        <v>0</v>
      </c>
      <c r="G3466" s="18">
        <v>0</v>
      </c>
      <c r="H3466" s="18">
        <v>0</v>
      </c>
    </row>
    <row r="3467" spans="2:8">
      <c r="B3467" s="14" t="s">
        <v>9410</v>
      </c>
      <c r="C3467" s="245" t="s">
        <v>3871</v>
      </c>
      <c r="D3467" s="15">
        <v>0</v>
      </c>
      <c r="E3467" s="15">
        <v>0</v>
      </c>
      <c r="F3467" s="15">
        <v>0</v>
      </c>
      <c r="G3467" s="15">
        <v>0</v>
      </c>
      <c r="H3467" s="15">
        <v>0</v>
      </c>
    </row>
    <row r="3468" spans="2:8">
      <c r="B3468" s="17" t="s">
        <v>9411</v>
      </c>
      <c r="C3468" s="246" t="s">
        <v>3872</v>
      </c>
      <c r="D3468" s="18">
        <v>0</v>
      </c>
      <c r="E3468" s="18">
        <v>0</v>
      </c>
      <c r="F3468" s="18">
        <v>0</v>
      </c>
      <c r="G3468" s="18">
        <v>0</v>
      </c>
      <c r="H3468" s="18">
        <v>0</v>
      </c>
    </row>
    <row r="3469" spans="2:8">
      <c r="B3469" s="14" t="s">
        <v>9412</v>
      </c>
      <c r="C3469" s="245" t="s">
        <v>3873</v>
      </c>
      <c r="D3469" s="15">
        <v>0</v>
      </c>
      <c r="E3469" s="15">
        <v>0</v>
      </c>
      <c r="F3469" s="15">
        <v>0</v>
      </c>
      <c r="G3469" s="15">
        <v>0</v>
      </c>
      <c r="H3469" s="15">
        <v>0</v>
      </c>
    </row>
    <row r="3470" spans="2:8">
      <c r="B3470" s="17" t="s">
        <v>9413</v>
      </c>
      <c r="C3470" s="246" t="s">
        <v>3874</v>
      </c>
      <c r="D3470" s="18">
        <v>117</v>
      </c>
      <c r="E3470" s="18">
        <v>71</v>
      </c>
      <c r="F3470" s="18">
        <v>4</v>
      </c>
      <c r="G3470" s="18">
        <v>85</v>
      </c>
      <c r="H3470" s="18">
        <v>0</v>
      </c>
    </row>
    <row r="3471" spans="2:8">
      <c r="B3471" s="14" t="s">
        <v>9414</v>
      </c>
      <c r="C3471" s="245" t="s">
        <v>3875</v>
      </c>
      <c r="D3471" s="15">
        <v>0</v>
      </c>
      <c r="E3471" s="15">
        <v>0</v>
      </c>
      <c r="F3471" s="15">
        <v>0</v>
      </c>
      <c r="G3471" s="15">
        <v>0</v>
      </c>
      <c r="H3471" s="15">
        <v>0</v>
      </c>
    </row>
    <row r="3472" spans="2:8">
      <c r="B3472" s="17" t="s">
        <v>9415</v>
      </c>
      <c r="C3472" s="246" t="s">
        <v>3876</v>
      </c>
      <c r="D3472" s="18">
        <v>0</v>
      </c>
      <c r="E3472" s="18">
        <v>0</v>
      </c>
      <c r="F3472" s="18">
        <v>0</v>
      </c>
      <c r="G3472" s="18">
        <v>0</v>
      </c>
      <c r="H3472" s="18">
        <v>0</v>
      </c>
    </row>
    <row r="3473" spans="2:8">
      <c r="B3473" s="14" t="s">
        <v>9416</v>
      </c>
      <c r="C3473" s="245" t="s">
        <v>3877</v>
      </c>
      <c r="D3473" s="15">
        <v>0</v>
      </c>
      <c r="E3473" s="15">
        <v>0</v>
      </c>
      <c r="F3473" s="15">
        <v>0</v>
      </c>
      <c r="G3473" s="15">
        <v>0</v>
      </c>
      <c r="H3473" s="15">
        <v>0</v>
      </c>
    </row>
    <row r="3474" spans="2:8">
      <c r="B3474" s="17" t="s">
        <v>9417</v>
      </c>
      <c r="C3474" s="246" t="s">
        <v>3878</v>
      </c>
      <c r="D3474" s="18">
        <v>0</v>
      </c>
      <c r="E3474" s="18">
        <v>0</v>
      </c>
      <c r="F3474" s="18">
        <v>0</v>
      </c>
      <c r="G3474" s="18">
        <v>0</v>
      </c>
      <c r="H3474" s="18">
        <v>0</v>
      </c>
    </row>
    <row r="3475" spans="2:8">
      <c r="B3475" s="14" t="s">
        <v>9418</v>
      </c>
      <c r="C3475" s="245" t="s">
        <v>3879</v>
      </c>
      <c r="D3475" s="15">
        <v>0</v>
      </c>
      <c r="E3475" s="15">
        <v>0</v>
      </c>
      <c r="F3475" s="15">
        <v>0</v>
      </c>
      <c r="G3475" s="15">
        <v>0</v>
      </c>
      <c r="H3475" s="15">
        <v>0</v>
      </c>
    </row>
    <row r="3476" spans="2:8">
      <c r="B3476" s="17" t="s">
        <v>9419</v>
      </c>
      <c r="C3476" s="246" t="s">
        <v>3880</v>
      </c>
      <c r="D3476" s="18">
        <v>0</v>
      </c>
      <c r="E3476" s="18">
        <v>0</v>
      </c>
      <c r="F3476" s="18">
        <v>0</v>
      </c>
      <c r="G3476" s="18">
        <v>0</v>
      </c>
      <c r="H3476" s="18">
        <v>0</v>
      </c>
    </row>
    <row r="3477" spans="2:8">
      <c r="B3477" s="14" t="s">
        <v>9420</v>
      </c>
      <c r="C3477" s="245" t="s">
        <v>3881</v>
      </c>
      <c r="D3477" s="15">
        <v>0</v>
      </c>
      <c r="E3477" s="15">
        <v>0</v>
      </c>
      <c r="F3477" s="15">
        <v>0</v>
      </c>
      <c r="G3477" s="15">
        <v>0</v>
      </c>
      <c r="H3477" s="15">
        <v>0</v>
      </c>
    </row>
    <row r="3478" spans="2:8">
      <c r="B3478" s="17" t="s">
        <v>9421</v>
      </c>
      <c r="C3478" s="246" t="s">
        <v>3882</v>
      </c>
      <c r="D3478" s="18">
        <v>0</v>
      </c>
      <c r="E3478" s="18">
        <v>0</v>
      </c>
      <c r="F3478" s="18">
        <v>0</v>
      </c>
      <c r="G3478" s="18">
        <v>0</v>
      </c>
      <c r="H3478" s="18">
        <v>0</v>
      </c>
    </row>
    <row r="3479" spans="2:8">
      <c r="B3479" s="14" t="s">
        <v>9422</v>
      </c>
      <c r="C3479" s="245" t="s">
        <v>3883</v>
      </c>
      <c r="D3479" s="15">
        <v>0</v>
      </c>
      <c r="E3479" s="15">
        <v>0</v>
      </c>
      <c r="F3479" s="15">
        <v>0</v>
      </c>
      <c r="G3479" s="15">
        <v>0</v>
      </c>
      <c r="H3479" s="15">
        <v>0</v>
      </c>
    </row>
    <row r="3480" spans="2:8">
      <c r="B3480" s="17" t="s">
        <v>9423</v>
      </c>
      <c r="C3480" s="246" t="s">
        <v>3884</v>
      </c>
      <c r="D3480" s="18">
        <v>0</v>
      </c>
      <c r="E3480" s="18">
        <v>0</v>
      </c>
      <c r="F3480" s="18">
        <v>0</v>
      </c>
      <c r="G3480" s="18">
        <v>0</v>
      </c>
      <c r="H3480" s="18">
        <v>0</v>
      </c>
    </row>
    <row r="3481" spans="2:8">
      <c r="B3481" s="14" t="s">
        <v>9424</v>
      </c>
      <c r="C3481" s="245" t="s">
        <v>1429</v>
      </c>
      <c r="D3481" s="15">
        <v>0</v>
      </c>
      <c r="E3481" s="15">
        <v>5</v>
      </c>
      <c r="F3481" s="15">
        <v>0</v>
      </c>
      <c r="G3481" s="15">
        <v>0</v>
      </c>
      <c r="H3481" s="15">
        <v>0</v>
      </c>
    </row>
    <row r="3482" spans="2:8">
      <c r="B3482" s="17" t="s">
        <v>9425</v>
      </c>
      <c r="C3482" s="246" t="s">
        <v>3885</v>
      </c>
      <c r="D3482" s="18">
        <v>0</v>
      </c>
      <c r="E3482" s="18">
        <v>0</v>
      </c>
      <c r="F3482" s="18">
        <v>0</v>
      </c>
      <c r="G3482" s="18">
        <v>0</v>
      </c>
      <c r="H3482" s="18">
        <v>0</v>
      </c>
    </row>
    <row r="3483" spans="2:8">
      <c r="B3483" s="14" t="s">
        <v>9426</v>
      </c>
      <c r="C3483" s="245" t="s">
        <v>3886</v>
      </c>
      <c r="D3483" s="15">
        <v>24</v>
      </c>
      <c r="E3483" s="15">
        <v>0</v>
      </c>
      <c r="F3483" s="15">
        <v>0</v>
      </c>
      <c r="G3483" s="15">
        <v>0</v>
      </c>
      <c r="H3483" s="15">
        <v>0</v>
      </c>
    </row>
    <row r="3484" spans="2:8">
      <c r="B3484" s="17" t="s">
        <v>9427</v>
      </c>
      <c r="C3484" s="246" t="s">
        <v>3887</v>
      </c>
      <c r="D3484" s="18">
        <v>0</v>
      </c>
      <c r="E3484" s="18">
        <v>0</v>
      </c>
      <c r="F3484" s="18">
        <v>0</v>
      </c>
      <c r="G3484" s="18">
        <v>0</v>
      </c>
      <c r="H3484" s="18">
        <v>0</v>
      </c>
    </row>
    <row r="3485" spans="2:8">
      <c r="B3485" s="14" t="s">
        <v>9428</v>
      </c>
      <c r="C3485" s="245" t="s">
        <v>3888</v>
      </c>
      <c r="D3485" s="15">
        <v>0</v>
      </c>
      <c r="E3485" s="15">
        <v>0</v>
      </c>
      <c r="F3485" s="15">
        <v>0</v>
      </c>
      <c r="G3485" s="15">
        <v>0</v>
      </c>
      <c r="H3485" s="15">
        <v>0</v>
      </c>
    </row>
    <row r="3486" spans="2:8">
      <c r="B3486" s="17" t="s">
        <v>9429</v>
      </c>
      <c r="C3486" s="246" t="s">
        <v>3889</v>
      </c>
      <c r="D3486" s="18">
        <v>0</v>
      </c>
      <c r="E3486" s="18">
        <v>0</v>
      </c>
      <c r="F3486" s="18">
        <v>0</v>
      </c>
      <c r="G3486" s="18">
        <v>0</v>
      </c>
      <c r="H3486" s="18">
        <v>0</v>
      </c>
    </row>
    <row r="3487" spans="2:8">
      <c r="B3487" s="14" t="s">
        <v>9430</v>
      </c>
      <c r="C3487" s="245" t="s">
        <v>3890</v>
      </c>
      <c r="D3487" s="15">
        <v>0</v>
      </c>
      <c r="E3487" s="15">
        <v>0</v>
      </c>
      <c r="F3487" s="15">
        <v>0</v>
      </c>
      <c r="G3487" s="15">
        <v>0</v>
      </c>
      <c r="H3487" s="15">
        <v>0</v>
      </c>
    </row>
    <row r="3488" spans="2:8">
      <c r="B3488" s="17" t="s">
        <v>9431</v>
      </c>
      <c r="C3488" s="246" t="s">
        <v>3891</v>
      </c>
      <c r="D3488" s="18">
        <v>0</v>
      </c>
      <c r="E3488" s="18">
        <v>0</v>
      </c>
      <c r="F3488" s="18">
        <v>0</v>
      </c>
      <c r="G3488" s="18">
        <v>0</v>
      </c>
      <c r="H3488" s="18">
        <v>0</v>
      </c>
    </row>
    <row r="3489" spans="2:8">
      <c r="B3489" s="14" t="s">
        <v>9432</v>
      </c>
      <c r="C3489" s="245" t="s">
        <v>3892</v>
      </c>
      <c r="D3489" s="15">
        <v>0</v>
      </c>
      <c r="E3489" s="15">
        <v>0</v>
      </c>
      <c r="F3489" s="15">
        <v>0</v>
      </c>
      <c r="G3489" s="15">
        <v>0</v>
      </c>
      <c r="H3489" s="15">
        <v>0</v>
      </c>
    </row>
    <row r="3490" spans="2:8">
      <c r="B3490" s="17" t="s">
        <v>9433</v>
      </c>
      <c r="C3490" s="246" t="s">
        <v>3893</v>
      </c>
      <c r="D3490" s="18">
        <v>0</v>
      </c>
      <c r="E3490" s="18">
        <v>0</v>
      </c>
      <c r="F3490" s="18">
        <v>0</v>
      </c>
      <c r="G3490" s="18">
        <v>0</v>
      </c>
      <c r="H3490" s="18">
        <v>0</v>
      </c>
    </row>
    <row r="3491" spans="2:8">
      <c r="B3491" s="14" t="s">
        <v>9434</v>
      </c>
      <c r="C3491" s="245" t="s">
        <v>3894</v>
      </c>
      <c r="D3491" s="15">
        <v>0</v>
      </c>
      <c r="E3491" s="15">
        <v>0</v>
      </c>
      <c r="F3491" s="15">
        <v>0</v>
      </c>
      <c r="G3491" s="15">
        <v>0</v>
      </c>
      <c r="H3491" s="15">
        <v>0</v>
      </c>
    </row>
    <row r="3492" spans="2:8">
      <c r="B3492" s="17" t="s">
        <v>9435</v>
      </c>
      <c r="C3492" s="246" t="s">
        <v>3895</v>
      </c>
      <c r="D3492" s="18">
        <v>0</v>
      </c>
      <c r="E3492" s="18">
        <v>0</v>
      </c>
      <c r="F3492" s="18">
        <v>0</v>
      </c>
      <c r="G3492" s="18">
        <v>0</v>
      </c>
      <c r="H3492" s="18">
        <v>0</v>
      </c>
    </row>
    <row r="3493" spans="2:8">
      <c r="B3493" s="14" t="s">
        <v>9436</v>
      </c>
      <c r="C3493" s="245" t="s">
        <v>3896</v>
      </c>
      <c r="D3493" s="15">
        <v>0</v>
      </c>
      <c r="E3493" s="15">
        <v>0</v>
      </c>
      <c r="F3493" s="15">
        <v>0</v>
      </c>
      <c r="G3493" s="15">
        <v>0</v>
      </c>
      <c r="H3493" s="15">
        <v>0</v>
      </c>
    </row>
    <row r="3494" spans="2:8">
      <c r="B3494" s="17" t="s">
        <v>9437</v>
      </c>
      <c r="C3494" s="246" t="s">
        <v>3897</v>
      </c>
      <c r="D3494" s="18">
        <v>0</v>
      </c>
      <c r="E3494" s="18">
        <v>0</v>
      </c>
      <c r="F3494" s="18">
        <v>0</v>
      </c>
      <c r="G3494" s="18">
        <v>0</v>
      </c>
      <c r="H3494" s="18">
        <v>0</v>
      </c>
    </row>
    <row r="3495" spans="2:8">
      <c r="B3495" s="14" t="s">
        <v>9438</v>
      </c>
      <c r="C3495" s="245" t="s">
        <v>3898</v>
      </c>
      <c r="D3495" s="15">
        <v>0</v>
      </c>
      <c r="E3495" s="15">
        <v>0</v>
      </c>
      <c r="F3495" s="15">
        <v>0</v>
      </c>
      <c r="G3495" s="15">
        <v>25</v>
      </c>
      <c r="H3495" s="15">
        <v>0</v>
      </c>
    </row>
    <row r="3496" spans="2:8">
      <c r="B3496" s="17" t="s">
        <v>9439</v>
      </c>
      <c r="C3496" s="246" t="s">
        <v>3899</v>
      </c>
      <c r="D3496" s="18">
        <v>0</v>
      </c>
      <c r="E3496" s="18">
        <v>40</v>
      </c>
      <c r="F3496" s="18">
        <v>0</v>
      </c>
      <c r="G3496" s="18">
        <v>0</v>
      </c>
      <c r="H3496" s="18">
        <v>0</v>
      </c>
    </row>
    <row r="3497" spans="2:8">
      <c r="B3497" s="14" t="s">
        <v>9440</v>
      </c>
      <c r="C3497" s="245" t="s">
        <v>3900</v>
      </c>
      <c r="D3497" s="15">
        <v>0</v>
      </c>
      <c r="E3497" s="15">
        <v>0</v>
      </c>
      <c r="F3497" s="15">
        <v>0</v>
      </c>
      <c r="G3497" s="15">
        <v>0</v>
      </c>
      <c r="H3497" s="15">
        <v>0</v>
      </c>
    </row>
    <row r="3498" spans="2:8">
      <c r="B3498" s="17" t="s">
        <v>9441</v>
      </c>
      <c r="C3498" s="246" t="s">
        <v>3901</v>
      </c>
      <c r="D3498" s="18">
        <v>0</v>
      </c>
      <c r="E3498" s="18">
        <v>4</v>
      </c>
      <c r="F3498" s="18">
        <v>0</v>
      </c>
      <c r="G3498" s="18">
        <v>0</v>
      </c>
      <c r="H3498" s="18">
        <v>0</v>
      </c>
    </row>
    <row r="3499" spans="2:8">
      <c r="B3499" s="14" t="s">
        <v>9442</v>
      </c>
      <c r="C3499" s="245" t="s">
        <v>3902</v>
      </c>
      <c r="D3499" s="15">
        <v>0</v>
      </c>
      <c r="E3499" s="15">
        <v>0</v>
      </c>
      <c r="F3499" s="15">
        <v>0</v>
      </c>
      <c r="G3499" s="15">
        <v>0</v>
      </c>
      <c r="H3499" s="15">
        <v>0</v>
      </c>
    </row>
    <row r="3500" spans="2:8">
      <c r="B3500" s="17" t="s">
        <v>9443</v>
      </c>
      <c r="C3500" s="246" t="s">
        <v>3903</v>
      </c>
      <c r="D3500" s="18">
        <v>0</v>
      </c>
      <c r="E3500" s="18">
        <v>0</v>
      </c>
      <c r="F3500" s="18">
        <v>0</v>
      </c>
      <c r="G3500" s="18">
        <v>0</v>
      </c>
      <c r="H3500" s="18">
        <v>0</v>
      </c>
    </row>
    <row r="3501" spans="2:8">
      <c r="B3501" s="14" t="s">
        <v>9444</v>
      </c>
      <c r="C3501" s="245" t="s">
        <v>3904</v>
      </c>
      <c r="D3501" s="15">
        <v>0</v>
      </c>
      <c r="E3501" s="15">
        <v>0</v>
      </c>
      <c r="F3501" s="15">
        <v>0</v>
      </c>
      <c r="G3501" s="15">
        <v>0</v>
      </c>
      <c r="H3501" s="15">
        <v>0</v>
      </c>
    </row>
    <row r="3502" spans="2:8">
      <c r="B3502" s="17" t="s">
        <v>9445</v>
      </c>
      <c r="C3502" s="246" t="s">
        <v>3905</v>
      </c>
      <c r="D3502" s="18">
        <v>0</v>
      </c>
      <c r="E3502" s="18">
        <v>0</v>
      </c>
      <c r="F3502" s="18">
        <v>0</v>
      </c>
      <c r="G3502" s="18">
        <v>0</v>
      </c>
      <c r="H3502" s="18">
        <v>0</v>
      </c>
    </row>
    <row r="3503" spans="2:8">
      <c r="B3503" s="14" t="s">
        <v>9446</v>
      </c>
      <c r="C3503" s="245" t="s">
        <v>3906</v>
      </c>
      <c r="D3503" s="15">
        <v>0</v>
      </c>
      <c r="E3503" s="15">
        <v>0</v>
      </c>
      <c r="F3503" s="15">
        <v>0</v>
      </c>
      <c r="G3503" s="15">
        <v>0</v>
      </c>
      <c r="H3503" s="15">
        <v>0</v>
      </c>
    </row>
    <row r="3504" spans="2:8">
      <c r="B3504" s="17" t="s">
        <v>9447</v>
      </c>
      <c r="C3504" s="246" t="s">
        <v>3907</v>
      </c>
      <c r="D3504" s="18">
        <v>0</v>
      </c>
      <c r="E3504" s="18">
        <v>0</v>
      </c>
      <c r="F3504" s="18">
        <v>0</v>
      </c>
      <c r="G3504" s="18">
        <v>0</v>
      </c>
      <c r="H3504" s="18">
        <v>0</v>
      </c>
    </row>
    <row r="3505" spans="2:8">
      <c r="B3505" s="14" t="s">
        <v>9448</v>
      </c>
      <c r="C3505" s="245" t="s">
        <v>3908</v>
      </c>
      <c r="D3505" s="15">
        <v>0</v>
      </c>
      <c r="E3505" s="15">
        <v>0</v>
      </c>
      <c r="F3505" s="15">
        <v>0</v>
      </c>
      <c r="G3505" s="15">
        <v>0</v>
      </c>
      <c r="H3505" s="15">
        <v>0</v>
      </c>
    </row>
    <row r="3506" spans="2:8">
      <c r="B3506" s="17" t="s">
        <v>9449</v>
      </c>
      <c r="C3506" s="246" t="s">
        <v>3909</v>
      </c>
      <c r="D3506" s="18">
        <v>0</v>
      </c>
      <c r="E3506" s="18">
        <v>0</v>
      </c>
      <c r="F3506" s="18">
        <v>0</v>
      </c>
      <c r="G3506" s="18">
        <v>0</v>
      </c>
      <c r="H3506" s="18">
        <v>0</v>
      </c>
    </row>
    <row r="3507" spans="2:8">
      <c r="B3507" s="14" t="s">
        <v>9450</v>
      </c>
      <c r="C3507" s="245" t="s">
        <v>3910</v>
      </c>
      <c r="D3507" s="15">
        <v>0</v>
      </c>
      <c r="E3507" s="15">
        <v>0</v>
      </c>
      <c r="F3507" s="15">
        <v>0</v>
      </c>
      <c r="G3507" s="15">
        <v>0</v>
      </c>
      <c r="H3507" s="15">
        <v>0</v>
      </c>
    </row>
    <row r="3508" spans="2:8">
      <c r="B3508" s="17" t="s">
        <v>9451</v>
      </c>
      <c r="C3508" s="246" t="s">
        <v>3911</v>
      </c>
      <c r="D3508" s="18">
        <v>0</v>
      </c>
      <c r="E3508" s="18">
        <v>0</v>
      </c>
      <c r="F3508" s="18">
        <v>0</v>
      </c>
      <c r="G3508" s="18">
        <v>0</v>
      </c>
      <c r="H3508" s="18">
        <v>0</v>
      </c>
    </row>
    <row r="3509" spans="2:8">
      <c r="B3509" s="14" t="s">
        <v>9452</v>
      </c>
      <c r="C3509" s="245" t="s">
        <v>3912</v>
      </c>
      <c r="D3509" s="15">
        <v>0</v>
      </c>
      <c r="E3509" s="15">
        <v>0</v>
      </c>
      <c r="F3509" s="15">
        <v>0</v>
      </c>
      <c r="G3509" s="15">
        <v>0</v>
      </c>
      <c r="H3509" s="15">
        <v>0</v>
      </c>
    </row>
    <row r="3510" spans="2:8">
      <c r="B3510" s="17" t="s">
        <v>9453</v>
      </c>
      <c r="C3510" s="246" t="s">
        <v>3913</v>
      </c>
      <c r="D3510" s="18">
        <v>0</v>
      </c>
      <c r="E3510" s="18">
        <v>0</v>
      </c>
      <c r="F3510" s="18">
        <v>28</v>
      </c>
      <c r="G3510" s="18">
        <v>0</v>
      </c>
      <c r="H3510" s="18">
        <v>0</v>
      </c>
    </row>
    <row r="3511" spans="2:8">
      <c r="B3511" s="14" t="s">
        <v>9454</v>
      </c>
      <c r="C3511" s="245" t="s">
        <v>3914</v>
      </c>
      <c r="D3511" s="15">
        <v>0</v>
      </c>
      <c r="E3511" s="15">
        <v>10</v>
      </c>
      <c r="F3511" s="15">
        <v>0</v>
      </c>
      <c r="G3511" s="15">
        <v>0</v>
      </c>
      <c r="H3511" s="15">
        <v>0</v>
      </c>
    </row>
    <row r="3512" spans="2:8">
      <c r="B3512" s="17" t="s">
        <v>9455</v>
      </c>
      <c r="C3512" s="246" t="s">
        <v>3915</v>
      </c>
      <c r="D3512" s="18">
        <v>14</v>
      </c>
      <c r="E3512" s="18">
        <v>0</v>
      </c>
      <c r="F3512" s="18">
        <v>0</v>
      </c>
      <c r="G3512" s="18">
        <v>0</v>
      </c>
      <c r="H3512" s="18">
        <v>0</v>
      </c>
    </row>
    <row r="3513" spans="2:8">
      <c r="B3513" s="14" t="s">
        <v>9456</v>
      </c>
      <c r="C3513" s="245" t="s">
        <v>3916</v>
      </c>
      <c r="D3513" s="15">
        <v>0</v>
      </c>
      <c r="E3513" s="15">
        <v>0</v>
      </c>
      <c r="F3513" s="15">
        <v>0</v>
      </c>
      <c r="G3513" s="15">
        <v>0</v>
      </c>
      <c r="H3513" s="15">
        <v>0</v>
      </c>
    </row>
    <row r="3514" spans="2:8">
      <c r="B3514" s="17" t="s">
        <v>9457</v>
      </c>
      <c r="C3514" s="246" t="s">
        <v>3917</v>
      </c>
      <c r="D3514" s="18">
        <v>0</v>
      </c>
      <c r="E3514" s="18">
        <v>0</v>
      </c>
      <c r="F3514" s="18">
        <v>0</v>
      </c>
      <c r="G3514" s="18">
        <v>0</v>
      </c>
      <c r="H3514" s="18">
        <v>0</v>
      </c>
    </row>
    <row r="3515" spans="2:8">
      <c r="B3515" s="14" t="s">
        <v>9458</v>
      </c>
      <c r="C3515" s="245" t="s">
        <v>3918</v>
      </c>
      <c r="D3515" s="15">
        <v>0</v>
      </c>
      <c r="E3515" s="15">
        <v>0</v>
      </c>
      <c r="F3515" s="15">
        <v>0</v>
      </c>
      <c r="G3515" s="15">
        <v>0</v>
      </c>
      <c r="H3515" s="15">
        <v>0</v>
      </c>
    </row>
    <row r="3516" spans="2:8">
      <c r="B3516" s="17" t="s">
        <v>9459</v>
      </c>
      <c r="C3516" s="246" t="s">
        <v>3919</v>
      </c>
      <c r="D3516" s="18">
        <v>0</v>
      </c>
      <c r="E3516" s="18">
        <v>0</v>
      </c>
      <c r="F3516" s="18">
        <v>0</v>
      </c>
      <c r="G3516" s="18">
        <v>0</v>
      </c>
      <c r="H3516" s="18">
        <v>0</v>
      </c>
    </row>
    <row r="3517" spans="2:8">
      <c r="B3517" s="14" t="s">
        <v>9460</v>
      </c>
      <c r="C3517" s="245" t="s">
        <v>3920</v>
      </c>
      <c r="D3517" s="15">
        <v>0</v>
      </c>
      <c r="E3517" s="15">
        <v>29</v>
      </c>
      <c r="F3517" s="15">
        <v>0</v>
      </c>
      <c r="G3517" s="15">
        <v>0</v>
      </c>
      <c r="H3517" s="15">
        <v>0</v>
      </c>
    </row>
    <row r="3518" spans="2:8">
      <c r="B3518" s="17" t="s">
        <v>9461</v>
      </c>
      <c r="C3518" s="246" t="s">
        <v>3921</v>
      </c>
      <c r="D3518" s="18">
        <v>0</v>
      </c>
      <c r="E3518" s="18">
        <v>0</v>
      </c>
      <c r="F3518" s="18">
        <v>0</v>
      </c>
      <c r="G3518" s="18">
        <v>0</v>
      </c>
      <c r="H3518" s="18">
        <v>0</v>
      </c>
    </row>
    <row r="3519" spans="2:8">
      <c r="B3519" s="14" t="s">
        <v>9462</v>
      </c>
      <c r="C3519" s="245" t="s">
        <v>3922</v>
      </c>
      <c r="D3519" s="15">
        <v>0</v>
      </c>
      <c r="E3519" s="15">
        <v>0</v>
      </c>
      <c r="F3519" s="15">
        <v>0</v>
      </c>
      <c r="G3519" s="15">
        <v>0</v>
      </c>
      <c r="H3519" s="15">
        <v>0</v>
      </c>
    </row>
    <row r="3520" spans="2:8">
      <c r="B3520" s="17" t="s">
        <v>9463</v>
      </c>
      <c r="C3520" s="246" t="s">
        <v>3923</v>
      </c>
      <c r="D3520" s="18">
        <v>0</v>
      </c>
      <c r="E3520" s="18">
        <v>0</v>
      </c>
      <c r="F3520" s="18">
        <v>0</v>
      </c>
      <c r="G3520" s="18">
        <v>8</v>
      </c>
      <c r="H3520" s="18">
        <v>0</v>
      </c>
    </row>
    <row r="3521" spans="2:8">
      <c r="B3521" s="14" t="s">
        <v>9464</v>
      </c>
      <c r="C3521" s="245" t="s">
        <v>3924</v>
      </c>
      <c r="D3521" s="15">
        <v>0</v>
      </c>
      <c r="E3521" s="15">
        <v>3</v>
      </c>
      <c r="F3521" s="15">
        <v>49</v>
      </c>
      <c r="G3521" s="15">
        <v>48</v>
      </c>
      <c r="H3521" s="15">
        <v>0</v>
      </c>
    </row>
    <row r="3522" spans="2:8">
      <c r="B3522" s="17" t="s">
        <v>9465</v>
      </c>
      <c r="C3522" s="246" t="s">
        <v>3925</v>
      </c>
      <c r="D3522" s="18">
        <v>0</v>
      </c>
      <c r="E3522" s="18">
        <v>0</v>
      </c>
      <c r="F3522" s="18">
        <v>0</v>
      </c>
      <c r="G3522" s="18">
        <v>0</v>
      </c>
      <c r="H3522" s="18">
        <v>0</v>
      </c>
    </row>
    <row r="3523" spans="2:8">
      <c r="B3523" s="14" t="s">
        <v>9466</v>
      </c>
      <c r="C3523" s="245" t="s">
        <v>3926</v>
      </c>
      <c r="D3523" s="15">
        <v>0</v>
      </c>
      <c r="E3523" s="15">
        <v>0</v>
      </c>
      <c r="F3523" s="15">
        <v>0</v>
      </c>
      <c r="G3523" s="15">
        <v>0</v>
      </c>
      <c r="H3523" s="15">
        <v>0</v>
      </c>
    </row>
    <row r="3524" spans="2:8">
      <c r="B3524" s="17" t="s">
        <v>9467</v>
      </c>
      <c r="C3524" s="246" t="s">
        <v>3927</v>
      </c>
      <c r="D3524" s="18">
        <v>0</v>
      </c>
      <c r="E3524" s="18">
        <v>4</v>
      </c>
      <c r="F3524" s="18">
        <v>0</v>
      </c>
      <c r="G3524" s="18">
        <v>0</v>
      </c>
      <c r="H3524" s="18">
        <v>0</v>
      </c>
    </row>
    <row r="3525" spans="2:8">
      <c r="B3525" s="14" t="s">
        <v>9468</v>
      </c>
      <c r="C3525" s="245" t="s">
        <v>3928</v>
      </c>
      <c r="D3525" s="15">
        <v>0</v>
      </c>
      <c r="E3525" s="15">
        <v>0</v>
      </c>
      <c r="F3525" s="15">
        <v>0</v>
      </c>
      <c r="G3525" s="15">
        <v>0</v>
      </c>
      <c r="H3525" s="15">
        <v>0</v>
      </c>
    </row>
    <row r="3526" spans="2:8">
      <c r="B3526" s="17" t="s">
        <v>9469</v>
      </c>
      <c r="C3526" s="246" t="s">
        <v>3929</v>
      </c>
      <c r="D3526" s="18">
        <v>0</v>
      </c>
      <c r="E3526" s="18">
        <v>0</v>
      </c>
      <c r="F3526" s="18">
        <v>0</v>
      </c>
      <c r="G3526" s="18">
        <v>0</v>
      </c>
      <c r="H3526" s="18">
        <v>0</v>
      </c>
    </row>
    <row r="3527" spans="2:8">
      <c r="B3527" s="14" t="s">
        <v>9470</v>
      </c>
      <c r="C3527" s="245" t="s">
        <v>3930</v>
      </c>
      <c r="D3527" s="15">
        <v>0</v>
      </c>
      <c r="E3527" s="15">
        <v>0</v>
      </c>
      <c r="F3527" s="15">
        <v>0</v>
      </c>
      <c r="G3527" s="15">
        <v>0</v>
      </c>
      <c r="H3527" s="15">
        <v>0</v>
      </c>
    </row>
    <row r="3528" spans="2:8">
      <c r="B3528" s="17" t="s">
        <v>9471</v>
      </c>
      <c r="C3528" s="246" t="s">
        <v>3931</v>
      </c>
      <c r="D3528" s="18">
        <v>0</v>
      </c>
      <c r="E3528" s="18">
        <v>0</v>
      </c>
      <c r="F3528" s="18">
        <v>0</v>
      </c>
      <c r="G3528" s="18">
        <v>0</v>
      </c>
      <c r="H3528" s="18">
        <v>0</v>
      </c>
    </row>
    <row r="3529" spans="2:8">
      <c r="B3529" s="14" t="s">
        <v>9472</v>
      </c>
      <c r="C3529" s="245" t="s">
        <v>3932</v>
      </c>
      <c r="D3529" s="15">
        <v>0</v>
      </c>
      <c r="E3529" s="15">
        <v>0</v>
      </c>
      <c r="F3529" s="15">
        <v>0</v>
      </c>
      <c r="G3529" s="15">
        <v>0</v>
      </c>
      <c r="H3529" s="15">
        <v>0</v>
      </c>
    </row>
    <row r="3530" spans="2:8">
      <c r="B3530" s="17" t="s">
        <v>9473</v>
      </c>
      <c r="C3530" s="246" t="s">
        <v>3933</v>
      </c>
      <c r="D3530" s="18">
        <v>0</v>
      </c>
      <c r="E3530" s="18">
        <v>0</v>
      </c>
      <c r="F3530" s="18">
        <v>0</v>
      </c>
      <c r="G3530" s="18">
        <v>0</v>
      </c>
      <c r="H3530" s="18">
        <v>0</v>
      </c>
    </row>
    <row r="3531" spans="2:8">
      <c r="B3531" s="14" t="s">
        <v>9474</v>
      </c>
      <c r="C3531" s="245" t="s">
        <v>2758</v>
      </c>
      <c r="D3531" s="15">
        <v>0</v>
      </c>
      <c r="E3531" s="15">
        <v>0</v>
      </c>
      <c r="F3531" s="15">
        <v>0</v>
      </c>
      <c r="G3531" s="15">
        <v>0</v>
      </c>
      <c r="H3531" s="15">
        <v>0</v>
      </c>
    </row>
    <row r="3532" spans="2:8">
      <c r="B3532" s="17" t="s">
        <v>9475</v>
      </c>
      <c r="C3532" s="246" t="s">
        <v>3934</v>
      </c>
      <c r="D3532" s="18">
        <v>0</v>
      </c>
      <c r="E3532" s="18">
        <v>0</v>
      </c>
      <c r="F3532" s="18">
        <v>0</v>
      </c>
      <c r="G3532" s="18">
        <v>0</v>
      </c>
      <c r="H3532" s="18">
        <v>0</v>
      </c>
    </row>
    <row r="3533" spans="2:8">
      <c r="B3533" s="14" t="s">
        <v>9476</v>
      </c>
      <c r="C3533" s="245" t="s">
        <v>3935</v>
      </c>
      <c r="D3533" s="15">
        <v>0</v>
      </c>
      <c r="E3533" s="15">
        <v>0</v>
      </c>
      <c r="F3533" s="15">
        <v>0</v>
      </c>
      <c r="G3533" s="15">
        <v>0</v>
      </c>
      <c r="H3533" s="15">
        <v>0</v>
      </c>
    </row>
    <row r="3534" spans="2:8">
      <c r="B3534" s="17" t="s">
        <v>9477</v>
      </c>
      <c r="C3534" s="246" t="s">
        <v>3936</v>
      </c>
      <c r="D3534" s="18">
        <v>0</v>
      </c>
      <c r="E3534" s="18">
        <v>0</v>
      </c>
      <c r="F3534" s="18">
        <v>0</v>
      </c>
      <c r="G3534" s="18">
        <v>0</v>
      </c>
      <c r="H3534" s="18">
        <v>0</v>
      </c>
    </row>
    <row r="3535" spans="2:8">
      <c r="B3535" s="14" t="s">
        <v>9478</v>
      </c>
      <c r="C3535" s="245" t="s">
        <v>3937</v>
      </c>
      <c r="D3535" s="15">
        <v>0</v>
      </c>
      <c r="E3535" s="15">
        <v>0</v>
      </c>
      <c r="F3535" s="15">
        <v>0</v>
      </c>
      <c r="G3535" s="15">
        <v>0</v>
      </c>
      <c r="H3535" s="15">
        <v>0</v>
      </c>
    </row>
    <row r="3536" spans="2:8">
      <c r="B3536" s="17" t="s">
        <v>9479</v>
      </c>
      <c r="C3536" s="246" t="s">
        <v>3938</v>
      </c>
      <c r="D3536" s="18">
        <v>0</v>
      </c>
      <c r="E3536" s="18">
        <v>0</v>
      </c>
      <c r="F3536" s="18">
        <v>0</v>
      </c>
      <c r="G3536" s="18">
        <v>0</v>
      </c>
      <c r="H3536" s="18">
        <v>0</v>
      </c>
    </row>
    <row r="3537" spans="2:8">
      <c r="B3537" s="14" t="s">
        <v>9480</v>
      </c>
      <c r="C3537" s="245" t="s">
        <v>3939</v>
      </c>
      <c r="D3537" s="15">
        <v>387</v>
      </c>
      <c r="E3537" s="15">
        <v>0</v>
      </c>
      <c r="F3537" s="15">
        <v>0</v>
      </c>
      <c r="G3537" s="15">
        <v>0</v>
      </c>
      <c r="H3537" s="15">
        <v>0</v>
      </c>
    </row>
    <row r="3538" spans="2:8">
      <c r="B3538" s="17" t="s">
        <v>9481</v>
      </c>
      <c r="C3538" s="246" t="s">
        <v>3940</v>
      </c>
      <c r="D3538" s="18">
        <v>0</v>
      </c>
      <c r="E3538" s="18">
        <v>0</v>
      </c>
      <c r="F3538" s="18">
        <v>0</v>
      </c>
      <c r="G3538" s="18">
        <v>0</v>
      </c>
      <c r="H3538" s="18">
        <v>0</v>
      </c>
    </row>
    <row r="3539" spans="2:8">
      <c r="B3539" s="14" t="s">
        <v>9482</v>
      </c>
      <c r="C3539" s="245" t="s">
        <v>3941</v>
      </c>
      <c r="D3539" s="15">
        <v>0</v>
      </c>
      <c r="E3539" s="15">
        <v>0</v>
      </c>
      <c r="F3539" s="15">
        <v>0</v>
      </c>
      <c r="G3539" s="15">
        <v>0</v>
      </c>
      <c r="H3539" s="15">
        <v>0</v>
      </c>
    </row>
    <row r="3540" spans="2:8">
      <c r="B3540" s="17" t="s">
        <v>9483</v>
      </c>
      <c r="C3540" s="246" t="s">
        <v>3942</v>
      </c>
      <c r="D3540" s="18">
        <v>0</v>
      </c>
      <c r="E3540" s="18">
        <v>0</v>
      </c>
      <c r="F3540" s="18">
        <v>0</v>
      </c>
      <c r="G3540" s="18">
        <v>0</v>
      </c>
      <c r="H3540" s="18">
        <v>0</v>
      </c>
    </row>
    <row r="3541" spans="2:8">
      <c r="B3541" s="14" t="s">
        <v>9484</v>
      </c>
      <c r="C3541" s="245" t="s">
        <v>3943</v>
      </c>
      <c r="D3541" s="15">
        <v>0</v>
      </c>
      <c r="E3541" s="15">
        <v>0</v>
      </c>
      <c r="F3541" s="15">
        <v>0</v>
      </c>
      <c r="G3541" s="15">
        <v>0</v>
      </c>
      <c r="H3541" s="15">
        <v>0</v>
      </c>
    </row>
    <row r="3542" spans="2:8">
      <c r="B3542" s="17" t="s">
        <v>9485</v>
      </c>
      <c r="C3542" s="246" t="s">
        <v>3944</v>
      </c>
      <c r="D3542" s="18">
        <v>0</v>
      </c>
      <c r="E3542" s="18">
        <v>0</v>
      </c>
      <c r="F3542" s="18">
        <v>0</v>
      </c>
      <c r="G3542" s="18">
        <v>0</v>
      </c>
      <c r="H3542" s="18">
        <v>0</v>
      </c>
    </row>
    <row r="3543" spans="2:8">
      <c r="B3543" s="14" t="s">
        <v>9486</v>
      </c>
      <c r="C3543" s="245" t="s">
        <v>3945</v>
      </c>
      <c r="D3543" s="15">
        <v>0</v>
      </c>
      <c r="E3543" s="15">
        <v>0</v>
      </c>
      <c r="F3543" s="15">
        <v>0</v>
      </c>
      <c r="G3543" s="15">
        <v>0</v>
      </c>
      <c r="H3543" s="15">
        <v>0</v>
      </c>
    </row>
    <row r="3544" spans="2:8">
      <c r="B3544" s="17" t="s">
        <v>9487</v>
      </c>
      <c r="C3544" s="246" t="s">
        <v>3946</v>
      </c>
      <c r="D3544" s="18">
        <v>0</v>
      </c>
      <c r="E3544" s="18">
        <v>0</v>
      </c>
      <c r="F3544" s="18">
        <v>0</v>
      </c>
      <c r="G3544" s="18">
        <v>0</v>
      </c>
      <c r="H3544" s="18">
        <v>0</v>
      </c>
    </row>
    <row r="3545" spans="2:8">
      <c r="B3545" s="14" t="s">
        <v>9488</v>
      </c>
      <c r="C3545" s="245" t="s">
        <v>3947</v>
      </c>
      <c r="D3545" s="15">
        <v>0</v>
      </c>
      <c r="E3545" s="15">
        <v>0</v>
      </c>
      <c r="F3545" s="15">
        <v>0</v>
      </c>
      <c r="G3545" s="15">
        <v>0</v>
      </c>
      <c r="H3545" s="15">
        <v>0</v>
      </c>
    </row>
    <row r="3546" spans="2:8">
      <c r="B3546" s="17" t="s">
        <v>9489</v>
      </c>
      <c r="C3546" s="246" t="s">
        <v>3948</v>
      </c>
      <c r="D3546" s="18">
        <v>0</v>
      </c>
      <c r="E3546" s="18">
        <v>0</v>
      </c>
      <c r="F3546" s="18">
        <v>0</v>
      </c>
      <c r="G3546" s="18">
        <v>0</v>
      </c>
      <c r="H3546" s="18">
        <v>0</v>
      </c>
    </row>
    <row r="3547" spans="2:8">
      <c r="B3547" s="14" t="s">
        <v>9490</v>
      </c>
      <c r="C3547" s="245" t="s">
        <v>3949</v>
      </c>
      <c r="D3547" s="15">
        <v>0</v>
      </c>
      <c r="E3547" s="15">
        <v>0</v>
      </c>
      <c r="F3547" s="15">
        <v>0</v>
      </c>
      <c r="G3547" s="15">
        <v>0</v>
      </c>
      <c r="H3547" s="15">
        <v>0</v>
      </c>
    </row>
    <row r="3548" spans="2:8">
      <c r="B3548" s="17" t="s">
        <v>9491</v>
      </c>
      <c r="C3548" s="246" t="s">
        <v>3950</v>
      </c>
      <c r="D3548" s="18">
        <v>0</v>
      </c>
      <c r="E3548" s="18">
        <v>0</v>
      </c>
      <c r="F3548" s="18">
        <v>0</v>
      </c>
      <c r="G3548" s="18">
        <v>13</v>
      </c>
      <c r="H3548" s="18">
        <v>0</v>
      </c>
    </row>
    <row r="3549" spans="2:8">
      <c r="B3549" s="14" t="s">
        <v>9492</v>
      </c>
      <c r="C3549" s="245" t="s">
        <v>3951</v>
      </c>
      <c r="D3549" s="15">
        <v>0</v>
      </c>
      <c r="E3549" s="15">
        <v>0</v>
      </c>
      <c r="F3549" s="15">
        <v>0</v>
      </c>
      <c r="G3549" s="15">
        <v>0</v>
      </c>
      <c r="H3549" s="15">
        <v>0</v>
      </c>
    </row>
    <row r="3550" spans="2:8">
      <c r="B3550" s="17" t="s">
        <v>9493</v>
      </c>
      <c r="C3550" s="246" t="s">
        <v>3952</v>
      </c>
      <c r="D3550" s="18">
        <v>0</v>
      </c>
      <c r="E3550" s="18">
        <v>0</v>
      </c>
      <c r="F3550" s="18">
        <v>0</v>
      </c>
      <c r="G3550" s="18">
        <v>0</v>
      </c>
      <c r="H3550" s="18">
        <v>0</v>
      </c>
    </row>
    <row r="3551" spans="2:8">
      <c r="B3551" s="14" t="s">
        <v>9494</v>
      </c>
      <c r="C3551" s="245" t="s">
        <v>3953</v>
      </c>
      <c r="D3551" s="15">
        <v>0</v>
      </c>
      <c r="E3551" s="15">
        <v>0</v>
      </c>
      <c r="F3551" s="15">
        <v>0</v>
      </c>
      <c r="G3551" s="15">
        <v>0</v>
      </c>
      <c r="H3551" s="15">
        <v>0</v>
      </c>
    </row>
    <row r="3552" spans="2:8">
      <c r="B3552" s="17" t="s">
        <v>9495</v>
      </c>
      <c r="C3552" s="246" t="s">
        <v>3954</v>
      </c>
      <c r="D3552" s="18">
        <v>0</v>
      </c>
      <c r="E3552" s="18">
        <v>0</v>
      </c>
      <c r="F3552" s="18">
        <v>0</v>
      </c>
      <c r="G3552" s="18">
        <v>0</v>
      </c>
      <c r="H3552" s="18">
        <v>0</v>
      </c>
    </row>
    <row r="3553" spans="2:8">
      <c r="B3553" s="14" t="s">
        <v>9496</v>
      </c>
      <c r="C3553" s="245" t="s">
        <v>3955</v>
      </c>
      <c r="D3553" s="15">
        <v>0</v>
      </c>
      <c r="E3553" s="15">
        <v>0</v>
      </c>
      <c r="F3553" s="15">
        <v>0</v>
      </c>
      <c r="G3553" s="15">
        <v>0</v>
      </c>
      <c r="H3553" s="15">
        <v>0</v>
      </c>
    </row>
    <row r="3554" spans="2:8">
      <c r="B3554" s="17" t="s">
        <v>9497</v>
      </c>
      <c r="C3554" s="246" t="s">
        <v>3956</v>
      </c>
      <c r="D3554" s="18">
        <v>0</v>
      </c>
      <c r="E3554" s="18">
        <v>0</v>
      </c>
      <c r="F3554" s="18">
        <v>0</v>
      </c>
      <c r="G3554" s="18">
        <v>0</v>
      </c>
      <c r="H3554" s="18">
        <v>0</v>
      </c>
    </row>
    <row r="3555" spans="2:8">
      <c r="B3555" s="14" t="s">
        <v>9498</v>
      </c>
      <c r="C3555" s="245" t="s">
        <v>3957</v>
      </c>
      <c r="D3555" s="15">
        <v>0</v>
      </c>
      <c r="E3555" s="15">
        <v>0</v>
      </c>
      <c r="F3555" s="15">
        <v>0</v>
      </c>
      <c r="G3555" s="15">
        <v>0</v>
      </c>
      <c r="H3555" s="15">
        <v>0</v>
      </c>
    </row>
    <row r="3556" spans="2:8">
      <c r="B3556" s="17" t="s">
        <v>9499</v>
      </c>
      <c r="C3556" s="246" t="s">
        <v>3958</v>
      </c>
      <c r="D3556" s="18">
        <v>0</v>
      </c>
      <c r="E3556" s="18">
        <v>0</v>
      </c>
      <c r="F3556" s="18">
        <v>0</v>
      </c>
      <c r="G3556" s="18">
        <v>0</v>
      </c>
      <c r="H3556" s="18">
        <v>0</v>
      </c>
    </row>
    <row r="3557" spans="2:8">
      <c r="B3557" s="14" t="s">
        <v>9500</v>
      </c>
      <c r="C3557" s="245" t="s">
        <v>3959</v>
      </c>
      <c r="D3557" s="15">
        <v>0</v>
      </c>
      <c r="E3557" s="15">
        <v>0</v>
      </c>
      <c r="F3557" s="15">
        <v>0</v>
      </c>
      <c r="G3557" s="15">
        <v>0</v>
      </c>
      <c r="H3557" s="15">
        <v>0</v>
      </c>
    </row>
    <row r="3558" spans="2:8">
      <c r="B3558" s="17" t="s">
        <v>9501</v>
      </c>
      <c r="C3558" s="246" t="s">
        <v>3960</v>
      </c>
      <c r="D3558" s="18">
        <v>0</v>
      </c>
      <c r="E3558" s="18">
        <v>0</v>
      </c>
      <c r="F3558" s="18">
        <v>0</v>
      </c>
      <c r="G3558" s="18">
        <v>0</v>
      </c>
      <c r="H3558" s="18">
        <v>0</v>
      </c>
    </row>
    <row r="3559" spans="2:8">
      <c r="B3559" s="14" t="s">
        <v>9502</v>
      </c>
      <c r="C3559" s="245" t="s">
        <v>3961</v>
      </c>
      <c r="D3559" s="15">
        <v>92</v>
      </c>
      <c r="E3559" s="15">
        <v>86</v>
      </c>
      <c r="F3559" s="15">
        <v>0</v>
      </c>
      <c r="G3559" s="15">
        <v>0</v>
      </c>
      <c r="H3559" s="15">
        <v>0</v>
      </c>
    </row>
    <row r="3560" spans="2:8">
      <c r="B3560" s="17" t="s">
        <v>9503</v>
      </c>
      <c r="C3560" s="246" t="s">
        <v>3962</v>
      </c>
      <c r="D3560" s="18">
        <v>0</v>
      </c>
      <c r="E3560" s="18">
        <v>0</v>
      </c>
      <c r="F3560" s="18">
        <v>0</v>
      </c>
      <c r="G3560" s="18">
        <v>0</v>
      </c>
      <c r="H3560" s="18">
        <v>0</v>
      </c>
    </row>
    <row r="3561" spans="2:8">
      <c r="B3561" s="14" t="s">
        <v>9504</v>
      </c>
      <c r="C3561" s="245" t="s">
        <v>3963</v>
      </c>
      <c r="D3561" s="15">
        <v>0</v>
      </c>
      <c r="E3561" s="15">
        <v>0</v>
      </c>
      <c r="F3561" s="15">
        <v>0</v>
      </c>
      <c r="G3561" s="15">
        <v>0</v>
      </c>
      <c r="H3561" s="15">
        <v>0</v>
      </c>
    </row>
    <row r="3562" spans="2:8">
      <c r="B3562" s="17" t="s">
        <v>9505</v>
      </c>
      <c r="C3562" s="246" t="s">
        <v>3964</v>
      </c>
      <c r="D3562" s="18">
        <v>0</v>
      </c>
      <c r="E3562" s="18">
        <v>0</v>
      </c>
      <c r="F3562" s="18">
        <v>0</v>
      </c>
      <c r="G3562" s="18">
        <v>0</v>
      </c>
      <c r="H3562" s="18">
        <v>0</v>
      </c>
    </row>
    <row r="3563" spans="2:8">
      <c r="B3563" s="14" t="s">
        <v>9506</v>
      </c>
      <c r="C3563" s="245" t="s">
        <v>3965</v>
      </c>
      <c r="D3563" s="15">
        <v>1229</v>
      </c>
      <c r="E3563" s="15">
        <v>1333</v>
      </c>
      <c r="F3563" s="15">
        <v>1381</v>
      </c>
      <c r="G3563" s="15">
        <v>1342</v>
      </c>
      <c r="H3563" s="15">
        <v>0</v>
      </c>
    </row>
    <row r="3564" spans="2:8">
      <c r="B3564" s="17" t="s">
        <v>9507</v>
      </c>
      <c r="C3564" s="246" t="s">
        <v>3966</v>
      </c>
      <c r="D3564" s="18">
        <v>0</v>
      </c>
      <c r="E3564" s="18">
        <v>0</v>
      </c>
      <c r="F3564" s="18">
        <v>0</v>
      </c>
      <c r="G3564" s="18">
        <v>0</v>
      </c>
      <c r="H3564" s="18">
        <v>0</v>
      </c>
    </row>
    <row r="3565" spans="2:8">
      <c r="B3565" s="14" t="s">
        <v>9508</v>
      </c>
      <c r="C3565" s="245" t="s">
        <v>2411</v>
      </c>
      <c r="D3565" s="15">
        <v>0</v>
      </c>
      <c r="E3565" s="15">
        <v>0</v>
      </c>
      <c r="F3565" s="15">
        <v>0</v>
      </c>
      <c r="G3565" s="15">
        <v>0</v>
      </c>
      <c r="H3565" s="15">
        <v>0</v>
      </c>
    </row>
    <row r="3566" spans="2:8">
      <c r="B3566" s="17" t="s">
        <v>9509</v>
      </c>
      <c r="C3566" s="246" t="s">
        <v>3967</v>
      </c>
      <c r="D3566" s="18">
        <v>0</v>
      </c>
      <c r="E3566" s="18">
        <v>0</v>
      </c>
      <c r="F3566" s="18">
        <v>0</v>
      </c>
      <c r="G3566" s="18">
        <v>0</v>
      </c>
      <c r="H3566" s="18">
        <v>0</v>
      </c>
    </row>
    <row r="3567" spans="2:8">
      <c r="B3567" s="14" t="s">
        <v>9510</v>
      </c>
      <c r="C3567" s="245" t="s">
        <v>3968</v>
      </c>
      <c r="D3567" s="15">
        <v>0</v>
      </c>
      <c r="E3567" s="15">
        <v>0</v>
      </c>
      <c r="F3567" s="15">
        <v>0</v>
      </c>
      <c r="G3567" s="15">
        <v>0</v>
      </c>
      <c r="H3567" s="15">
        <v>0</v>
      </c>
    </row>
    <row r="3568" spans="2:8">
      <c r="B3568" s="17" t="s">
        <v>9511</v>
      </c>
      <c r="C3568" s="246" t="s">
        <v>3969</v>
      </c>
      <c r="D3568" s="18">
        <v>0</v>
      </c>
      <c r="E3568" s="18">
        <v>0</v>
      </c>
      <c r="F3568" s="18">
        <v>0</v>
      </c>
      <c r="G3568" s="18">
        <v>0</v>
      </c>
      <c r="H3568" s="18">
        <v>0</v>
      </c>
    </row>
    <row r="3569" spans="2:8">
      <c r="B3569" s="14" t="s">
        <v>9512</v>
      </c>
      <c r="C3569" s="245" t="s">
        <v>3970</v>
      </c>
      <c r="D3569" s="15">
        <v>0</v>
      </c>
      <c r="E3569" s="15">
        <v>0</v>
      </c>
      <c r="F3569" s="15">
        <v>0</v>
      </c>
      <c r="G3569" s="15">
        <v>0</v>
      </c>
      <c r="H3569" s="15">
        <v>0</v>
      </c>
    </row>
    <row r="3570" spans="2:8">
      <c r="B3570" s="17" t="s">
        <v>9513</v>
      </c>
      <c r="C3570" s="246" t="s">
        <v>3971</v>
      </c>
      <c r="D3570" s="18">
        <v>0</v>
      </c>
      <c r="E3570" s="18">
        <v>0</v>
      </c>
      <c r="F3570" s="18">
        <v>0</v>
      </c>
      <c r="G3570" s="18">
        <v>0</v>
      </c>
      <c r="H3570" s="18">
        <v>0</v>
      </c>
    </row>
    <row r="3571" spans="2:8">
      <c r="B3571" s="14" t="s">
        <v>9514</v>
      </c>
      <c r="C3571" s="245" t="s">
        <v>3972</v>
      </c>
      <c r="D3571" s="15">
        <v>0</v>
      </c>
      <c r="E3571" s="15">
        <v>0</v>
      </c>
      <c r="F3571" s="15">
        <v>0</v>
      </c>
      <c r="G3571" s="15">
        <v>0</v>
      </c>
      <c r="H3571" s="15">
        <v>0</v>
      </c>
    </row>
    <row r="3572" spans="2:8">
      <c r="B3572" s="17" t="s">
        <v>9515</v>
      </c>
      <c r="C3572" s="246" t="s">
        <v>3973</v>
      </c>
      <c r="D3572" s="18">
        <v>0</v>
      </c>
      <c r="E3572" s="18">
        <v>0</v>
      </c>
      <c r="F3572" s="18">
        <v>0</v>
      </c>
      <c r="G3572" s="18">
        <v>0</v>
      </c>
      <c r="H3572" s="18">
        <v>0</v>
      </c>
    </row>
    <row r="3573" spans="2:8">
      <c r="B3573" s="14" t="s">
        <v>9516</v>
      </c>
      <c r="C3573" s="245" t="s">
        <v>3974</v>
      </c>
      <c r="D3573" s="15">
        <v>0</v>
      </c>
      <c r="E3573" s="15">
        <v>0</v>
      </c>
      <c r="F3573" s="15">
        <v>0</v>
      </c>
      <c r="G3573" s="15">
        <v>0</v>
      </c>
      <c r="H3573" s="15">
        <v>0</v>
      </c>
    </row>
    <row r="3574" spans="2:8">
      <c r="B3574" s="17" t="s">
        <v>9517</v>
      </c>
      <c r="C3574" s="246" t="s">
        <v>3975</v>
      </c>
      <c r="D3574" s="18">
        <v>0</v>
      </c>
      <c r="E3574" s="18">
        <v>0</v>
      </c>
      <c r="F3574" s="18">
        <v>0</v>
      </c>
      <c r="G3574" s="18">
        <v>6</v>
      </c>
      <c r="H3574" s="18">
        <v>0</v>
      </c>
    </row>
    <row r="3575" spans="2:8">
      <c r="B3575" s="14" t="s">
        <v>9518</v>
      </c>
      <c r="C3575" s="245" t="s">
        <v>3976</v>
      </c>
      <c r="D3575" s="15">
        <v>0</v>
      </c>
      <c r="E3575" s="15">
        <v>0</v>
      </c>
      <c r="F3575" s="15">
        <v>0</v>
      </c>
      <c r="G3575" s="15">
        <v>0</v>
      </c>
      <c r="H3575" s="15">
        <v>0</v>
      </c>
    </row>
    <row r="3576" spans="2:8">
      <c r="B3576" s="17" t="s">
        <v>9519</v>
      </c>
      <c r="C3576" s="246" t="s">
        <v>3977</v>
      </c>
      <c r="D3576" s="18">
        <v>0</v>
      </c>
      <c r="E3576" s="18">
        <v>0</v>
      </c>
      <c r="F3576" s="18">
        <v>0</v>
      </c>
      <c r="G3576" s="18">
        <v>1</v>
      </c>
      <c r="H3576" s="18">
        <v>0</v>
      </c>
    </row>
    <row r="3577" spans="2:8">
      <c r="B3577" s="14" t="s">
        <v>9520</v>
      </c>
      <c r="C3577" s="245" t="s">
        <v>3978</v>
      </c>
      <c r="D3577" s="15">
        <v>4</v>
      </c>
      <c r="E3577" s="15">
        <v>5</v>
      </c>
      <c r="F3577" s="15">
        <v>6</v>
      </c>
      <c r="G3577" s="15">
        <v>76</v>
      </c>
      <c r="H3577" s="15">
        <v>0</v>
      </c>
    </row>
    <row r="3578" spans="2:8">
      <c r="B3578" s="17" t="s">
        <v>9521</v>
      </c>
      <c r="C3578" s="246" t="s">
        <v>3979</v>
      </c>
      <c r="D3578" s="18">
        <v>0</v>
      </c>
      <c r="E3578" s="18">
        <v>0</v>
      </c>
      <c r="F3578" s="18">
        <v>0</v>
      </c>
      <c r="G3578" s="18">
        <v>0</v>
      </c>
      <c r="H3578" s="18">
        <v>0</v>
      </c>
    </row>
    <row r="3579" spans="2:8">
      <c r="B3579" s="14" t="s">
        <v>9522</v>
      </c>
      <c r="C3579" s="245" t="s">
        <v>3980</v>
      </c>
      <c r="D3579" s="15">
        <v>0</v>
      </c>
      <c r="E3579" s="15">
        <v>0</v>
      </c>
      <c r="F3579" s="15">
        <v>0</v>
      </c>
      <c r="G3579" s="15">
        <v>0</v>
      </c>
      <c r="H3579" s="15">
        <v>0</v>
      </c>
    </row>
    <row r="3580" spans="2:8">
      <c r="B3580" s="17" t="s">
        <v>9523</v>
      </c>
      <c r="C3580" s="246" t="s">
        <v>3981</v>
      </c>
      <c r="D3580" s="18">
        <v>0</v>
      </c>
      <c r="E3580" s="18">
        <v>0</v>
      </c>
      <c r="F3580" s="18">
        <v>0</v>
      </c>
      <c r="G3580" s="18">
        <v>0</v>
      </c>
      <c r="H3580" s="18">
        <v>0</v>
      </c>
    </row>
    <row r="3581" spans="2:8">
      <c r="B3581" s="14" t="s">
        <v>9524</v>
      </c>
      <c r="C3581" s="245" t="s">
        <v>3982</v>
      </c>
      <c r="D3581" s="15">
        <v>0</v>
      </c>
      <c r="E3581" s="15">
        <v>0</v>
      </c>
      <c r="F3581" s="15">
        <v>0</v>
      </c>
      <c r="G3581" s="15">
        <v>0</v>
      </c>
      <c r="H3581" s="15">
        <v>0</v>
      </c>
    </row>
    <row r="3582" spans="2:8">
      <c r="B3582" s="17" t="s">
        <v>9525</v>
      </c>
      <c r="C3582" s="246" t="s">
        <v>3983</v>
      </c>
      <c r="D3582" s="18">
        <v>0</v>
      </c>
      <c r="E3582" s="18">
        <v>0</v>
      </c>
      <c r="F3582" s="18">
        <v>0</v>
      </c>
      <c r="G3582" s="18">
        <v>0</v>
      </c>
      <c r="H3582" s="18">
        <v>0</v>
      </c>
    </row>
    <row r="3583" spans="2:8">
      <c r="B3583" s="14" t="s">
        <v>9526</v>
      </c>
      <c r="C3583" s="245" t="s">
        <v>3984</v>
      </c>
      <c r="D3583" s="15">
        <v>0</v>
      </c>
      <c r="E3583" s="15">
        <v>0</v>
      </c>
      <c r="F3583" s="15">
        <v>0</v>
      </c>
      <c r="G3583" s="15">
        <v>0</v>
      </c>
      <c r="H3583" s="15">
        <v>0</v>
      </c>
    </row>
    <row r="3584" spans="2:8">
      <c r="B3584" s="17" t="s">
        <v>9527</v>
      </c>
      <c r="C3584" s="246" t="s">
        <v>3985</v>
      </c>
      <c r="D3584" s="18">
        <v>0</v>
      </c>
      <c r="E3584" s="18">
        <v>30</v>
      </c>
      <c r="F3584" s="18">
        <v>0</v>
      </c>
      <c r="G3584" s="18">
        <v>0</v>
      </c>
      <c r="H3584" s="18">
        <v>0</v>
      </c>
    </row>
    <row r="3585" spans="2:8">
      <c r="B3585" s="14" t="s">
        <v>9528</v>
      </c>
      <c r="C3585" s="245" t="s">
        <v>3986</v>
      </c>
      <c r="D3585" s="15">
        <v>0</v>
      </c>
      <c r="E3585" s="15">
        <v>0</v>
      </c>
      <c r="F3585" s="15">
        <v>48</v>
      </c>
      <c r="G3585" s="15">
        <v>17</v>
      </c>
      <c r="H3585" s="15">
        <v>0</v>
      </c>
    </row>
    <row r="3586" spans="2:8">
      <c r="B3586" s="17" t="s">
        <v>9529</v>
      </c>
      <c r="C3586" s="246" t="s">
        <v>3987</v>
      </c>
      <c r="D3586" s="18">
        <v>0</v>
      </c>
      <c r="E3586" s="18">
        <v>7</v>
      </c>
      <c r="F3586" s="18">
        <v>0</v>
      </c>
      <c r="G3586" s="18">
        <v>0</v>
      </c>
      <c r="H3586" s="18">
        <v>0</v>
      </c>
    </row>
    <row r="3587" spans="2:8">
      <c r="B3587" s="14" t="s">
        <v>9530</v>
      </c>
      <c r="C3587" s="245" t="s">
        <v>3988</v>
      </c>
      <c r="D3587" s="15">
        <v>0</v>
      </c>
      <c r="E3587" s="15">
        <v>0</v>
      </c>
      <c r="F3587" s="15">
        <v>0</v>
      </c>
      <c r="G3587" s="15">
        <v>0</v>
      </c>
      <c r="H3587" s="15">
        <v>0</v>
      </c>
    </row>
    <row r="3588" spans="2:8">
      <c r="B3588" s="17" t="s">
        <v>9531</v>
      </c>
      <c r="C3588" s="246" t="s">
        <v>3989</v>
      </c>
      <c r="D3588" s="18">
        <v>0</v>
      </c>
      <c r="E3588" s="18">
        <v>0</v>
      </c>
      <c r="F3588" s="18">
        <v>0</v>
      </c>
      <c r="G3588" s="18">
        <v>0</v>
      </c>
      <c r="H3588" s="18">
        <v>0</v>
      </c>
    </row>
    <row r="3589" spans="2:8">
      <c r="B3589" s="14" t="s">
        <v>9532</v>
      </c>
      <c r="C3589" s="245" t="s">
        <v>3990</v>
      </c>
      <c r="D3589" s="15">
        <v>0</v>
      </c>
      <c r="E3589" s="15">
        <v>0</v>
      </c>
      <c r="F3589" s="15">
        <v>0</v>
      </c>
      <c r="G3589" s="15">
        <v>0</v>
      </c>
      <c r="H3589" s="15">
        <v>0</v>
      </c>
    </row>
    <row r="3590" spans="2:8">
      <c r="B3590" s="17" t="s">
        <v>9533</v>
      </c>
      <c r="C3590" s="246" t="s">
        <v>3991</v>
      </c>
      <c r="D3590" s="18">
        <v>0</v>
      </c>
      <c r="E3590" s="18">
        <v>0</v>
      </c>
      <c r="F3590" s="18">
        <v>0</v>
      </c>
      <c r="G3590" s="18">
        <v>0</v>
      </c>
      <c r="H3590" s="18">
        <v>0</v>
      </c>
    </row>
    <row r="3591" spans="2:8">
      <c r="B3591" s="14" t="s">
        <v>9534</v>
      </c>
      <c r="C3591" s="245" t="s">
        <v>2236</v>
      </c>
      <c r="D3591" s="15">
        <v>0</v>
      </c>
      <c r="E3591" s="15">
        <v>0</v>
      </c>
      <c r="F3591" s="15">
        <v>0</v>
      </c>
      <c r="G3591" s="15">
        <v>0</v>
      </c>
      <c r="H3591" s="15">
        <v>0</v>
      </c>
    </row>
    <row r="3592" spans="2:8">
      <c r="B3592" s="17" t="s">
        <v>9535</v>
      </c>
      <c r="C3592" s="246" t="s">
        <v>3992</v>
      </c>
      <c r="D3592" s="18">
        <v>0</v>
      </c>
      <c r="E3592" s="18">
        <v>0</v>
      </c>
      <c r="F3592" s="18">
        <v>0</v>
      </c>
      <c r="G3592" s="18">
        <v>0</v>
      </c>
      <c r="H3592" s="18">
        <v>0</v>
      </c>
    </row>
    <row r="3593" spans="2:8">
      <c r="B3593" s="14" t="s">
        <v>9536</v>
      </c>
      <c r="C3593" s="245" t="s">
        <v>3993</v>
      </c>
      <c r="D3593" s="15">
        <v>0</v>
      </c>
      <c r="E3593" s="15">
        <v>0</v>
      </c>
      <c r="F3593" s="15">
        <v>0</v>
      </c>
      <c r="G3593" s="15">
        <v>0</v>
      </c>
      <c r="H3593" s="15">
        <v>0</v>
      </c>
    </row>
    <row r="3594" spans="2:8">
      <c r="B3594" s="17" t="s">
        <v>9537</v>
      </c>
      <c r="C3594" s="246" t="s">
        <v>3994</v>
      </c>
      <c r="D3594" s="18">
        <v>0</v>
      </c>
      <c r="E3594" s="18">
        <v>0</v>
      </c>
      <c r="F3594" s="18">
        <v>0</v>
      </c>
      <c r="G3594" s="18">
        <v>0</v>
      </c>
      <c r="H3594" s="18">
        <v>0</v>
      </c>
    </row>
    <row r="3595" spans="2:8">
      <c r="B3595" s="14" t="s">
        <v>9538</v>
      </c>
      <c r="C3595" s="245" t="s">
        <v>3995</v>
      </c>
      <c r="D3595" s="15">
        <v>0</v>
      </c>
      <c r="E3595" s="15">
        <v>0</v>
      </c>
      <c r="F3595" s="15">
        <v>0</v>
      </c>
      <c r="G3595" s="15">
        <v>0</v>
      </c>
      <c r="H3595" s="15">
        <v>0</v>
      </c>
    </row>
    <row r="3596" spans="2:8">
      <c r="B3596" s="17" t="s">
        <v>9539</v>
      </c>
      <c r="C3596" s="246" t="s">
        <v>3996</v>
      </c>
      <c r="D3596" s="18">
        <v>0</v>
      </c>
      <c r="E3596" s="18">
        <v>0</v>
      </c>
      <c r="F3596" s="18">
        <v>0</v>
      </c>
      <c r="G3596" s="18">
        <v>0</v>
      </c>
      <c r="H3596" s="18">
        <v>0</v>
      </c>
    </row>
    <row r="3597" spans="2:8">
      <c r="B3597" s="14" t="s">
        <v>9540</v>
      </c>
      <c r="C3597" s="245" t="s">
        <v>3997</v>
      </c>
      <c r="D3597" s="15">
        <v>0</v>
      </c>
      <c r="E3597" s="15">
        <v>0</v>
      </c>
      <c r="F3597" s="15">
        <v>0</v>
      </c>
      <c r="G3597" s="15">
        <v>0</v>
      </c>
      <c r="H3597" s="15">
        <v>0</v>
      </c>
    </row>
    <row r="3598" spans="2:8">
      <c r="B3598" s="17" t="s">
        <v>9541</v>
      </c>
      <c r="C3598" s="246" t="s">
        <v>3998</v>
      </c>
      <c r="D3598" s="18">
        <v>0</v>
      </c>
      <c r="E3598" s="18">
        <v>0</v>
      </c>
      <c r="F3598" s="18">
        <v>0</v>
      </c>
      <c r="G3598" s="18">
        <v>0</v>
      </c>
      <c r="H3598" s="18">
        <v>0</v>
      </c>
    </row>
    <row r="3599" spans="2:8">
      <c r="B3599" s="14" t="s">
        <v>9542</v>
      </c>
      <c r="C3599" s="245" t="s">
        <v>3999</v>
      </c>
      <c r="D3599" s="15">
        <v>0</v>
      </c>
      <c r="E3599" s="15">
        <v>0</v>
      </c>
      <c r="F3599" s="15">
        <v>0</v>
      </c>
      <c r="G3599" s="15">
        <v>0</v>
      </c>
      <c r="H3599" s="15">
        <v>0</v>
      </c>
    </row>
    <row r="3600" spans="2:8">
      <c r="B3600" s="17" t="s">
        <v>9543</v>
      </c>
      <c r="C3600" s="246" t="s">
        <v>4000</v>
      </c>
      <c r="D3600" s="18">
        <v>0</v>
      </c>
      <c r="E3600" s="18">
        <v>0</v>
      </c>
      <c r="F3600" s="18">
        <v>0</v>
      </c>
      <c r="G3600" s="18">
        <v>0</v>
      </c>
      <c r="H3600" s="18">
        <v>0</v>
      </c>
    </row>
    <row r="3601" spans="2:8">
      <c r="B3601" s="14" t="s">
        <v>9544</v>
      </c>
      <c r="C3601" s="245" t="s">
        <v>4001</v>
      </c>
      <c r="D3601" s="15">
        <v>37</v>
      </c>
      <c r="E3601" s="15">
        <v>0</v>
      </c>
      <c r="F3601" s="15">
        <v>5</v>
      </c>
      <c r="G3601" s="15">
        <v>0</v>
      </c>
      <c r="H3601" s="15">
        <v>0</v>
      </c>
    </row>
    <row r="3602" spans="2:8">
      <c r="B3602" s="17" t="s">
        <v>9545</v>
      </c>
      <c r="C3602" s="246" t="s">
        <v>4002</v>
      </c>
      <c r="D3602" s="18">
        <v>0</v>
      </c>
      <c r="E3602" s="18">
        <v>0</v>
      </c>
      <c r="F3602" s="18">
        <v>0</v>
      </c>
      <c r="G3602" s="18">
        <v>0</v>
      </c>
      <c r="H3602" s="18">
        <v>0</v>
      </c>
    </row>
    <row r="3603" spans="2:8">
      <c r="B3603" s="14" t="s">
        <v>9546</v>
      </c>
      <c r="C3603" s="245" t="s">
        <v>1457</v>
      </c>
      <c r="D3603" s="15">
        <v>10</v>
      </c>
      <c r="E3603" s="15">
        <v>34</v>
      </c>
      <c r="F3603" s="15">
        <v>42</v>
      </c>
      <c r="G3603" s="15">
        <v>455</v>
      </c>
      <c r="H3603" s="15">
        <v>0</v>
      </c>
    </row>
    <row r="3604" spans="2:8">
      <c r="B3604" s="17" t="s">
        <v>9547</v>
      </c>
      <c r="C3604" s="246" t="s">
        <v>4003</v>
      </c>
      <c r="D3604" s="18">
        <v>0</v>
      </c>
      <c r="E3604" s="18">
        <v>266</v>
      </c>
      <c r="F3604" s="18">
        <v>7</v>
      </c>
      <c r="G3604" s="18">
        <v>0</v>
      </c>
      <c r="H3604" s="18">
        <v>0</v>
      </c>
    </row>
    <row r="3605" spans="2:8">
      <c r="B3605" s="14" t="s">
        <v>9548</v>
      </c>
      <c r="C3605" s="245" t="s">
        <v>4004</v>
      </c>
      <c r="D3605" s="15">
        <v>0</v>
      </c>
      <c r="E3605" s="15">
        <v>0</v>
      </c>
      <c r="F3605" s="15">
        <v>0</v>
      </c>
      <c r="G3605" s="15">
        <v>0</v>
      </c>
      <c r="H3605" s="15">
        <v>0</v>
      </c>
    </row>
    <row r="3606" spans="2:8">
      <c r="B3606" s="17" t="s">
        <v>9549</v>
      </c>
      <c r="C3606" s="246" t="s">
        <v>4005</v>
      </c>
      <c r="D3606" s="18">
        <v>0</v>
      </c>
      <c r="E3606" s="18">
        <v>0</v>
      </c>
      <c r="F3606" s="18">
        <v>0</v>
      </c>
      <c r="G3606" s="18">
        <v>9</v>
      </c>
      <c r="H3606" s="18">
        <v>0</v>
      </c>
    </row>
    <row r="3607" spans="2:8">
      <c r="B3607" s="14" t="s">
        <v>9550</v>
      </c>
      <c r="C3607" s="245" t="s">
        <v>4006</v>
      </c>
      <c r="D3607" s="15">
        <v>0</v>
      </c>
      <c r="E3607" s="15">
        <v>0</v>
      </c>
      <c r="F3607" s="15">
        <v>0</v>
      </c>
      <c r="G3607" s="15">
        <v>0</v>
      </c>
      <c r="H3607" s="15">
        <v>0</v>
      </c>
    </row>
    <row r="3608" spans="2:8">
      <c r="B3608" s="17" t="s">
        <v>9551</v>
      </c>
      <c r="C3608" s="246" t="s">
        <v>4007</v>
      </c>
      <c r="D3608" s="18">
        <v>0</v>
      </c>
      <c r="E3608" s="18">
        <v>0</v>
      </c>
      <c r="F3608" s="18">
        <v>0</v>
      </c>
      <c r="G3608" s="18">
        <v>0</v>
      </c>
      <c r="H3608" s="18">
        <v>0</v>
      </c>
    </row>
    <row r="3609" spans="2:8">
      <c r="B3609" s="14" t="s">
        <v>9552</v>
      </c>
      <c r="C3609" s="245" t="s">
        <v>4008</v>
      </c>
      <c r="D3609" s="15">
        <v>0</v>
      </c>
      <c r="E3609" s="15">
        <v>0</v>
      </c>
      <c r="F3609" s="15">
        <v>0</v>
      </c>
      <c r="G3609" s="15">
        <v>0</v>
      </c>
      <c r="H3609" s="15">
        <v>0</v>
      </c>
    </row>
    <row r="3610" spans="2:8">
      <c r="B3610" s="17" t="s">
        <v>9553</v>
      </c>
      <c r="C3610" s="246" t="s">
        <v>4009</v>
      </c>
      <c r="D3610" s="18">
        <v>0</v>
      </c>
      <c r="E3610" s="18">
        <v>0</v>
      </c>
      <c r="F3610" s="18">
        <v>0</v>
      </c>
      <c r="G3610" s="18">
        <v>0</v>
      </c>
      <c r="H3610" s="18">
        <v>0</v>
      </c>
    </row>
    <row r="3611" spans="2:8">
      <c r="B3611" s="14" t="s">
        <v>9554</v>
      </c>
      <c r="C3611" s="245" t="s">
        <v>4010</v>
      </c>
      <c r="D3611" s="15">
        <v>0</v>
      </c>
      <c r="E3611" s="15">
        <v>0</v>
      </c>
      <c r="F3611" s="15">
        <v>0</v>
      </c>
      <c r="G3611" s="15">
        <v>0</v>
      </c>
      <c r="H3611" s="15">
        <v>0</v>
      </c>
    </row>
    <row r="3612" spans="2:8">
      <c r="B3612" s="17" t="s">
        <v>9555</v>
      </c>
      <c r="C3612" s="246" t="s">
        <v>4011</v>
      </c>
      <c r="D3612" s="18">
        <v>57</v>
      </c>
      <c r="E3612" s="18">
        <v>62</v>
      </c>
      <c r="F3612" s="18">
        <v>40</v>
      </c>
      <c r="G3612" s="18">
        <v>59</v>
      </c>
      <c r="H3612" s="18">
        <v>0</v>
      </c>
    </row>
    <row r="3613" spans="2:8">
      <c r="B3613" s="14" t="s">
        <v>9556</v>
      </c>
      <c r="C3613" s="245" t="s">
        <v>4012</v>
      </c>
      <c r="D3613" s="15">
        <v>0</v>
      </c>
      <c r="E3613" s="15">
        <v>0</v>
      </c>
      <c r="F3613" s="15">
        <v>0</v>
      </c>
      <c r="G3613" s="15">
        <v>0</v>
      </c>
      <c r="H3613" s="15">
        <v>0</v>
      </c>
    </row>
    <row r="3614" spans="2:8">
      <c r="B3614" s="17" t="s">
        <v>9557</v>
      </c>
      <c r="C3614" s="246" t="s">
        <v>4013</v>
      </c>
      <c r="D3614" s="18">
        <v>0</v>
      </c>
      <c r="E3614" s="18">
        <v>0</v>
      </c>
      <c r="F3614" s="18">
        <v>8</v>
      </c>
      <c r="G3614" s="18">
        <v>4</v>
      </c>
      <c r="H3614" s="18">
        <v>0</v>
      </c>
    </row>
    <row r="3615" spans="2:8">
      <c r="B3615" s="14" t="s">
        <v>9558</v>
      </c>
      <c r="C3615" s="245" t="s">
        <v>4014</v>
      </c>
      <c r="D3615" s="15">
        <v>0</v>
      </c>
      <c r="E3615" s="15">
        <v>0</v>
      </c>
      <c r="F3615" s="15">
        <v>0</v>
      </c>
      <c r="G3615" s="15">
        <v>0</v>
      </c>
      <c r="H3615" s="15">
        <v>0</v>
      </c>
    </row>
    <row r="3616" spans="2:8">
      <c r="B3616" s="17" t="s">
        <v>9559</v>
      </c>
      <c r="C3616" s="246" t="s">
        <v>4015</v>
      </c>
      <c r="D3616" s="18">
        <v>0</v>
      </c>
      <c r="E3616" s="18">
        <v>0</v>
      </c>
      <c r="F3616" s="18">
        <v>96</v>
      </c>
      <c r="G3616" s="18">
        <v>0</v>
      </c>
      <c r="H3616" s="18">
        <v>0</v>
      </c>
    </row>
    <row r="3617" spans="2:8">
      <c r="B3617" s="14" t="s">
        <v>9560</v>
      </c>
      <c r="C3617" s="245" t="s">
        <v>4016</v>
      </c>
      <c r="D3617" s="15">
        <v>0</v>
      </c>
      <c r="E3617" s="15">
        <v>0</v>
      </c>
      <c r="F3617" s="15">
        <v>0</v>
      </c>
      <c r="G3617" s="15">
        <v>0</v>
      </c>
      <c r="H3617" s="15">
        <v>0</v>
      </c>
    </row>
    <row r="3618" spans="2:8">
      <c r="B3618" s="17" t="s">
        <v>9561</v>
      </c>
      <c r="C3618" s="246" t="s">
        <v>4017</v>
      </c>
      <c r="D3618" s="18">
        <v>0</v>
      </c>
      <c r="E3618" s="18">
        <v>0</v>
      </c>
      <c r="F3618" s="18">
        <v>0</v>
      </c>
      <c r="G3618" s="18">
        <v>0</v>
      </c>
      <c r="H3618" s="18">
        <v>0</v>
      </c>
    </row>
    <row r="3619" spans="2:8">
      <c r="B3619" s="14" t="s">
        <v>9562</v>
      </c>
      <c r="C3619" s="245" t="s">
        <v>4018</v>
      </c>
      <c r="D3619" s="15">
        <v>0</v>
      </c>
      <c r="E3619" s="15">
        <v>0</v>
      </c>
      <c r="F3619" s="15">
        <v>0</v>
      </c>
      <c r="G3619" s="15">
        <v>0</v>
      </c>
      <c r="H3619" s="15">
        <v>0</v>
      </c>
    </row>
    <row r="3620" spans="2:8">
      <c r="B3620" s="17" t="s">
        <v>9563</v>
      </c>
      <c r="C3620" s="246" t="s">
        <v>4019</v>
      </c>
      <c r="D3620" s="18">
        <v>0</v>
      </c>
      <c r="E3620" s="18">
        <v>0</v>
      </c>
      <c r="F3620" s="18">
        <v>0</v>
      </c>
      <c r="G3620" s="18">
        <v>0</v>
      </c>
      <c r="H3620" s="18">
        <v>0</v>
      </c>
    </row>
    <row r="3621" spans="2:8">
      <c r="B3621" s="14" t="s">
        <v>9564</v>
      </c>
      <c r="C3621" s="245" t="s">
        <v>4020</v>
      </c>
      <c r="D3621" s="15">
        <v>0</v>
      </c>
      <c r="E3621" s="15">
        <v>0</v>
      </c>
      <c r="F3621" s="15">
        <v>0</v>
      </c>
      <c r="G3621" s="15">
        <v>4</v>
      </c>
      <c r="H3621" s="15">
        <v>0</v>
      </c>
    </row>
    <row r="3622" spans="2:8">
      <c r="B3622" s="17" t="s">
        <v>9565</v>
      </c>
      <c r="C3622" s="246" t="s">
        <v>866</v>
      </c>
      <c r="D3622" s="18">
        <v>0</v>
      </c>
      <c r="E3622" s="18">
        <v>2</v>
      </c>
      <c r="F3622" s="18">
        <v>2</v>
      </c>
      <c r="G3622" s="18">
        <v>0</v>
      </c>
      <c r="H3622" s="18">
        <v>0</v>
      </c>
    </row>
    <row r="3623" spans="2:8">
      <c r="B3623" s="14" t="s">
        <v>9566</v>
      </c>
      <c r="C3623" s="245" t="s">
        <v>4021</v>
      </c>
      <c r="D3623" s="15">
        <v>3</v>
      </c>
      <c r="E3623" s="15">
        <v>2</v>
      </c>
      <c r="F3623" s="15">
        <v>4</v>
      </c>
      <c r="G3623" s="15">
        <v>0</v>
      </c>
      <c r="H3623" s="15">
        <v>0</v>
      </c>
    </row>
    <row r="3624" spans="2:8">
      <c r="B3624" s="17" t="s">
        <v>9567</v>
      </c>
      <c r="C3624" s="246" t="s">
        <v>4022</v>
      </c>
      <c r="D3624" s="18">
        <v>0</v>
      </c>
      <c r="E3624" s="18">
        <v>0</v>
      </c>
      <c r="F3624" s="18">
        <v>0</v>
      </c>
      <c r="G3624" s="18">
        <v>0</v>
      </c>
      <c r="H3624" s="18">
        <v>0</v>
      </c>
    </row>
    <row r="3625" spans="2:8">
      <c r="B3625" s="14" t="s">
        <v>9568</v>
      </c>
      <c r="C3625" s="245" t="s">
        <v>4023</v>
      </c>
      <c r="D3625" s="15">
        <v>3</v>
      </c>
      <c r="E3625" s="15">
        <v>0</v>
      </c>
      <c r="F3625" s="15">
        <v>0</v>
      </c>
      <c r="G3625" s="15">
        <v>0</v>
      </c>
      <c r="H3625" s="15">
        <v>0</v>
      </c>
    </row>
    <row r="3626" spans="2:8">
      <c r="B3626" s="17" t="s">
        <v>9569</v>
      </c>
      <c r="C3626" s="246" t="s">
        <v>4024</v>
      </c>
      <c r="D3626" s="18">
        <v>0</v>
      </c>
      <c r="E3626" s="18">
        <v>0</v>
      </c>
      <c r="F3626" s="18">
        <v>1</v>
      </c>
      <c r="G3626" s="18">
        <v>0</v>
      </c>
      <c r="H3626" s="18">
        <v>0</v>
      </c>
    </row>
    <row r="3627" spans="2:8">
      <c r="B3627" s="14" t="s">
        <v>9570</v>
      </c>
      <c r="C3627" s="245" t="s">
        <v>4025</v>
      </c>
      <c r="D3627" s="15">
        <v>8</v>
      </c>
      <c r="E3627" s="15">
        <v>10</v>
      </c>
      <c r="F3627" s="15">
        <v>24</v>
      </c>
      <c r="G3627" s="15">
        <v>10</v>
      </c>
      <c r="H3627" s="15">
        <v>0</v>
      </c>
    </row>
    <row r="3628" spans="2:8">
      <c r="B3628" s="17" t="s">
        <v>9571</v>
      </c>
      <c r="C3628" s="246" t="s">
        <v>4026</v>
      </c>
      <c r="D3628" s="18">
        <v>0</v>
      </c>
      <c r="E3628" s="18">
        <v>1</v>
      </c>
      <c r="F3628" s="18">
        <v>0</v>
      </c>
      <c r="G3628" s="18">
        <v>0</v>
      </c>
      <c r="H3628" s="18">
        <v>0</v>
      </c>
    </row>
    <row r="3629" spans="2:8">
      <c r="B3629" s="14" t="s">
        <v>9572</v>
      </c>
      <c r="C3629" s="245" t="s">
        <v>4027</v>
      </c>
      <c r="D3629" s="15">
        <v>564</v>
      </c>
      <c r="E3629" s="15">
        <v>132</v>
      </c>
      <c r="F3629" s="15">
        <v>60</v>
      </c>
      <c r="G3629" s="15">
        <v>21</v>
      </c>
      <c r="H3629" s="15">
        <v>0</v>
      </c>
    </row>
    <row r="3630" spans="2:8">
      <c r="B3630" s="17" t="s">
        <v>9573</v>
      </c>
      <c r="C3630" s="246" t="s">
        <v>4028</v>
      </c>
      <c r="D3630" s="18">
        <v>13</v>
      </c>
      <c r="E3630" s="18">
        <v>4</v>
      </c>
      <c r="F3630" s="18">
        <v>1</v>
      </c>
      <c r="G3630" s="18">
        <v>6</v>
      </c>
      <c r="H3630" s="18">
        <v>0</v>
      </c>
    </row>
    <row r="3631" spans="2:8">
      <c r="B3631" s="14" t="s">
        <v>9574</v>
      </c>
      <c r="C3631" s="245" t="s">
        <v>4029</v>
      </c>
      <c r="D3631" s="15">
        <v>9</v>
      </c>
      <c r="E3631" s="15">
        <v>0</v>
      </c>
      <c r="F3631" s="15">
        <v>0</v>
      </c>
      <c r="G3631" s="15">
        <v>1</v>
      </c>
      <c r="H3631" s="15">
        <v>0</v>
      </c>
    </row>
    <row r="3632" spans="2:8">
      <c r="B3632" s="17" t="s">
        <v>9575</v>
      </c>
      <c r="C3632" s="246" t="s">
        <v>1800</v>
      </c>
      <c r="D3632" s="18">
        <v>0</v>
      </c>
      <c r="E3632" s="18">
        <v>0</v>
      </c>
      <c r="F3632" s="18">
        <v>0</v>
      </c>
      <c r="G3632" s="18">
        <v>0</v>
      </c>
      <c r="H3632" s="18">
        <v>0</v>
      </c>
    </row>
    <row r="3633" spans="2:8">
      <c r="B3633" s="14" t="s">
        <v>9576</v>
      </c>
      <c r="C3633" s="245" t="s">
        <v>4030</v>
      </c>
      <c r="D3633" s="15">
        <v>1</v>
      </c>
      <c r="E3633" s="15">
        <v>0</v>
      </c>
      <c r="F3633" s="15">
        <v>0</v>
      </c>
      <c r="G3633" s="15">
        <v>0</v>
      </c>
      <c r="H3633" s="15">
        <v>0</v>
      </c>
    </row>
    <row r="3634" spans="2:8">
      <c r="B3634" s="17" t="s">
        <v>9577</v>
      </c>
      <c r="C3634" s="246" t="s">
        <v>4031</v>
      </c>
      <c r="D3634" s="18">
        <v>0</v>
      </c>
      <c r="E3634" s="18">
        <v>0</v>
      </c>
      <c r="F3634" s="18">
        <v>0</v>
      </c>
      <c r="G3634" s="18">
        <v>0</v>
      </c>
      <c r="H3634" s="18">
        <v>0</v>
      </c>
    </row>
    <row r="3635" spans="2:8">
      <c r="B3635" s="14" t="s">
        <v>9578</v>
      </c>
      <c r="C3635" s="245" t="s">
        <v>2996</v>
      </c>
      <c r="D3635" s="15">
        <v>0</v>
      </c>
      <c r="E3635" s="15">
        <v>0</v>
      </c>
      <c r="F3635" s="15">
        <v>0</v>
      </c>
      <c r="G3635" s="15">
        <v>0</v>
      </c>
      <c r="H3635" s="15">
        <v>0</v>
      </c>
    </row>
    <row r="3636" spans="2:8">
      <c r="B3636" s="17" t="s">
        <v>9579</v>
      </c>
      <c r="C3636" s="246" t="s">
        <v>2996</v>
      </c>
      <c r="D3636" s="18">
        <v>0</v>
      </c>
      <c r="E3636" s="18">
        <v>8</v>
      </c>
      <c r="F3636" s="18">
        <v>0</v>
      </c>
      <c r="G3636" s="18">
        <v>0</v>
      </c>
      <c r="H3636" s="18">
        <v>0</v>
      </c>
    </row>
    <row r="3637" spans="2:8">
      <c r="B3637" s="14" t="s">
        <v>9580</v>
      </c>
      <c r="C3637" s="245" t="s">
        <v>3019</v>
      </c>
      <c r="D3637" s="15">
        <v>0</v>
      </c>
      <c r="E3637" s="15">
        <v>0</v>
      </c>
      <c r="F3637" s="15">
        <v>0</v>
      </c>
      <c r="G3637" s="15">
        <v>0</v>
      </c>
      <c r="H3637" s="15">
        <v>0</v>
      </c>
    </row>
    <row r="3638" spans="2:8">
      <c r="B3638" s="17" t="s">
        <v>9581</v>
      </c>
      <c r="C3638" s="246" t="s">
        <v>4032</v>
      </c>
      <c r="D3638" s="18">
        <v>0</v>
      </c>
      <c r="E3638" s="18">
        <v>0</v>
      </c>
      <c r="F3638" s="18">
        <v>0</v>
      </c>
      <c r="G3638" s="18">
        <v>0</v>
      </c>
      <c r="H3638" s="18">
        <v>0</v>
      </c>
    </row>
    <row r="3639" spans="2:8">
      <c r="B3639" s="14" t="s">
        <v>9582</v>
      </c>
      <c r="C3639" s="245" t="s">
        <v>4033</v>
      </c>
      <c r="D3639" s="15">
        <v>0</v>
      </c>
      <c r="E3639" s="15">
        <v>0</v>
      </c>
      <c r="F3639" s="15">
        <v>0</v>
      </c>
      <c r="G3639" s="15">
        <v>0</v>
      </c>
      <c r="H3639" s="15">
        <v>0</v>
      </c>
    </row>
    <row r="3640" spans="2:8">
      <c r="B3640" s="17" t="s">
        <v>9583</v>
      </c>
      <c r="C3640" s="246" t="s">
        <v>4034</v>
      </c>
      <c r="D3640" s="18">
        <v>0</v>
      </c>
      <c r="E3640" s="18">
        <v>0</v>
      </c>
      <c r="F3640" s="18">
        <v>0</v>
      </c>
      <c r="G3640" s="18">
        <v>0</v>
      </c>
      <c r="H3640" s="18">
        <v>0</v>
      </c>
    </row>
    <row r="3641" spans="2:8">
      <c r="B3641" s="14" t="s">
        <v>9584</v>
      </c>
      <c r="C3641" s="245" t="s">
        <v>2511</v>
      </c>
      <c r="D3641" s="15">
        <v>0</v>
      </c>
      <c r="E3641" s="15">
        <v>0</v>
      </c>
      <c r="F3641" s="15">
        <v>0</v>
      </c>
      <c r="G3641" s="15">
        <v>0</v>
      </c>
      <c r="H3641" s="15">
        <v>0</v>
      </c>
    </row>
    <row r="3642" spans="2:8">
      <c r="B3642" s="17" t="s">
        <v>9585</v>
      </c>
      <c r="C3642" s="246" t="s">
        <v>2512</v>
      </c>
      <c r="D3642" s="18">
        <v>0</v>
      </c>
      <c r="E3642" s="18">
        <v>0</v>
      </c>
      <c r="F3642" s="18">
        <v>0</v>
      </c>
      <c r="G3642" s="18">
        <v>0</v>
      </c>
      <c r="H3642" s="18">
        <v>0</v>
      </c>
    </row>
    <row r="3643" spans="2:8">
      <c r="B3643" s="14" t="s">
        <v>9586</v>
      </c>
      <c r="C3643" s="245" t="s">
        <v>4035</v>
      </c>
      <c r="D3643" s="15">
        <v>0</v>
      </c>
      <c r="E3643" s="15">
        <v>0</v>
      </c>
      <c r="F3643" s="15">
        <v>0</v>
      </c>
      <c r="G3643" s="15">
        <v>0</v>
      </c>
      <c r="H3643" s="15">
        <v>0</v>
      </c>
    </row>
    <row r="3644" spans="2:8">
      <c r="B3644" s="17" t="s">
        <v>9587</v>
      </c>
      <c r="C3644" s="246" t="s">
        <v>4036</v>
      </c>
      <c r="D3644" s="18">
        <v>0</v>
      </c>
      <c r="E3644" s="18">
        <v>0</v>
      </c>
      <c r="F3644" s="18">
        <v>0</v>
      </c>
      <c r="G3644" s="18">
        <v>0</v>
      </c>
      <c r="H3644" s="18">
        <v>0</v>
      </c>
    </row>
    <row r="3645" spans="2:8">
      <c r="B3645" s="14" t="s">
        <v>9588</v>
      </c>
      <c r="C3645" s="245" t="s">
        <v>4037</v>
      </c>
      <c r="D3645" s="15">
        <v>0</v>
      </c>
      <c r="E3645" s="15">
        <v>0</v>
      </c>
      <c r="F3645" s="15">
        <v>54</v>
      </c>
      <c r="G3645" s="15">
        <v>10</v>
      </c>
      <c r="H3645" s="15">
        <v>0</v>
      </c>
    </row>
    <row r="3646" spans="2:8">
      <c r="B3646" s="17" t="s">
        <v>9589</v>
      </c>
      <c r="C3646" s="246" t="s">
        <v>4038</v>
      </c>
      <c r="D3646" s="18">
        <v>0</v>
      </c>
      <c r="E3646" s="18">
        <v>0</v>
      </c>
      <c r="F3646" s="18">
        <v>0</v>
      </c>
      <c r="G3646" s="18">
        <v>0</v>
      </c>
      <c r="H3646" s="18">
        <v>0</v>
      </c>
    </row>
    <row r="3647" spans="2:8">
      <c r="B3647" s="14" t="s">
        <v>9590</v>
      </c>
      <c r="C3647" s="245" t="s">
        <v>1742</v>
      </c>
      <c r="D3647" s="15">
        <v>0</v>
      </c>
      <c r="E3647" s="15">
        <v>7</v>
      </c>
      <c r="F3647" s="15">
        <v>0</v>
      </c>
      <c r="G3647" s="15">
        <v>0</v>
      </c>
      <c r="H3647" s="15">
        <v>0</v>
      </c>
    </row>
    <row r="3648" spans="2:8">
      <c r="B3648" s="17" t="s">
        <v>9591</v>
      </c>
      <c r="C3648" s="246" t="s">
        <v>4039</v>
      </c>
      <c r="D3648" s="18">
        <v>0</v>
      </c>
      <c r="E3648" s="18">
        <v>0</v>
      </c>
      <c r="F3648" s="18">
        <v>0</v>
      </c>
      <c r="G3648" s="18">
        <v>0</v>
      </c>
      <c r="H3648" s="18">
        <v>0</v>
      </c>
    </row>
    <row r="3649" spans="2:8">
      <c r="B3649" s="14" t="s">
        <v>9592</v>
      </c>
      <c r="C3649" s="245" t="s">
        <v>2200</v>
      </c>
      <c r="D3649" s="15">
        <v>0</v>
      </c>
      <c r="E3649" s="15">
        <v>0</v>
      </c>
      <c r="F3649" s="15">
        <v>0</v>
      </c>
      <c r="G3649" s="15">
        <v>0</v>
      </c>
      <c r="H3649" s="15">
        <v>0</v>
      </c>
    </row>
    <row r="3650" spans="2:8">
      <c r="B3650" s="17" t="s">
        <v>9593</v>
      </c>
      <c r="C3650" s="246" t="s">
        <v>2200</v>
      </c>
      <c r="D3650" s="18">
        <v>0</v>
      </c>
      <c r="E3650" s="18">
        <v>0</v>
      </c>
      <c r="F3650" s="18">
        <v>0</v>
      </c>
      <c r="G3650" s="18">
        <v>0</v>
      </c>
      <c r="H3650" s="18">
        <v>0</v>
      </c>
    </row>
    <row r="3651" spans="2:8">
      <c r="B3651" s="14" t="s">
        <v>9594</v>
      </c>
      <c r="C3651" s="245" t="s">
        <v>1396</v>
      </c>
      <c r="D3651" s="15">
        <v>0</v>
      </c>
      <c r="E3651" s="15">
        <v>0</v>
      </c>
      <c r="F3651" s="15">
        <v>0</v>
      </c>
      <c r="G3651" s="15">
        <v>0</v>
      </c>
      <c r="H3651" s="15">
        <v>0</v>
      </c>
    </row>
    <row r="3652" spans="2:8">
      <c r="B3652" s="17" t="s">
        <v>9595</v>
      </c>
      <c r="C3652" s="246" t="s">
        <v>1396</v>
      </c>
      <c r="D3652" s="18">
        <v>0</v>
      </c>
      <c r="E3652" s="18">
        <v>0</v>
      </c>
      <c r="F3652" s="18">
        <v>0</v>
      </c>
      <c r="G3652" s="18">
        <v>0</v>
      </c>
      <c r="H3652" s="18">
        <v>0</v>
      </c>
    </row>
    <row r="3653" spans="2:8">
      <c r="B3653" s="14" t="s">
        <v>9596</v>
      </c>
      <c r="C3653" s="245" t="s">
        <v>4040</v>
      </c>
      <c r="D3653" s="15">
        <v>0</v>
      </c>
      <c r="E3653" s="15">
        <v>0</v>
      </c>
      <c r="F3653" s="15">
        <v>0</v>
      </c>
      <c r="G3653" s="15">
        <v>0</v>
      </c>
      <c r="H3653" s="15">
        <v>0</v>
      </c>
    </row>
    <row r="3654" spans="2:8">
      <c r="B3654" s="17" t="s">
        <v>9597</v>
      </c>
      <c r="C3654" s="246" t="s">
        <v>2203</v>
      </c>
      <c r="D3654" s="18">
        <v>0</v>
      </c>
      <c r="E3654" s="18">
        <v>0</v>
      </c>
      <c r="F3654" s="18">
        <v>0</v>
      </c>
      <c r="G3654" s="18">
        <v>0</v>
      </c>
      <c r="H3654" s="18">
        <v>0</v>
      </c>
    </row>
    <row r="3655" spans="2:8">
      <c r="B3655" s="14" t="s">
        <v>9598</v>
      </c>
      <c r="C3655" s="245" t="s">
        <v>2203</v>
      </c>
      <c r="D3655" s="15">
        <v>0</v>
      </c>
      <c r="E3655" s="15">
        <v>0</v>
      </c>
      <c r="F3655" s="15">
        <v>0</v>
      </c>
      <c r="G3655" s="15">
        <v>0</v>
      </c>
      <c r="H3655" s="15">
        <v>0</v>
      </c>
    </row>
    <row r="3656" spans="2:8">
      <c r="B3656" s="17" t="s">
        <v>9599</v>
      </c>
      <c r="C3656" s="246" t="s">
        <v>953</v>
      </c>
      <c r="D3656" s="18">
        <v>0</v>
      </c>
      <c r="E3656" s="18">
        <v>0</v>
      </c>
      <c r="F3656" s="18">
        <v>0</v>
      </c>
      <c r="G3656" s="18">
        <v>0</v>
      </c>
      <c r="H3656" s="18">
        <v>0</v>
      </c>
    </row>
    <row r="3657" spans="2:8">
      <c r="B3657" s="14" t="s">
        <v>9600</v>
      </c>
      <c r="C3657" s="245" t="s">
        <v>4041</v>
      </c>
      <c r="D3657" s="15">
        <v>0</v>
      </c>
      <c r="E3657" s="15">
        <v>0</v>
      </c>
      <c r="F3657" s="15">
        <v>0</v>
      </c>
      <c r="G3657" s="15">
        <v>0</v>
      </c>
      <c r="H3657" s="15">
        <v>0</v>
      </c>
    </row>
    <row r="3658" spans="2:8">
      <c r="B3658" s="17" t="s">
        <v>9601</v>
      </c>
      <c r="C3658" s="246" t="s">
        <v>2149</v>
      </c>
      <c r="D3658" s="18">
        <v>0</v>
      </c>
      <c r="E3658" s="18">
        <v>0</v>
      </c>
      <c r="F3658" s="18">
        <v>0</v>
      </c>
      <c r="G3658" s="18">
        <v>0</v>
      </c>
      <c r="H3658" s="18">
        <v>0</v>
      </c>
    </row>
    <row r="3659" spans="2:8">
      <c r="B3659" s="14" t="s">
        <v>9602</v>
      </c>
      <c r="C3659" s="245" t="s">
        <v>2149</v>
      </c>
      <c r="D3659" s="15">
        <v>0</v>
      </c>
      <c r="E3659" s="15">
        <v>0</v>
      </c>
      <c r="F3659" s="15">
        <v>0</v>
      </c>
      <c r="G3659" s="15">
        <v>0</v>
      </c>
      <c r="H3659" s="15">
        <v>0</v>
      </c>
    </row>
    <row r="3660" spans="2:8">
      <c r="B3660" s="17" t="s">
        <v>9603</v>
      </c>
      <c r="C3660" s="246" t="s">
        <v>4042</v>
      </c>
      <c r="D3660" s="18">
        <v>0</v>
      </c>
      <c r="E3660" s="18">
        <v>0</v>
      </c>
      <c r="F3660" s="18">
        <v>0</v>
      </c>
      <c r="G3660" s="18">
        <v>0</v>
      </c>
      <c r="H3660" s="18">
        <v>0</v>
      </c>
    </row>
    <row r="3661" spans="2:8">
      <c r="B3661" s="14" t="s">
        <v>9604</v>
      </c>
      <c r="C3661" s="245" t="s">
        <v>2151</v>
      </c>
      <c r="D3661" s="15">
        <v>0</v>
      </c>
      <c r="E3661" s="15">
        <v>0</v>
      </c>
      <c r="F3661" s="15">
        <v>0</v>
      </c>
      <c r="G3661" s="15">
        <v>0</v>
      </c>
      <c r="H3661" s="15">
        <v>0</v>
      </c>
    </row>
    <row r="3662" spans="2:8">
      <c r="B3662" s="17" t="s">
        <v>9605</v>
      </c>
      <c r="C3662" s="246" t="s">
        <v>4043</v>
      </c>
      <c r="D3662" s="18">
        <v>0</v>
      </c>
      <c r="E3662" s="18">
        <v>0</v>
      </c>
      <c r="F3662" s="18">
        <v>0</v>
      </c>
      <c r="G3662" s="18">
        <v>0</v>
      </c>
      <c r="H3662" s="18">
        <v>0</v>
      </c>
    </row>
    <row r="3663" spans="2:8">
      <c r="B3663" s="14" t="s">
        <v>9606</v>
      </c>
      <c r="C3663" s="245" t="s">
        <v>4043</v>
      </c>
      <c r="D3663" s="15">
        <v>0</v>
      </c>
      <c r="E3663" s="15">
        <v>0</v>
      </c>
      <c r="F3663" s="15">
        <v>0</v>
      </c>
      <c r="G3663" s="15">
        <v>0</v>
      </c>
      <c r="H3663" s="15">
        <v>0</v>
      </c>
    </row>
    <row r="3664" spans="2:8">
      <c r="B3664" s="17" t="s">
        <v>9607</v>
      </c>
      <c r="C3664" s="246" t="s">
        <v>2803</v>
      </c>
      <c r="D3664" s="18">
        <v>0</v>
      </c>
      <c r="E3664" s="18">
        <v>0</v>
      </c>
      <c r="F3664" s="18">
        <v>0</v>
      </c>
      <c r="G3664" s="18">
        <v>0</v>
      </c>
      <c r="H3664" s="18">
        <v>0</v>
      </c>
    </row>
    <row r="3665" spans="2:8">
      <c r="B3665" s="14" t="s">
        <v>9608</v>
      </c>
      <c r="C3665" s="245" t="s">
        <v>4044</v>
      </c>
      <c r="D3665" s="15">
        <v>0</v>
      </c>
      <c r="E3665" s="15">
        <v>0</v>
      </c>
      <c r="F3665" s="15">
        <v>0</v>
      </c>
      <c r="G3665" s="15">
        <v>0</v>
      </c>
      <c r="H3665" s="15">
        <v>0</v>
      </c>
    </row>
    <row r="3666" spans="2:8">
      <c r="B3666" s="17" t="s">
        <v>9609</v>
      </c>
      <c r="C3666" s="246" t="s">
        <v>4045</v>
      </c>
      <c r="D3666" s="18">
        <v>0</v>
      </c>
      <c r="E3666" s="18">
        <v>0</v>
      </c>
      <c r="F3666" s="18">
        <v>0</v>
      </c>
      <c r="G3666" s="18">
        <v>0</v>
      </c>
      <c r="H3666" s="18">
        <v>0</v>
      </c>
    </row>
    <row r="3667" spans="2:8">
      <c r="B3667" s="14" t="s">
        <v>9610</v>
      </c>
      <c r="C3667" s="245" t="s">
        <v>2808</v>
      </c>
      <c r="D3667" s="15">
        <v>0</v>
      </c>
      <c r="E3667" s="15">
        <v>0</v>
      </c>
      <c r="F3667" s="15">
        <v>0</v>
      </c>
      <c r="G3667" s="15">
        <v>0</v>
      </c>
      <c r="H3667" s="15">
        <v>0</v>
      </c>
    </row>
    <row r="3668" spans="2:8">
      <c r="B3668" s="17" t="s">
        <v>9611</v>
      </c>
      <c r="C3668" s="246" t="s">
        <v>2807</v>
      </c>
      <c r="D3668" s="18">
        <v>0</v>
      </c>
      <c r="E3668" s="18">
        <v>0</v>
      </c>
      <c r="F3668" s="18">
        <v>0</v>
      </c>
      <c r="G3668" s="18">
        <v>0</v>
      </c>
      <c r="H3668" s="18">
        <v>0</v>
      </c>
    </row>
    <row r="3669" spans="2:8">
      <c r="B3669" s="14" t="s">
        <v>9612</v>
      </c>
      <c r="C3669" s="245" t="s">
        <v>4046</v>
      </c>
      <c r="D3669" s="15">
        <v>0</v>
      </c>
      <c r="E3669" s="15">
        <v>0</v>
      </c>
      <c r="F3669" s="15">
        <v>0</v>
      </c>
      <c r="G3669" s="15">
        <v>0</v>
      </c>
      <c r="H3669" s="15">
        <v>0</v>
      </c>
    </row>
    <row r="3670" spans="2:8">
      <c r="B3670" s="17" t="s">
        <v>9613</v>
      </c>
      <c r="C3670" s="246" t="s">
        <v>4047</v>
      </c>
      <c r="D3670" s="18">
        <v>0</v>
      </c>
      <c r="E3670" s="18">
        <v>0</v>
      </c>
      <c r="F3670" s="18">
        <v>0</v>
      </c>
      <c r="G3670" s="18">
        <v>0</v>
      </c>
      <c r="H3670" s="18">
        <v>0</v>
      </c>
    </row>
    <row r="3671" spans="2:8">
      <c r="B3671" s="14" t="s">
        <v>9614</v>
      </c>
      <c r="C3671" s="245" t="s">
        <v>4048</v>
      </c>
      <c r="D3671" s="15">
        <v>0</v>
      </c>
      <c r="E3671" s="15">
        <v>0</v>
      </c>
      <c r="F3671" s="15">
        <v>0</v>
      </c>
      <c r="G3671" s="15">
        <v>0</v>
      </c>
      <c r="H3671" s="15">
        <v>0</v>
      </c>
    </row>
    <row r="3672" spans="2:8">
      <c r="B3672" s="17" t="s">
        <v>9615</v>
      </c>
      <c r="C3672" s="246" t="s">
        <v>4049</v>
      </c>
      <c r="D3672" s="18">
        <v>0</v>
      </c>
      <c r="E3672" s="18">
        <v>0</v>
      </c>
      <c r="F3672" s="18">
        <v>0</v>
      </c>
      <c r="G3672" s="18">
        <v>0</v>
      </c>
      <c r="H3672" s="18">
        <v>0</v>
      </c>
    </row>
    <row r="3673" spans="2:8">
      <c r="B3673" s="14" t="s">
        <v>9616</v>
      </c>
      <c r="C3673" s="245" t="s">
        <v>4050</v>
      </c>
      <c r="D3673" s="15">
        <v>0</v>
      </c>
      <c r="E3673" s="15">
        <v>0</v>
      </c>
      <c r="F3673" s="15">
        <v>0</v>
      </c>
      <c r="G3673" s="15">
        <v>0</v>
      </c>
      <c r="H3673" s="15">
        <v>0</v>
      </c>
    </row>
    <row r="3674" spans="2:8">
      <c r="B3674" s="17" t="s">
        <v>9617</v>
      </c>
      <c r="C3674" s="246" t="s">
        <v>4051</v>
      </c>
      <c r="D3674" s="18">
        <v>0</v>
      </c>
      <c r="E3674" s="18">
        <v>0</v>
      </c>
      <c r="F3674" s="18">
        <v>0</v>
      </c>
      <c r="G3674" s="18">
        <v>0</v>
      </c>
      <c r="H3674" s="18">
        <v>0</v>
      </c>
    </row>
    <row r="3675" spans="2:8">
      <c r="B3675" s="14" t="s">
        <v>9618</v>
      </c>
      <c r="C3675" s="245" t="s">
        <v>4052</v>
      </c>
      <c r="D3675" s="15">
        <v>2836</v>
      </c>
      <c r="E3675" s="15">
        <v>0</v>
      </c>
      <c r="F3675" s="15">
        <v>0</v>
      </c>
      <c r="G3675" s="15">
        <v>0</v>
      </c>
      <c r="H3675" s="15">
        <v>0</v>
      </c>
    </row>
    <row r="3676" spans="2:8">
      <c r="B3676" s="17" t="s">
        <v>9619</v>
      </c>
      <c r="C3676" s="246" t="s">
        <v>4053</v>
      </c>
      <c r="D3676" s="18">
        <v>0</v>
      </c>
      <c r="E3676" s="18">
        <v>0</v>
      </c>
      <c r="F3676" s="18">
        <v>0</v>
      </c>
      <c r="G3676" s="18">
        <v>0</v>
      </c>
      <c r="H3676" s="18">
        <v>0</v>
      </c>
    </row>
    <row r="3677" spans="2:8">
      <c r="B3677" s="14" t="s">
        <v>9620</v>
      </c>
      <c r="C3677" s="245" t="s">
        <v>4054</v>
      </c>
      <c r="D3677" s="15">
        <v>0</v>
      </c>
      <c r="E3677" s="15">
        <v>0</v>
      </c>
      <c r="F3677" s="15">
        <v>0</v>
      </c>
      <c r="G3677" s="15">
        <v>0</v>
      </c>
      <c r="H3677" s="15">
        <v>0</v>
      </c>
    </row>
    <row r="3678" spans="2:8">
      <c r="B3678" s="17" t="s">
        <v>9621</v>
      </c>
      <c r="C3678" s="246" t="s">
        <v>4055</v>
      </c>
      <c r="D3678" s="18">
        <v>0</v>
      </c>
      <c r="E3678" s="18">
        <v>0</v>
      </c>
      <c r="F3678" s="18">
        <v>0</v>
      </c>
      <c r="G3678" s="18">
        <v>0</v>
      </c>
      <c r="H3678" s="18">
        <v>0</v>
      </c>
    </row>
    <row r="3679" spans="2:8">
      <c r="B3679" s="14" t="s">
        <v>9622</v>
      </c>
      <c r="C3679" s="245" t="s">
        <v>4056</v>
      </c>
      <c r="D3679" s="15">
        <v>6</v>
      </c>
      <c r="E3679" s="15">
        <v>9</v>
      </c>
      <c r="F3679" s="15">
        <v>0</v>
      </c>
      <c r="G3679" s="15">
        <v>19</v>
      </c>
      <c r="H3679" s="15">
        <v>0</v>
      </c>
    </row>
    <row r="3680" spans="2:8">
      <c r="B3680" s="17" t="s">
        <v>9623</v>
      </c>
      <c r="C3680" s="246" t="s">
        <v>4057</v>
      </c>
      <c r="D3680" s="18">
        <v>0</v>
      </c>
      <c r="E3680" s="18">
        <v>0</v>
      </c>
      <c r="F3680" s="18">
        <v>0</v>
      </c>
      <c r="G3680" s="18">
        <v>0</v>
      </c>
      <c r="H3680" s="18">
        <v>0</v>
      </c>
    </row>
    <row r="3681" spans="2:8">
      <c r="B3681" s="14" t="s">
        <v>9624</v>
      </c>
      <c r="C3681" s="245" t="s">
        <v>4058</v>
      </c>
      <c r="D3681" s="15">
        <v>0</v>
      </c>
      <c r="E3681" s="15">
        <v>0</v>
      </c>
      <c r="F3681" s="15">
        <v>0</v>
      </c>
      <c r="G3681" s="15">
        <v>0</v>
      </c>
      <c r="H3681" s="15">
        <v>0</v>
      </c>
    </row>
    <row r="3682" spans="2:8">
      <c r="B3682" s="17" t="s">
        <v>9625</v>
      </c>
      <c r="C3682" s="246" t="s">
        <v>4059</v>
      </c>
      <c r="D3682" s="18">
        <v>0</v>
      </c>
      <c r="E3682" s="18">
        <v>0</v>
      </c>
      <c r="F3682" s="18">
        <v>0</v>
      </c>
      <c r="G3682" s="18">
        <v>0</v>
      </c>
      <c r="H3682" s="18">
        <v>0</v>
      </c>
    </row>
    <row r="3683" spans="2:8">
      <c r="B3683" s="14" t="s">
        <v>9626</v>
      </c>
      <c r="C3683" s="245" t="s">
        <v>4060</v>
      </c>
      <c r="D3683" s="15">
        <v>0</v>
      </c>
      <c r="E3683" s="15">
        <v>0</v>
      </c>
      <c r="F3683" s="15">
        <v>0</v>
      </c>
      <c r="G3683" s="15">
        <v>0</v>
      </c>
      <c r="H3683" s="15">
        <v>0</v>
      </c>
    </row>
    <row r="3684" spans="2:8">
      <c r="B3684" s="17" t="s">
        <v>9627</v>
      </c>
      <c r="C3684" s="246" t="s">
        <v>1478</v>
      </c>
      <c r="D3684" s="18">
        <v>0</v>
      </c>
      <c r="E3684" s="18">
        <v>0</v>
      </c>
      <c r="F3684" s="18">
        <v>0</v>
      </c>
      <c r="G3684" s="18">
        <v>0</v>
      </c>
      <c r="H3684" s="18">
        <v>0</v>
      </c>
    </row>
    <row r="3685" spans="2:8">
      <c r="B3685" s="14" t="s">
        <v>9628</v>
      </c>
      <c r="C3685" s="245" t="s">
        <v>2723</v>
      </c>
      <c r="D3685" s="15">
        <v>0</v>
      </c>
      <c r="E3685" s="15">
        <v>0</v>
      </c>
      <c r="F3685" s="15">
        <v>0</v>
      </c>
      <c r="G3685" s="15">
        <v>0</v>
      </c>
      <c r="H3685" s="15">
        <v>0</v>
      </c>
    </row>
    <row r="3686" spans="2:8">
      <c r="B3686" s="17" t="s">
        <v>9629</v>
      </c>
      <c r="C3686" s="246" t="s">
        <v>4061</v>
      </c>
      <c r="D3686" s="18">
        <v>0</v>
      </c>
      <c r="E3686" s="18">
        <v>0</v>
      </c>
      <c r="F3686" s="18">
        <v>0</v>
      </c>
      <c r="G3686" s="18">
        <v>0</v>
      </c>
      <c r="H3686" s="18">
        <v>0</v>
      </c>
    </row>
    <row r="3687" spans="2:8">
      <c r="B3687" s="14" t="s">
        <v>9630</v>
      </c>
      <c r="C3687" s="245" t="s">
        <v>4062</v>
      </c>
      <c r="D3687" s="15">
        <v>0</v>
      </c>
      <c r="E3687" s="15">
        <v>0</v>
      </c>
      <c r="F3687" s="15">
        <v>0</v>
      </c>
      <c r="G3687" s="15">
        <v>0</v>
      </c>
      <c r="H3687" s="15">
        <v>0</v>
      </c>
    </row>
    <row r="3688" spans="2:8">
      <c r="B3688" s="17" t="s">
        <v>9631</v>
      </c>
      <c r="C3688" s="246" t="s">
        <v>4063</v>
      </c>
      <c r="D3688" s="18">
        <v>0</v>
      </c>
      <c r="E3688" s="18">
        <v>0</v>
      </c>
      <c r="F3688" s="18">
        <v>0</v>
      </c>
      <c r="G3688" s="18">
        <v>0</v>
      </c>
      <c r="H3688" s="18">
        <v>0</v>
      </c>
    </row>
    <row r="3689" spans="2:8">
      <c r="B3689" s="14" t="s">
        <v>9632</v>
      </c>
      <c r="C3689" s="245" t="s">
        <v>4064</v>
      </c>
      <c r="D3689" s="15">
        <v>0</v>
      </c>
      <c r="E3689" s="15">
        <v>0</v>
      </c>
      <c r="F3689" s="15">
        <v>0</v>
      </c>
      <c r="G3689" s="15">
        <v>0</v>
      </c>
      <c r="H3689" s="15">
        <v>0</v>
      </c>
    </row>
    <row r="3690" spans="2:8">
      <c r="B3690" s="17" t="s">
        <v>9633</v>
      </c>
      <c r="C3690" s="246" t="s">
        <v>4065</v>
      </c>
      <c r="D3690" s="18">
        <v>0</v>
      </c>
      <c r="E3690" s="18">
        <v>0</v>
      </c>
      <c r="F3690" s="18">
        <v>0</v>
      </c>
      <c r="G3690" s="18">
        <v>0</v>
      </c>
      <c r="H3690" s="18">
        <v>0</v>
      </c>
    </row>
    <row r="3691" spans="2:8">
      <c r="B3691" s="14" t="s">
        <v>9634</v>
      </c>
      <c r="C3691" s="245" t="s">
        <v>4066</v>
      </c>
      <c r="D3691" s="15">
        <v>0</v>
      </c>
      <c r="E3691" s="15">
        <v>0</v>
      </c>
      <c r="F3691" s="15">
        <v>0</v>
      </c>
      <c r="G3691" s="15">
        <v>0</v>
      </c>
      <c r="H3691" s="15">
        <v>0</v>
      </c>
    </row>
    <row r="3692" spans="2:8">
      <c r="B3692" s="17" t="s">
        <v>9635</v>
      </c>
      <c r="C3692" s="246" t="s">
        <v>2166</v>
      </c>
      <c r="D3692" s="18">
        <v>0</v>
      </c>
      <c r="E3692" s="18">
        <v>0</v>
      </c>
      <c r="F3692" s="18">
        <v>0</v>
      </c>
      <c r="G3692" s="18">
        <v>0</v>
      </c>
      <c r="H3692" s="18">
        <v>0</v>
      </c>
    </row>
    <row r="3693" spans="2:8">
      <c r="B3693" s="14" t="s">
        <v>9636</v>
      </c>
      <c r="C3693" s="245" t="s">
        <v>4067</v>
      </c>
      <c r="D3693" s="15">
        <v>0</v>
      </c>
      <c r="E3693" s="15">
        <v>0</v>
      </c>
      <c r="F3693" s="15">
        <v>0</v>
      </c>
      <c r="G3693" s="15">
        <v>0</v>
      </c>
      <c r="H3693" s="15">
        <v>0</v>
      </c>
    </row>
    <row r="3694" spans="2:8">
      <c r="B3694" s="17" t="s">
        <v>9637</v>
      </c>
      <c r="C3694" s="246" t="s">
        <v>4068</v>
      </c>
      <c r="D3694" s="18">
        <v>0</v>
      </c>
      <c r="E3694" s="18">
        <v>0</v>
      </c>
      <c r="F3694" s="18">
        <v>0</v>
      </c>
      <c r="G3694" s="18">
        <v>0</v>
      </c>
      <c r="H3694" s="18">
        <v>0</v>
      </c>
    </row>
    <row r="3695" spans="2:8">
      <c r="B3695" s="14" t="s">
        <v>9638</v>
      </c>
      <c r="C3695" s="245" t="s">
        <v>4069</v>
      </c>
      <c r="D3695" s="15">
        <v>0</v>
      </c>
      <c r="E3695" s="15">
        <v>0</v>
      </c>
      <c r="F3695" s="15">
        <v>0</v>
      </c>
      <c r="G3695" s="15">
        <v>0</v>
      </c>
      <c r="H3695" s="15">
        <v>0</v>
      </c>
    </row>
    <row r="3696" spans="2:8">
      <c r="B3696" s="17" t="s">
        <v>9639</v>
      </c>
      <c r="C3696" s="246" t="s">
        <v>4070</v>
      </c>
      <c r="D3696" s="18">
        <v>0</v>
      </c>
      <c r="E3696" s="18">
        <v>0</v>
      </c>
      <c r="F3696" s="18">
        <v>0</v>
      </c>
      <c r="G3696" s="18">
        <v>0</v>
      </c>
      <c r="H3696" s="18">
        <v>0</v>
      </c>
    </row>
    <row r="3697" spans="2:8">
      <c r="B3697" s="14" t="s">
        <v>9640</v>
      </c>
      <c r="C3697" s="245" t="s">
        <v>4071</v>
      </c>
      <c r="D3697" s="15">
        <v>0</v>
      </c>
      <c r="E3697" s="15">
        <v>0</v>
      </c>
      <c r="F3697" s="15">
        <v>0</v>
      </c>
      <c r="G3697" s="15">
        <v>0</v>
      </c>
      <c r="H3697" s="15">
        <v>0</v>
      </c>
    </row>
    <row r="3698" spans="2:8">
      <c r="B3698" s="17" t="s">
        <v>9641</v>
      </c>
      <c r="C3698" s="246" t="s">
        <v>4072</v>
      </c>
      <c r="D3698" s="18">
        <v>0</v>
      </c>
      <c r="E3698" s="18">
        <v>0</v>
      </c>
      <c r="F3698" s="18">
        <v>0</v>
      </c>
      <c r="G3698" s="18">
        <v>0</v>
      </c>
      <c r="H3698" s="18">
        <v>0</v>
      </c>
    </row>
    <row r="3699" spans="2:8">
      <c r="B3699" s="14" t="s">
        <v>9642</v>
      </c>
      <c r="C3699" s="245" t="s">
        <v>4073</v>
      </c>
      <c r="D3699" s="15">
        <v>0</v>
      </c>
      <c r="E3699" s="15">
        <v>0</v>
      </c>
      <c r="F3699" s="15">
        <v>0</v>
      </c>
      <c r="G3699" s="15">
        <v>0</v>
      </c>
      <c r="H3699" s="15">
        <v>0</v>
      </c>
    </row>
    <row r="3700" spans="2:8">
      <c r="B3700" s="17" t="s">
        <v>9643</v>
      </c>
      <c r="C3700" s="246" t="s">
        <v>4074</v>
      </c>
      <c r="D3700" s="18">
        <v>0</v>
      </c>
      <c r="E3700" s="18">
        <v>0</v>
      </c>
      <c r="F3700" s="18">
        <v>0</v>
      </c>
      <c r="G3700" s="18">
        <v>0</v>
      </c>
      <c r="H3700" s="18">
        <v>0</v>
      </c>
    </row>
    <row r="3701" spans="2:8">
      <c r="B3701" s="14" t="s">
        <v>9644</v>
      </c>
      <c r="C3701" s="245" t="s">
        <v>4075</v>
      </c>
      <c r="D3701" s="15">
        <v>0</v>
      </c>
      <c r="E3701" s="15">
        <v>0</v>
      </c>
      <c r="F3701" s="15">
        <v>0</v>
      </c>
      <c r="G3701" s="15">
        <v>0</v>
      </c>
      <c r="H3701" s="15">
        <v>0</v>
      </c>
    </row>
    <row r="3702" spans="2:8">
      <c r="B3702" s="17" t="s">
        <v>9645</v>
      </c>
      <c r="C3702" s="246" t="s">
        <v>4076</v>
      </c>
      <c r="D3702" s="18">
        <v>0</v>
      </c>
      <c r="E3702" s="18">
        <v>0</v>
      </c>
      <c r="F3702" s="18">
        <v>0</v>
      </c>
      <c r="G3702" s="18">
        <v>0</v>
      </c>
      <c r="H3702" s="18">
        <v>0</v>
      </c>
    </row>
    <row r="3703" spans="2:8">
      <c r="B3703" s="14" t="s">
        <v>9646</v>
      </c>
      <c r="C3703" s="245" t="s">
        <v>3084</v>
      </c>
      <c r="D3703" s="15">
        <v>0</v>
      </c>
      <c r="E3703" s="15">
        <v>0</v>
      </c>
      <c r="F3703" s="15">
        <v>0</v>
      </c>
      <c r="G3703" s="15">
        <v>0</v>
      </c>
      <c r="H3703" s="15">
        <v>0</v>
      </c>
    </row>
    <row r="3704" spans="2:8">
      <c r="B3704" s="17" t="s">
        <v>9647</v>
      </c>
      <c r="C3704" s="246" t="s">
        <v>3084</v>
      </c>
      <c r="D3704" s="18">
        <v>0</v>
      </c>
      <c r="E3704" s="18">
        <v>0</v>
      </c>
      <c r="F3704" s="18">
        <v>0</v>
      </c>
      <c r="G3704" s="18">
        <v>0</v>
      </c>
      <c r="H3704" s="18">
        <v>0</v>
      </c>
    </row>
    <row r="3705" spans="2:8">
      <c r="B3705" s="14" t="s">
        <v>9648</v>
      </c>
      <c r="C3705" s="245" t="s">
        <v>3084</v>
      </c>
      <c r="D3705" s="15">
        <v>0</v>
      </c>
      <c r="E3705" s="15">
        <v>0</v>
      </c>
      <c r="F3705" s="15">
        <v>0</v>
      </c>
      <c r="G3705" s="15">
        <v>0</v>
      </c>
      <c r="H3705" s="15">
        <v>0</v>
      </c>
    </row>
    <row r="3706" spans="2:8">
      <c r="B3706" s="17" t="s">
        <v>9649</v>
      </c>
      <c r="C3706" s="246" t="s">
        <v>3084</v>
      </c>
      <c r="D3706" s="18">
        <v>0</v>
      </c>
      <c r="E3706" s="18">
        <v>0</v>
      </c>
      <c r="F3706" s="18">
        <v>0</v>
      </c>
      <c r="G3706" s="18">
        <v>0</v>
      </c>
      <c r="H3706" s="18">
        <v>0</v>
      </c>
    </row>
    <row r="3707" spans="2:8">
      <c r="B3707" s="14" t="s">
        <v>9650</v>
      </c>
      <c r="C3707" s="245" t="s">
        <v>2142</v>
      </c>
      <c r="D3707" s="15">
        <v>0</v>
      </c>
      <c r="E3707" s="15">
        <v>0</v>
      </c>
      <c r="F3707" s="15">
        <v>0</v>
      </c>
      <c r="G3707" s="15">
        <v>0</v>
      </c>
      <c r="H3707" s="15">
        <v>0</v>
      </c>
    </row>
    <row r="3708" spans="2:8">
      <c r="B3708" s="17" t="s">
        <v>9651</v>
      </c>
      <c r="C3708" s="246" t="s">
        <v>2142</v>
      </c>
      <c r="D3708" s="18">
        <v>0</v>
      </c>
      <c r="E3708" s="18">
        <v>0</v>
      </c>
      <c r="F3708" s="18">
        <v>0</v>
      </c>
      <c r="G3708" s="18">
        <v>0</v>
      </c>
      <c r="H3708" s="18">
        <v>0</v>
      </c>
    </row>
    <row r="3709" spans="2:8">
      <c r="B3709" s="14" t="s">
        <v>9652</v>
      </c>
      <c r="C3709" s="245" t="s">
        <v>2144</v>
      </c>
      <c r="D3709" s="15">
        <v>0</v>
      </c>
      <c r="E3709" s="15">
        <v>0</v>
      </c>
      <c r="F3709" s="15">
        <v>0</v>
      </c>
      <c r="G3709" s="15">
        <v>0</v>
      </c>
      <c r="H3709" s="15">
        <v>0</v>
      </c>
    </row>
    <row r="3710" spans="2:8">
      <c r="B3710" s="17" t="s">
        <v>9653</v>
      </c>
      <c r="C3710" s="246" t="s">
        <v>2144</v>
      </c>
      <c r="D3710" s="18">
        <v>0</v>
      </c>
      <c r="E3710" s="18">
        <v>0</v>
      </c>
      <c r="F3710" s="18">
        <v>0</v>
      </c>
      <c r="G3710" s="18">
        <v>0</v>
      </c>
      <c r="H3710" s="18">
        <v>0</v>
      </c>
    </row>
    <row r="3711" spans="2:8">
      <c r="B3711" s="14" t="s">
        <v>9654</v>
      </c>
      <c r="C3711" s="245" t="s">
        <v>4077</v>
      </c>
      <c r="D3711" s="15">
        <v>0</v>
      </c>
      <c r="E3711" s="15">
        <v>0</v>
      </c>
      <c r="F3711" s="15">
        <v>0</v>
      </c>
      <c r="G3711" s="15">
        <v>0</v>
      </c>
      <c r="H3711" s="15">
        <v>0</v>
      </c>
    </row>
    <row r="3712" spans="2:8">
      <c r="B3712" s="17" t="s">
        <v>9655</v>
      </c>
      <c r="C3712" s="246" t="s">
        <v>4078</v>
      </c>
      <c r="D3712" s="18">
        <v>0</v>
      </c>
      <c r="E3712" s="18">
        <v>0</v>
      </c>
      <c r="F3712" s="18">
        <v>0</v>
      </c>
      <c r="G3712" s="18">
        <v>0</v>
      </c>
      <c r="H3712" s="18">
        <v>0</v>
      </c>
    </row>
    <row r="3713" spans="2:8">
      <c r="B3713" s="14" t="s">
        <v>9656</v>
      </c>
      <c r="C3713" s="245" t="s">
        <v>4079</v>
      </c>
      <c r="D3713" s="15">
        <v>0</v>
      </c>
      <c r="E3713" s="15">
        <v>0</v>
      </c>
      <c r="F3713" s="15">
        <v>0</v>
      </c>
      <c r="G3713" s="15">
        <v>0</v>
      </c>
      <c r="H3713" s="15">
        <v>0</v>
      </c>
    </row>
    <row r="3714" spans="2:8">
      <c r="B3714" s="17" t="s">
        <v>9657</v>
      </c>
      <c r="C3714" s="246" t="s">
        <v>4080</v>
      </c>
      <c r="D3714" s="18">
        <v>0</v>
      </c>
      <c r="E3714" s="18">
        <v>0</v>
      </c>
      <c r="F3714" s="18">
        <v>0</v>
      </c>
      <c r="G3714" s="18">
        <v>0</v>
      </c>
      <c r="H3714" s="18">
        <v>0</v>
      </c>
    </row>
    <row r="3715" spans="2:8">
      <c r="B3715" s="14" t="s">
        <v>9658</v>
      </c>
      <c r="C3715" s="245" t="s">
        <v>4081</v>
      </c>
      <c r="D3715" s="15">
        <v>0</v>
      </c>
      <c r="E3715" s="15">
        <v>0</v>
      </c>
      <c r="F3715" s="15">
        <v>0</v>
      </c>
      <c r="G3715" s="15">
        <v>0</v>
      </c>
      <c r="H3715" s="15">
        <v>0</v>
      </c>
    </row>
    <row r="3716" spans="2:8">
      <c r="B3716" s="17" t="s">
        <v>9659</v>
      </c>
      <c r="C3716" s="246" t="s">
        <v>4082</v>
      </c>
      <c r="D3716" s="18">
        <v>59</v>
      </c>
      <c r="E3716" s="18">
        <v>118</v>
      </c>
      <c r="F3716" s="18">
        <v>127</v>
      </c>
      <c r="G3716" s="18">
        <v>0</v>
      </c>
      <c r="H3716" s="18">
        <v>0</v>
      </c>
    </row>
    <row r="3717" spans="2:8">
      <c r="B3717" s="14" t="s">
        <v>9660</v>
      </c>
      <c r="C3717" s="245" t="s">
        <v>4083</v>
      </c>
      <c r="D3717" s="15">
        <v>0</v>
      </c>
      <c r="E3717" s="15">
        <v>0</v>
      </c>
      <c r="F3717" s="15">
        <v>0</v>
      </c>
      <c r="G3717" s="15">
        <v>0</v>
      </c>
      <c r="H3717" s="15">
        <v>0</v>
      </c>
    </row>
    <row r="3718" spans="2:8">
      <c r="B3718" s="17" t="s">
        <v>9661</v>
      </c>
      <c r="C3718" s="246" t="s">
        <v>4084</v>
      </c>
      <c r="D3718" s="18">
        <v>1</v>
      </c>
      <c r="E3718" s="18">
        <v>0</v>
      </c>
      <c r="F3718" s="18">
        <v>0</v>
      </c>
      <c r="G3718" s="18">
        <v>5</v>
      </c>
      <c r="H3718" s="18">
        <v>0</v>
      </c>
    </row>
    <row r="3719" spans="2:8">
      <c r="B3719" s="14" t="s">
        <v>9662</v>
      </c>
      <c r="C3719" s="245" t="s">
        <v>4085</v>
      </c>
      <c r="D3719" s="15">
        <v>0</v>
      </c>
      <c r="E3719" s="15">
        <v>0</v>
      </c>
      <c r="F3719" s="15">
        <v>0</v>
      </c>
      <c r="G3719" s="15">
        <v>0</v>
      </c>
      <c r="H3719" s="15">
        <v>0</v>
      </c>
    </row>
    <row r="3720" spans="2:8">
      <c r="B3720" s="17" t="s">
        <v>9663</v>
      </c>
      <c r="C3720" s="246" t="s">
        <v>4086</v>
      </c>
      <c r="D3720" s="18">
        <v>0</v>
      </c>
      <c r="E3720" s="18">
        <v>0</v>
      </c>
      <c r="F3720" s="18">
        <v>0</v>
      </c>
      <c r="G3720" s="18">
        <v>0</v>
      </c>
      <c r="H3720" s="18">
        <v>0</v>
      </c>
    </row>
    <row r="3721" spans="2:8">
      <c r="B3721" s="14" t="s">
        <v>9664</v>
      </c>
      <c r="C3721" s="245" t="s">
        <v>4087</v>
      </c>
      <c r="D3721" s="15">
        <v>0</v>
      </c>
      <c r="E3721" s="15">
        <v>0</v>
      </c>
      <c r="F3721" s="15">
        <v>0</v>
      </c>
      <c r="G3721" s="15">
        <v>0</v>
      </c>
      <c r="H3721" s="15">
        <v>0</v>
      </c>
    </row>
    <row r="3722" spans="2:8">
      <c r="B3722" s="17" t="s">
        <v>9665</v>
      </c>
      <c r="C3722" s="246" t="s">
        <v>4088</v>
      </c>
      <c r="D3722" s="18">
        <v>0</v>
      </c>
      <c r="E3722" s="18">
        <v>0</v>
      </c>
      <c r="F3722" s="18">
        <v>0</v>
      </c>
      <c r="G3722" s="18">
        <v>0</v>
      </c>
      <c r="H3722" s="18">
        <v>0</v>
      </c>
    </row>
    <row r="3723" spans="2:8">
      <c r="B3723" s="14" t="s">
        <v>9666</v>
      </c>
      <c r="C3723" s="245" t="s">
        <v>4089</v>
      </c>
      <c r="D3723" s="15">
        <v>0</v>
      </c>
      <c r="E3723" s="15">
        <v>0</v>
      </c>
      <c r="F3723" s="15">
        <v>0</v>
      </c>
      <c r="G3723" s="15">
        <v>0</v>
      </c>
      <c r="H3723" s="15">
        <v>0</v>
      </c>
    </row>
    <row r="3724" spans="2:8">
      <c r="B3724" s="17" t="s">
        <v>9667</v>
      </c>
      <c r="C3724" s="246" t="s">
        <v>4090</v>
      </c>
      <c r="D3724" s="18">
        <v>0</v>
      </c>
      <c r="E3724" s="18">
        <v>0</v>
      </c>
      <c r="F3724" s="18">
        <v>0</v>
      </c>
      <c r="G3724" s="18">
        <v>0</v>
      </c>
      <c r="H3724" s="18">
        <v>0</v>
      </c>
    </row>
    <row r="3725" spans="2:8">
      <c r="B3725" s="14" t="s">
        <v>9668</v>
      </c>
      <c r="C3725" s="245" t="s">
        <v>4091</v>
      </c>
      <c r="D3725" s="15">
        <v>0</v>
      </c>
      <c r="E3725" s="15">
        <v>0</v>
      </c>
      <c r="F3725" s="15">
        <v>0</v>
      </c>
      <c r="G3725" s="15">
        <v>0</v>
      </c>
      <c r="H3725" s="15">
        <v>0</v>
      </c>
    </row>
    <row r="3726" spans="2:8">
      <c r="B3726" s="17" t="s">
        <v>9669</v>
      </c>
      <c r="C3726" s="246" t="s">
        <v>4092</v>
      </c>
      <c r="D3726" s="18">
        <v>0</v>
      </c>
      <c r="E3726" s="18">
        <v>0</v>
      </c>
      <c r="F3726" s="18">
        <v>0</v>
      </c>
      <c r="G3726" s="18">
        <v>7</v>
      </c>
      <c r="H3726" s="18">
        <v>0</v>
      </c>
    </row>
    <row r="3727" spans="2:8">
      <c r="B3727" s="14" t="s">
        <v>9670</v>
      </c>
      <c r="C3727" s="245" t="s">
        <v>4093</v>
      </c>
      <c r="D3727" s="15">
        <v>0</v>
      </c>
      <c r="E3727" s="15">
        <v>9</v>
      </c>
      <c r="F3727" s="15">
        <v>0</v>
      </c>
      <c r="G3727" s="15">
        <v>0</v>
      </c>
      <c r="H3727" s="15">
        <v>0</v>
      </c>
    </row>
    <row r="3728" spans="2:8">
      <c r="B3728" s="17" t="s">
        <v>9671</v>
      </c>
      <c r="C3728" s="246" t="s">
        <v>4094</v>
      </c>
      <c r="D3728" s="18">
        <v>0</v>
      </c>
      <c r="E3728" s="18">
        <v>0</v>
      </c>
      <c r="F3728" s="18">
        <v>0</v>
      </c>
      <c r="G3728" s="18">
        <v>0</v>
      </c>
      <c r="H3728" s="18">
        <v>0</v>
      </c>
    </row>
    <row r="3729" spans="2:8">
      <c r="B3729" s="14" t="s">
        <v>9672</v>
      </c>
      <c r="C3729" s="245" t="s">
        <v>4095</v>
      </c>
      <c r="D3729" s="15">
        <v>0</v>
      </c>
      <c r="E3729" s="15">
        <v>0</v>
      </c>
      <c r="F3729" s="15">
        <v>0</v>
      </c>
      <c r="G3729" s="15">
        <v>0</v>
      </c>
      <c r="H3729" s="15">
        <v>0</v>
      </c>
    </row>
    <row r="3730" spans="2:8">
      <c r="B3730" s="17" t="s">
        <v>9673</v>
      </c>
      <c r="C3730" s="246" t="s">
        <v>4096</v>
      </c>
      <c r="D3730" s="18">
        <v>0</v>
      </c>
      <c r="E3730" s="18">
        <v>0</v>
      </c>
      <c r="F3730" s="18">
        <v>0</v>
      </c>
      <c r="G3730" s="18">
        <v>0</v>
      </c>
      <c r="H3730" s="18">
        <v>0</v>
      </c>
    </row>
    <row r="3731" spans="2:8">
      <c r="B3731" s="14" t="s">
        <v>9674</v>
      </c>
      <c r="C3731" s="245" t="s">
        <v>4097</v>
      </c>
      <c r="D3731" s="15">
        <v>0</v>
      </c>
      <c r="E3731" s="15">
        <v>0</v>
      </c>
      <c r="F3731" s="15">
        <v>0</v>
      </c>
      <c r="G3731" s="15">
        <v>0</v>
      </c>
      <c r="H3731" s="15">
        <v>0</v>
      </c>
    </row>
    <row r="3732" spans="2:8">
      <c r="B3732" s="17" t="s">
        <v>9675</v>
      </c>
      <c r="C3732" s="246" t="s">
        <v>4098</v>
      </c>
      <c r="D3732" s="18">
        <v>43</v>
      </c>
      <c r="E3732" s="18">
        <v>4</v>
      </c>
      <c r="F3732" s="18">
        <v>0</v>
      </c>
      <c r="G3732" s="18">
        <v>16</v>
      </c>
      <c r="H3732" s="18">
        <v>0</v>
      </c>
    </row>
    <row r="3733" spans="2:8">
      <c r="B3733" s="14" t="s">
        <v>9676</v>
      </c>
      <c r="C3733" s="245" t="s">
        <v>4099</v>
      </c>
      <c r="D3733" s="15">
        <v>0</v>
      </c>
      <c r="E3733" s="15">
        <v>0</v>
      </c>
      <c r="F3733" s="15">
        <v>0</v>
      </c>
      <c r="G3733" s="15">
        <v>4</v>
      </c>
      <c r="H3733" s="15">
        <v>0</v>
      </c>
    </row>
    <row r="3734" spans="2:8">
      <c r="B3734" s="17" t="s">
        <v>9677</v>
      </c>
      <c r="C3734" s="246" t="s">
        <v>4100</v>
      </c>
      <c r="D3734" s="18">
        <v>0</v>
      </c>
      <c r="E3734" s="18">
        <v>0</v>
      </c>
      <c r="F3734" s="18">
        <v>0</v>
      </c>
      <c r="G3734" s="18">
        <v>0</v>
      </c>
      <c r="H3734" s="18">
        <v>0</v>
      </c>
    </row>
    <row r="3735" spans="2:8">
      <c r="B3735" s="14" t="s">
        <v>9678</v>
      </c>
      <c r="C3735" s="245" t="s">
        <v>4101</v>
      </c>
      <c r="D3735" s="15">
        <v>0</v>
      </c>
      <c r="E3735" s="15">
        <v>0</v>
      </c>
      <c r="F3735" s="15">
        <v>0</v>
      </c>
      <c r="G3735" s="15">
        <v>0</v>
      </c>
      <c r="H3735" s="15">
        <v>0</v>
      </c>
    </row>
    <row r="3736" spans="2:8">
      <c r="B3736" s="17" t="s">
        <v>9679</v>
      </c>
      <c r="C3736" s="246" t="s">
        <v>4102</v>
      </c>
      <c r="D3736" s="18">
        <v>0</v>
      </c>
      <c r="E3736" s="18">
        <v>0</v>
      </c>
      <c r="F3736" s="18">
        <v>0</v>
      </c>
      <c r="G3736" s="18">
        <v>0</v>
      </c>
      <c r="H3736" s="18">
        <v>0</v>
      </c>
    </row>
    <row r="3737" spans="2:8">
      <c r="B3737" s="14" t="s">
        <v>9680</v>
      </c>
      <c r="C3737" s="245" t="s">
        <v>4103</v>
      </c>
      <c r="D3737" s="15">
        <v>0</v>
      </c>
      <c r="E3737" s="15">
        <v>0</v>
      </c>
      <c r="F3737" s="15">
        <v>0</v>
      </c>
      <c r="G3737" s="15">
        <v>0</v>
      </c>
      <c r="H3737" s="15">
        <v>0</v>
      </c>
    </row>
    <row r="3738" spans="2:8">
      <c r="B3738" s="17" t="s">
        <v>9681</v>
      </c>
      <c r="C3738" s="246" t="s">
        <v>4104</v>
      </c>
      <c r="D3738" s="18">
        <v>0</v>
      </c>
      <c r="E3738" s="18">
        <v>0</v>
      </c>
      <c r="F3738" s="18">
        <v>0</v>
      </c>
      <c r="G3738" s="18">
        <v>0</v>
      </c>
      <c r="H3738" s="18">
        <v>0</v>
      </c>
    </row>
    <row r="3739" spans="2:8">
      <c r="B3739" s="14" t="s">
        <v>9682</v>
      </c>
      <c r="C3739" s="245" t="s">
        <v>4105</v>
      </c>
      <c r="D3739" s="15">
        <v>0</v>
      </c>
      <c r="E3739" s="15">
        <v>0</v>
      </c>
      <c r="F3739" s="15">
        <v>0</v>
      </c>
      <c r="G3739" s="15">
        <v>0</v>
      </c>
      <c r="H3739" s="15">
        <v>0</v>
      </c>
    </row>
    <row r="3740" spans="2:8">
      <c r="B3740" s="17" t="s">
        <v>9683</v>
      </c>
      <c r="C3740" s="246" t="s">
        <v>4106</v>
      </c>
      <c r="D3740" s="18">
        <v>0</v>
      </c>
      <c r="E3740" s="18">
        <v>0</v>
      </c>
      <c r="F3740" s="18">
        <v>0</v>
      </c>
      <c r="G3740" s="18">
        <v>0</v>
      </c>
      <c r="H3740" s="18">
        <v>0</v>
      </c>
    </row>
    <row r="3741" spans="2:8">
      <c r="B3741" s="14" t="s">
        <v>9684</v>
      </c>
      <c r="C3741" s="245" t="s">
        <v>1532</v>
      </c>
      <c r="D3741" s="15">
        <v>0</v>
      </c>
      <c r="E3741" s="15">
        <v>0</v>
      </c>
      <c r="F3741" s="15">
        <v>6</v>
      </c>
      <c r="G3741" s="15">
        <v>0</v>
      </c>
      <c r="H3741" s="15">
        <v>0</v>
      </c>
    </row>
    <row r="3742" spans="2:8">
      <c r="B3742" s="17" t="s">
        <v>9685</v>
      </c>
      <c r="C3742" s="246" t="s">
        <v>1532</v>
      </c>
      <c r="D3742" s="18">
        <v>0</v>
      </c>
      <c r="E3742" s="18">
        <v>0</v>
      </c>
      <c r="F3742" s="18">
        <v>0</v>
      </c>
      <c r="G3742" s="18">
        <v>0</v>
      </c>
      <c r="H3742" s="18">
        <v>0</v>
      </c>
    </row>
    <row r="3743" spans="2:8">
      <c r="B3743" s="14" t="s">
        <v>9686</v>
      </c>
      <c r="C3743" s="245" t="s">
        <v>4107</v>
      </c>
      <c r="D3743" s="15">
        <v>0</v>
      </c>
      <c r="E3743" s="15">
        <v>0</v>
      </c>
      <c r="F3743" s="15">
        <v>0</v>
      </c>
      <c r="G3743" s="15">
        <v>0</v>
      </c>
      <c r="H3743" s="15">
        <v>0</v>
      </c>
    </row>
    <row r="3744" spans="2:8">
      <c r="B3744" s="17" t="s">
        <v>9687</v>
      </c>
      <c r="C3744" s="246" t="s">
        <v>4108</v>
      </c>
      <c r="D3744" s="18">
        <v>0</v>
      </c>
      <c r="E3744" s="18">
        <v>0</v>
      </c>
      <c r="F3744" s="18">
        <v>0</v>
      </c>
      <c r="G3744" s="18">
        <v>0</v>
      </c>
      <c r="H3744" s="18">
        <v>0</v>
      </c>
    </row>
    <row r="3745" spans="2:8">
      <c r="B3745" s="14" t="s">
        <v>9688</v>
      </c>
      <c r="C3745" s="245" t="s">
        <v>4109</v>
      </c>
      <c r="D3745" s="15">
        <v>3</v>
      </c>
      <c r="E3745" s="15">
        <v>0</v>
      </c>
      <c r="F3745" s="15">
        <v>4</v>
      </c>
      <c r="G3745" s="15">
        <v>7</v>
      </c>
      <c r="H3745" s="15">
        <v>0</v>
      </c>
    </row>
    <row r="3746" spans="2:8">
      <c r="B3746" s="17" t="s">
        <v>9689</v>
      </c>
      <c r="C3746" s="246" t="s">
        <v>4110</v>
      </c>
      <c r="D3746" s="18">
        <v>4</v>
      </c>
      <c r="E3746" s="18">
        <v>0</v>
      </c>
      <c r="F3746" s="18">
        <v>0</v>
      </c>
      <c r="G3746" s="18">
        <v>0</v>
      </c>
      <c r="H3746" s="18">
        <v>0</v>
      </c>
    </row>
    <row r="3747" spans="2:8">
      <c r="B3747" s="14" t="s">
        <v>9690</v>
      </c>
      <c r="C3747" s="245" t="s">
        <v>4111</v>
      </c>
      <c r="D3747" s="15">
        <v>0</v>
      </c>
      <c r="E3747" s="15">
        <v>0</v>
      </c>
      <c r="F3747" s="15">
        <v>0</v>
      </c>
      <c r="G3747" s="15">
        <v>0</v>
      </c>
      <c r="H3747" s="15">
        <v>0</v>
      </c>
    </row>
    <row r="3748" spans="2:8">
      <c r="B3748" s="17" t="s">
        <v>9691</v>
      </c>
      <c r="C3748" s="246" t="s">
        <v>4112</v>
      </c>
      <c r="D3748" s="18">
        <v>0</v>
      </c>
      <c r="E3748" s="18">
        <v>0</v>
      </c>
      <c r="F3748" s="18">
        <v>0</v>
      </c>
      <c r="G3748" s="18">
        <v>0</v>
      </c>
      <c r="H3748" s="18">
        <v>0</v>
      </c>
    </row>
    <row r="3749" spans="2:8">
      <c r="B3749" s="14" t="s">
        <v>9692</v>
      </c>
      <c r="C3749" s="245" t="s">
        <v>4113</v>
      </c>
      <c r="D3749" s="15">
        <v>0</v>
      </c>
      <c r="E3749" s="15">
        <v>0</v>
      </c>
      <c r="F3749" s="15">
        <v>58</v>
      </c>
      <c r="G3749" s="15">
        <v>5</v>
      </c>
      <c r="H3749" s="15">
        <v>0</v>
      </c>
    </row>
    <row r="3750" spans="2:8">
      <c r="B3750" s="17" t="s">
        <v>9693</v>
      </c>
      <c r="C3750" s="246" t="s">
        <v>4114</v>
      </c>
      <c r="D3750" s="18">
        <v>0</v>
      </c>
      <c r="E3750" s="18">
        <v>0</v>
      </c>
      <c r="F3750" s="18">
        <v>0</v>
      </c>
      <c r="G3750" s="18">
        <v>0</v>
      </c>
      <c r="H3750" s="18">
        <v>0</v>
      </c>
    </row>
    <row r="3751" spans="2:8">
      <c r="B3751" s="14" t="s">
        <v>9694</v>
      </c>
      <c r="C3751" s="245" t="s">
        <v>4115</v>
      </c>
      <c r="D3751" s="15">
        <v>0</v>
      </c>
      <c r="E3751" s="15">
        <v>0</v>
      </c>
      <c r="F3751" s="15">
        <v>0</v>
      </c>
      <c r="G3751" s="15">
        <v>0</v>
      </c>
      <c r="H3751" s="15">
        <v>0</v>
      </c>
    </row>
    <row r="3752" spans="2:8">
      <c r="B3752" s="17" t="s">
        <v>9695</v>
      </c>
      <c r="C3752" s="246" t="s">
        <v>4116</v>
      </c>
      <c r="D3752" s="18">
        <v>0</v>
      </c>
      <c r="E3752" s="18">
        <v>0</v>
      </c>
      <c r="F3752" s="18">
        <v>0</v>
      </c>
      <c r="G3752" s="18">
        <v>0</v>
      </c>
      <c r="H3752" s="18">
        <v>0</v>
      </c>
    </row>
    <row r="3753" spans="2:8">
      <c r="B3753" s="14" t="s">
        <v>9696</v>
      </c>
      <c r="C3753" s="245" t="s">
        <v>4117</v>
      </c>
      <c r="D3753" s="15">
        <v>0</v>
      </c>
      <c r="E3753" s="15">
        <v>0</v>
      </c>
      <c r="F3753" s="15">
        <v>0</v>
      </c>
      <c r="G3753" s="15">
        <v>0</v>
      </c>
      <c r="H3753" s="15">
        <v>0</v>
      </c>
    </row>
    <row r="3754" spans="2:8">
      <c r="B3754" s="17" t="s">
        <v>9697</v>
      </c>
      <c r="C3754" s="246" t="s">
        <v>4118</v>
      </c>
      <c r="D3754" s="18">
        <v>0</v>
      </c>
      <c r="E3754" s="18">
        <v>0</v>
      </c>
      <c r="F3754" s="18">
        <v>0</v>
      </c>
      <c r="G3754" s="18">
        <v>0</v>
      </c>
      <c r="H3754" s="18">
        <v>0</v>
      </c>
    </row>
    <row r="3755" spans="2:8">
      <c r="B3755" s="14" t="s">
        <v>9698</v>
      </c>
      <c r="C3755" s="245" t="s">
        <v>4119</v>
      </c>
      <c r="D3755" s="15">
        <v>0</v>
      </c>
      <c r="E3755" s="15">
        <v>0</v>
      </c>
      <c r="F3755" s="15">
        <v>0</v>
      </c>
      <c r="G3755" s="15">
        <v>0</v>
      </c>
      <c r="H3755" s="15">
        <v>0</v>
      </c>
    </row>
    <row r="3756" spans="2:8">
      <c r="B3756" s="17" t="s">
        <v>9699</v>
      </c>
      <c r="C3756" s="246" t="s">
        <v>4120</v>
      </c>
      <c r="D3756" s="18">
        <v>0</v>
      </c>
      <c r="E3756" s="18">
        <v>0</v>
      </c>
      <c r="F3756" s="18">
        <v>0</v>
      </c>
      <c r="G3756" s="18">
        <v>0</v>
      </c>
      <c r="H3756" s="18">
        <v>0</v>
      </c>
    </row>
    <row r="3757" spans="2:8">
      <c r="B3757" s="14" t="s">
        <v>9700</v>
      </c>
      <c r="C3757" s="245" t="s">
        <v>4121</v>
      </c>
      <c r="D3757" s="15">
        <v>0</v>
      </c>
      <c r="E3757" s="15">
        <v>0</v>
      </c>
      <c r="F3757" s="15">
        <v>0</v>
      </c>
      <c r="G3757" s="15">
        <v>0</v>
      </c>
      <c r="H3757" s="15">
        <v>0</v>
      </c>
    </row>
    <row r="3758" spans="2:8">
      <c r="B3758" s="17" t="s">
        <v>9701</v>
      </c>
      <c r="C3758" s="246" t="s">
        <v>4122</v>
      </c>
      <c r="D3758" s="18">
        <v>0</v>
      </c>
      <c r="E3758" s="18">
        <v>0</v>
      </c>
      <c r="F3758" s="18">
        <v>0</v>
      </c>
      <c r="G3758" s="18">
        <v>0</v>
      </c>
      <c r="H3758" s="18">
        <v>0</v>
      </c>
    </row>
    <row r="3759" spans="2:8">
      <c r="B3759" s="14" t="s">
        <v>9702</v>
      </c>
      <c r="C3759" s="245" t="s">
        <v>4123</v>
      </c>
      <c r="D3759" s="15">
        <v>0</v>
      </c>
      <c r="E3759" s="15">
        <v>0</v>
      </c>
      <c r="F3759" s="15">
        <v>0</v>
      </c>
      <c r="G3759" s="15">
        <v>0</v>
      </c>
      <c r="H3759" s="15">
        <v>0</v>
      </c>
    </row>
    <row r="3760" spans="2:8">
      <c r="B3760" s="17" t="s">
        <v>9703</v>
      </c>
      <c r="C3760" s="246" t="s">
        <v>4124</v>
      </c>
      <c r="D3760" s="18">
        <v>19</v>
      </c>
      <c r="E3760" s="18">
        <v>6</v>
      </c>
      <c r="F3760" s="18">
        <v>0</v>
      </c>
      <c r="G3760" s="18">
        <v>0</v>
      </c>
      <c r="H3760" s="18">
        <v>0</v>
      </c>
    </row>
    <row r="3761" spans="2:8">
      <c r="B3761" s="14" t="s">
        <v>9704</v>
      </c>
      <c r="C3761" s="245" t="s">
        <v>4125</v>
      </c>
      <c r="D3761" s="15">
        <v>0</v>
      </c>
      <c r="E3761" s="15">
        <v>0</v>
      </c>
      <c r="F3761" s="15">
        <v>0</v>
      </c>
      <c r="G3761" s="15">
        <v>0</v>
      </c>
      <c r="H3761" s="15">
        <v>0</v>
      </c>
    </row>
    <row r="3762" spans="2:8">
      <c r="B3762" s="17" t="s">
        <v>9705</v>
      </c>
      <c r="C3762" s="246" t="s">
        <v>4126</v>
      </c>
      <c r="D3762" s="18">
        <v>3</v>
      </c>
      <c r="E3762" s="18">
        <v>0</v>
      </c>
      <c r="F3762" s="18">
        <v>77</v>
      </c>
      <c r="G3762" s="18">
        <v>13</v>
      </c>
      <c r="H3762" s="18">
        <v>0</v>
      </c>
    </row>
    <row r="3763" spans="2:8">
      <c r="B3763" s="14" t="s">
        <v>9706</v>
      </c>
      <c r="C3763" s="245" t="s">
        <v>4127</v>
      </c>
      <c r="D3763" s="15">
        <v>0</v>
      </c>
      <c r="E3763" s="15">
        <v>0</v>
      </c>
      <c r="F3763" s="15">
        <v>0</v>
      </c>
      <c r="G3763" s="15">
        <v>0</v>
      </c>
      <c r="H3763" s="15">
        <v>0</v>
      </c>
    </row>
    <row r="3764" spans="2:8">
      <c r="B3764" s="17" t="s">
        <v>9707</v>
      </c>
      <c r="C3764" s="246" t="s">
        <v>4128</v>
      </c>
      <c r="D3764" s="18">
        <v>0</v>
      </c>
      <c r="E3764" s="18">
        <v>0</v>
      </c>
      <c r="F3764" s="18">
        <v>0</v>
      </c>
      <c r="G3764" s="18">
        <v>0</v>
      </c>
      <c r="H3764" s="18">
        <v>0</v>
      </c>
    </row>
    <row r="3765" spans="2:8">
      <c r="B3765" s="14" t="s">
        <v>9708</v>
      </c>
      <c r="C3765" s="245" t="s">
        <v>4129</v>
      </c>
      <c r="D3765" s="15">
        <v>0</v>
      </c>
      <c r="E3765" s="15">
        <v>0</v>
      </c>
      <c r="F3765" s="15">
        <v>0</v>
      </c>
      <c r="G3765" s="15">
        <v>0</v>
      </c>
      <c r="H3765" s="15">
        <v>0</v>
      </c>
    </row>
    <row r="3766" spans="2:8">
      <c r="B3766" s="17" t="s">
        <v>9709</v>
      </c>
      <c r="C3766" s="246" t="s">
        <v>4130</v>
      </c>
      <c r="D3766" s="18">
        <v>0</v>
      </c>
      <c r="E3766" s="18">
        <v>0</v>
      </c>
      <c r="F3766" s="18">
        <v>0</v>
      </c>
      <c r="G3766" s="18">
        <v>3</v>
      </c>
      <c r="H3766" s="18">
        <v>0</v>
      </c>
    </row>
    <row r="3767" spans="2:8">
      <c r="B3767" s="14" t="s">
        <v>9710</v>
      </c>
      <c r="C3767" s="245" t="s">
        <v>4131</v>
      </c>
      <c r="D3767" s="15">
        <v>0</v>
      </c>
      <c r="E3767" s="15">
        <v>0</v>
      </c>
      <c r="F3767" s="15">
        <v>0</v>
      </c>
      <c r="G3767" s="15">
        <v>0</v>
      </c>
      <c r="H3767" s="15">
        <v>0</v>
      </c>
    </row>
    <row r="3768" spans="2:8">
      <c r="B3768" s="17" t="s">
        <v>9711</v>
      </c>
      <c r="C3768" s="246" t="s">
        <v>4132</v>
      </c>
      <c r="D3768" s="18">
        <v>0</v>
      </c>
      <c r="E3768" s="18">
        <v>0</v>
      </c>
      <c r="F3768" s="18">
        <v>0</v>
      </c>
      <c r="G3768" s="18">
        <v>0</v>
      </c>
      <c r="H3768" s="18">
        <v>0</v>
      </c>
    </row>
    <row r="3769" spans="2:8">
      <c r="B3769" s="14" t="s">
        <v>9712</v>
      </c>
      <c r="C3769" s="245" t="s">
        <v>4133</v>
      </c>
      <c r="D3769" s="15">
        <v>0</v>
      </c>
      <c r="E3769" s="15">
        <v>0</v>
      </c>
      <c r="F3769" s="15">
        <v>0</v>
      </c>
      <c r="G3769" s="15">
        <v>0</v>
      </c>
      <c r="H3769" s="15">
        <v>0</v>
      </c>
    </row>
    <row r="3770" spans="2:8">
      <c r="B3770" s="17" t="s">
        <v>9713</v>
      </c>
      <c r="C3770" s="246" t="s">
        <v>4134</v>
      </c>
      <c r="D3770" s="18">
        <v>0</v>
      </c>
      <c r="E3770" s="18">
        <v>0</v>
      </c>
      <c r="F3770" s="18">
        <v>0</v>
      </c>
      <c r="G3770" s="18">
        <v>0</v>
      </c>
      <c r="H3770" s="18">
        <v>0</v>
      </c>
    </row>
    <row r="3771" spans="2:8">
      <c r="B3771" s="14" t="s">
        <v>9714</v>
      </c>
      <c r="C3771" s="245" t="s">
        <v>4135</v>
      </c>
      <c r="D3771" s="15">
        <v>0</v>
      </c>
      <c r="E3771" s="15">
        <v>0</v>
      </c>
      <c r="F3771" s="15">
        <v>0</v>
      </c>
      <c r="G3771" s="15">
        <v>0</v>
      </c>
      <c r="H3771" s="15">
        <v>0</v>
      </c>
    </row>
    <row r="3772" spans="2:8">
      <c r="B3772" s="17" t="s">
        <v>9715</v>
      </c>
      <c r="C3772" s="246" t="s">
        <v>4136</v>
      </c>
      <c r="D3772" s="18">
        <v>0</v>
      </c>
      <c r="E3772" s="18">
        <v>0</v>
      </c>
      <c r="F3772" s="18">
        <v>0</v>
      </c>
      <c r="G3772" s="18">
        <v>0</v>
      </c>
      <c r="H3772" s="18">
        <v>0</v>
      </c>
    </row>
    <row r="3773" spans="2:8">
      <c r="B3773" s="14" t="s">
        <v>9716</v>
      </c>
      <c r="C3773" s="245" t="s">
        <v>3118</v>
      </c>
      <c r="D3773" s="15">
        <v>0</v>
      </c>
      <c r="E3773" s="15">
        <v>0</v>
      </c>
      <c r="F3773" s="15">
        <v>0</v>
      </c>
      <c r="G3773" s="15">
        <v>0</v>
      </c>
      <c r="H3773" s="15">
        <v>0</v>
      </c>
    </row>
    <row r="3774" spans="2:8">
      <c r="B3774" s="17" t="s">
        <v>9717</v>
      </c>
      <c r="C3774" s="246" t="s">
        <v>3119</v>
      </c>
      <c r="D3774" s="18">
        <v>0</v>
      </c>
      <c r="E3774" s="18">
        <v>0</v>
      </c>
      <c r="F3774" s="18">
        <v>0</v>
      </c>
      <c r="G3774" s="18">
        <v>0</v>
      </c>
      <c r="H3774" s="18">
        <v>0</v>
      </c>
    </row>
    <row r="3775" spans="2:8">
      <c r="B3775" s="14" t="s">
        <v>9718</v>
      </c>
      <c r="C3775" s="245" t="s">
        <v>4137</v>
      </c>
      <c r="D3775" s="15">
        <v>0</v>
      </c>
      <c r="E3775" s="15">
        <v>0</v>
      </c>
      <c r="F3775" s="15">
        <v>0</v>
      </c>
      <c r="G3775" s="15">
        <v>0</v>
      </c>
      <c r="H3775" s="15">
        <v>0</v>
      </c>
    </row>
    <row r="3776" spans="2:8">
      <c r="B3776" s="17" t="s">
        <v>9719</v>
      </c>
      <c r="C3776" s="246" t="s">
        <v>4138</v>
      </c>
      <c r="D3776" s="18">
        <v>45</v>
      </c>
      <c r="E3776" s="18">
        <v>0</v>
      </c>
      <c r="F3776" s="18">
        <v>0</v>
      </c>
      <c r="G3776" s="18">
        <v>0</v>
      </c>
      <c r="H3776" s="18">
        <v>0</v>
      </c>
    </row>
    <row r="3777" spans="2:8">
      <c r="B3777" s="14" t="s">
        <v>9720</v>
      </c>
      <c r="C3777" s="245" t="s">
        <v>4139</v>
      </c>
      <c r="D3777" s="15">
        <v>0</v>
      </c>
      <c r="E3777" s="15">
        <v>0</v>
      </c>
      <c r="F3777" s="15">
        <v>0</v>
      </c>
      <c r="G3777" s="15">
        <v>0</v>
      </c>
      <c r="H3777" s="15">
        <v>0</v>
      </c>
    </row>
    <row r="3778" spans="2:8">
      <c r="B3778" s="17" t="s">
        <v>9721</v>
      </c>
      <c r="C3778" s="246" t="s">
        <v>4140</v>
      </c>
      <c r="D3778" s="18">
        <v>0</v>
      </c>
      <c r="E3778" s="18">
        <v>0</v>
      </c>
      <c r="F3778" s="18">
        <v>0</v>
      </c>
      <c r="G3778" s="18">
        <v>9</v>
      </c>
      <c r="H3778" s="18">
        <v>0</v>
      </c>
    </row>
    <row r="3779" spans="2:8">
      <c r="B3779" s="14" t="s">
        <v>9722</v>
      </c>
      <c r="C3779" s="245" t="s">
        <v>4141</v>
      </c>
      <c r="D3779" s="15">
        <v>0</v>
      </c>
      <c r="E3779" s="15">
        <v>0</v>
      </c>
      <c r="F3779" s="15">
        <v>0</v>
      </c>
      <c r="G3779" s="15">
        <v>0</v>
      </c>
      <c r="H3779" s="15">
        <v>0</v>
      </c>
    </row>
    <row r="3780" spans="2:8">
      <c r="B3780" s="17" t="s">
        <v>9723</v>
      </c>
      <c r="C3780" s="246" t="s">
        <v>4142</v>
      </c>
      <c r="D3780" s="18">
        <v>0</v>
      </c>
      <c r="E3780" s="18">
        <v>4</v>
      </c>
      <c r="F3780" s="18">
        <v>0</v>
      </c>
      <c r="G3780" s="18">
        <v>13</v>
      </c>
      <c r="H3780" s="18">
        <v>0</v>
      </c>
    </row>
    <row r="3781" spans="2:8">
      <c r="B3781" s="14" t="s">
        <v>9724</v>
      </c>
      <c r="C3781" s="245" t="s">
        <v>4143</v>
      </c>
      <c r="D3781" s="15">
        <v>148</v>
      </c>
      <c r="E3781" s="15">
        <v>83</v>
      </c>
      <c r="F3781" s="15">
        <v>68</v>
      </c>
      <c r="G3781" s="15">
        <v>20</v>
      </c>
      <c r="H3781" s="15">
        <v>0</v>
      </c>
    </row>
    <row r="3782" spans="2:8">
      <c r="B3782" s="17" t="s">
        <v>9725</v>
      </c>
      <c r="C3782" s="246" t="s">
        <v>4144</v>
      </c>
      <c r="D3782" s="18">
        <v>0</v>
      </c>
      <c r="E3782" s="18">
        <v>0</v>
      </c>
      <c r="F3782" s="18">
        <v>0</v>
      </c>
      <c r="G3782" s="18">
        <v>0</v>
      </c>
      <c r="H3782" s="18">
        <v>0</v>
      </c>
    </row>
    <row r="3783" spans="2:8">
      <c r="B3783" s="14" t="s">
        <v>9726</v>
      </c>
      <c r="C3783" s="245" t="s">
        <v>4145</v>
      </c>
      <c r="D3783" s="15">
        <v>3</v>
      </c>
      <c r="E3783" s="15">
        <v>0</v>
      </c>
      <c r="F3783" s="15">
        <v>0</v>
      </c>
      <c r="G3783" s="15">
        <v>0</v>
      </c>
      <c r="H3783" s="15">
        <v>0</v>
      </c>
    </row>
    <row r="3784" spans="2:8">
      <c r="B3784" s="17" t="s">
        <v>9727</v>
      </c>
      <c r="C3784" s="246" t="s">
        <v>4146</v>
      </c>
      <c r="D3784" s="18">
        <v>0</v>
      </c>
      <c r="E3784" s="18">
        <v>0</v>
      </c>
      <c r="F3784" s="18">
        <v>0</v>
      </c>
      <c r="G3784" s="18">
        <v>0</v>
      </c>
      <c r="H3784" s="18">
        <v>0</v>
      </c>
    </row>
    <row r="3785" spans="2:8">
      <c r="B3785" s="14" t="s">
        <v>9728</v>
      </c>
      <c r="C3785" s="245" t="s">
        <v>4147</v>
      </c>
      <c r="D3785" s="15">
        <v>0</v>
      </c>
      <c r="E3785" s="15">
        <v>0</v>
      </c>
      <c r="F3785" s="15">
        <v>5</v>
      </c>
      <c r="G3785" s="15">
        <v>0</v>
      </c>
      <c r="H3785" s="15">
        <v>0</v>
      </c>
    </row>
    <row r="3786" spans="2:8">
      <c r="B3786" s="17" t="s">
        <v>9729</v>
      </c>
      <c r="C3786" s="246" t="s">
        <v>4148</v>
      </c>
      <c r="D3786" s="18">
        <v>0</v>
      </c>
      <c r="E3786" s="18">
        <v>0</v>
      </c>
      <c r="F3786" s="18">
        <v>0</v>
      </c>
      <c r="G3786" s="18">
        <v>0</v>
      </c>
      <c r="H3786" s="18">
        <v>0</v>
      </c>
    </row>
    <row r="3787" spans="2:8">
      <c r="B3787" s="14" t="s">
        <v>9730</v>
      </c>
      <c r="C3787" s="245" t="s">
        <v>4149</v>
      </c>
      <c r="D3787" s="15">
        <v>0</v>
      </c>
      <c r="E3787" s="15">
        <v>0</v>
      </c>
      <c r="F3787" s="15">
        <v>0</v>
      </c>
      <c r="G3787" s="15">
        <v>0</v>
      </c>
      <c r="H3787" s="15">
        <v>0</v>
      </c>
    </row>
    <row r="3788" spans="2:8">
      <c r="B3788" s="17" t="s">
        <v>9731</v>
      </c>
      <c r="C3788" s="246" t="s">
        <v>4150</v>
      </c>
      <c r="D3788" s="18">
        <v>0</v>
      </c>
      <c r="E3788" s="18">
        <v>0</v>
      </c>
      <c r="F3788" s="18">
        <v>0</v>
      </c>
      <c r="G3788" s="18">
        <v>0</v>
      </c>
      <c r="H3788" s="18">
        <v>0</v>
      </c>
    </row>
    <row r="3789" spans="2:8">
      <c r="B3789" s="14" t="s">
        <v>9732</v>
      </c>
      <c r="C3789" s="245" t="s">
        <v>4151</v>
      </c>
      <c r="D3789" s="15">
        <v>0</v>
      </c>
      <c r="E3789" s="15">
        <v>0</v>
      </c>
      <c r="F3789" s="15">
        <v>0</v>
      </c>
      <c r="G3789" s="15">
        <v>0</v>
      </c>
      <c r="H3789" s="15">
        <v>0</v>
      </c>
    </row>
    <row r="3790" spans="2:8">
      <c r="B3790" s="17" t="s">
        <v>9733</v>
      </c>
      <c r="C3790" s="246" t="s">
        <v>4152</v>
      </c>
      <c r="D3790" s="18">
        <v>0</v>
      </c>
      <c r="E3790" s="18">
        <v>0</v>
      </c>
      <c r="F3790" s="18">
        <v>0</v>
      </c>
      <c r="G3790" s="18">
        <v>0</v>
      </c>
      <c r="H3790" s="18">
        <v>0</v>
      </c>
    </row>
    <row r="3791" spans="2:8">
      <c r="B3791" s="14" t="s">
        <v>9734</v>
      </c>
      <c r="C3791" s="245" t="s">
        <v>4153</v>
      </c>
      <c r="D3791" s="15">
        <v>0</v>
      </c>
      <c r="E3791" s="15">
        <v>0</v>
      </c>
      <c r="F3791" s="15">
        <v>0</v>
      </c>
      <c r="G3791" s="15">
        <v>0</v>
      </c>
      <c r="H3791" s="15">
        <v>0</v>
      </c>
    </row>
    <row r="3792" spans="2:8">
      <c r="B3792" s="17" t="s">
        <v>9735</v>
      </c>
      <c r="C3792" s="246" t="s">
        <v>4154</v>
      </c>
      <c r="D3792" s="18">
        <v>0</v>
      </c>
      <c r="E3792" s="18">
        <v>0</v>
      </c>
      <c r="F3792" s="18">
        <v>0</v>
      </c>
      <c r="G3792" s="18">
        <v>0</v>
      </c>
      <c r="H3792" s="18">
        <v>0</v>
      </c>
    </row>
    <row r="3793" spans="2:8">
      <c r="B3793" s="14" t="s">
        <v>9736</v>
      </c>
      <c r="C3793" s="245" t="s">
        <v>4155</v>
      </c>
      <c r="D3793" s="15">
        <v>0</v>
      </c>
      <c r="E3793" s="15">
        <v>0</v>
      </c>
      <c r="F3793" s="15">
        <v>0</v>
      </c>
      <c r="G3793" s="15">
        <v>0</v>
      </c>
      <c r="H3793" s="15">
        <v>0</v>
      </c>
    </row>
    <row r="3794" spans="2:8">
      <c r="B3794" s="17" t="s">
        <v>9737</v>
      </c>
      <c r="C3794" s="246" t="s">
        <v>4156</v>
      </c>
      <c r="D3794" s="18">
        <v>0</v>
      </c>
      <c r="E3794" s="18">
        <v>25</v>
      </c>
      <c r="F3794" s="18">
        <v>0</v>
      </c>
      <c r="G3794" s="18">
        <v>0</v>
      </c>
      <c r="H3794" s="18">
        <v>0</v>
      </c>
    </row>
    <row r="3795" spans="2:8">
      <c r="B3795" s="14" t="s">
        <v>9738</v>
      </c>
      <c r="C3795" s="245" t="s">
        <v>4157</v>
      </c>
      <c r="D3795" s="15">
        <v>0</v>
      </c>
      <c r="E3795" s="15">
        <v>0</v>
      </c>
      <c r="F3795" s="15">
        <v>0</v>
      </c>
      <c r="G3795" s="15">
        <v>0</v>
      </c>
      <c r="H3795" s="15">
        <v>0</v>
      </c>
    </row>
    <row r="3796" spans="2:8">
      <c r="B3796" s="17" t="s">
        <v>9739</v>
      </c>
      <c r="C3796" s="246" t="s">
        <v>4158</v>
      </c>
      <c r="D3796" s="18">
        <v>0</v>
      </c>
      <c r="E3796" s="18">
        <v>0</v>
      </c>
      <c r="F3796" s="18">
        <v>0</v>
      </c>
      <c r="G3796" s="18">
        <v>0</v>
      </c>
      <c r="H3796" s="18">
        <v>0</v>
      </c>
    </row>
    <row r="3797" spans="2:8">
      <c r="B3797" s="14" t="s">
        <v>9740</v>
      </c>
      <c r="C3797" s="245" t="s">
        <v>4159</v>
      </c>
      <c r="D3797" s="15">
        <v>0</v>
      </c>
      <c r="E3797" s="15">
        <v>0</v>
      </c>
      <c r="F3797" s="15">
        <v>0</v>
      </c>
      <c r="G3797" s="15">
        <v>0</v>
      </c>
      <c r="H3797" s="15">
        <v>0</v>
      </c>
    </row>
    <row r="3798" spans="2:8">
      <c r="B3798" s="17" t="s">
        <v>9741</v>
      </c>
      <c r="C3798" s="246" t="s">
        <v>4160</v>
      </c>
      <c r="D3798" s="18">
        <v>0</v>
      </c>
      <c r="E3798" s="18">
        <v>0</v>
      </c>
      <c r="F3798" s="18">
        <v>0</v>
      </c>
      <c r="G3798" s="18">
        <v>0</v>
      </c>
      <c r="H3798" s="18">
        <v>0</v>
      </c>
    </row>
    <row r="3799" spans="2:8">
      <c r="B3799" s="14" t="s">
        <v>9742</v>
      </c>
      <c r="C3799" s="245" t="s">
        <v>4161</v>
      </c>
      <c r="D3799" s="15">
        <v>0</v>
      </c>
      <c r="E3799" s="15">
        <v>0</v>
      </c>
      <c r="F3799" s="15">
        <v>0</v>
      </c>
      <c r="G3799" s="15">
        <v>0</v>
      </c>
      <c r="H3799" s="15">
        <v>0</v>
      </c>
    </row>
    <row r="3800" spans="2:8">
      <c r="B3800" s="17" t="s">
        <v>9743</v>
      </c>
      <c r="C3800" s="246" t="s">
        <v>4162</v>
      </c>
      <c r="D3800" s="18">
        <v>0</v>
      </c>
      <c r="E3800" s="18">
        <v>0</v>
      </c>
      <c r="F3800" s="18">
        <v>0</v>
      </c>
      <c r="G3800" s="18">
        <v>0</v>
      </c>
      <c r="H3800" s="18">
        <v>0</v>
      </c>
    </row>
    <row r="3801" spans="2:8">
      <c r="B3801" s="14" t="s">
        <v>9744</v>
      </c>
      <c r="C3801" s="245" t="s">
        <v>4163</v>
      </c>
      <c r="D3801" s="15">
        <v>0</v>
      </c>
      <c r="E3801" s="15">
        <v>4</v>
      </c>
      <c r="F3801" s="15">
        <v>0</v>
      </c>
      <c r="G3801" s="15">
        <v>8</v>
      </c>
      <c r="H3801" s="15">
        <v>0</v>
      </c>
    </row>
    <row r="3802" spans="2:8">
      <c r="B3802" s="17" t="s">
        <v>9745</v>
      </c>
      <c r="C3802" s="246" t="s">
        <v>4164</v>
      </c>
      <c r="D3802" s="18">
        <v>57</v>
      </c>
      <c r="E3802" s="18">
        <v>0</v>
      </c>
      <c r="F3802" s="18">
        <v>0</v>
      </c>
      <c r="G3802" s="18">
        <v>0</v>
      </c>
      <c r="H3802" s="18">
        <v>0</v>
      </c>
    </row>
    <row r="3803" spans="2:8">
      <c r="B3803" s="14" t="s">
        <v>9746</v>
      </c>
      <c r="C3803" s="245" t="s">
        <v>4165</v>
      </c>
      <c r="D3803" s="15">
        <v>0</v>
      </c>
      <c r="E3803" s="15">
        <v>33</v>
      </c>
      <c r="F3803" s="15">
        <v>0</v>
      </c>
      <c r="G3803" s="15">
        <v>0</v>
      </c>
      <c r="H3803" s="15">
        <v>0</v>
      </c>
    </row>
    <row r="3804" spans="2:8">
      <c r="B3804" s="17" t="s">
        <v>9747</v>
      </c>
      <c r="C3804" s="246" t="s">
        <v>4166</v>
      </c>
      <c r="D3804" s="18">
        <v>14</v>
      </c>
      <c r="E3804" s="18">
        <v>0</v>
      </c>
      <c r="F3804" s="18">
        <v>0</v>
      </c>
      <c r="G3804" s="18">
        <v>0</v>
      </c>
      <c r="H3804" s="18">
        <v>0</v>
      </c>
    </row>
    <row r="3805" spans="2:8">
      <c r="B3805" s="14" t="s">
        <v>9748</v>
      </c>
      <c r="C3805" s="245" t="s">
        <v>4167</v>
      </c>
      <c r="D3805" s="15">
        <v>0</v>
      </c>
      <c r="E3805" s="15">
        <v>0</v>
      </c>
      <c r="F3805" s="15">
        <v>0</v>
      </c>
      <c r="G3805" s="15">
        <v>0</v>
      </c>
      <c r="H3805" s="15">
        <v>0</v>
      </c>
    </row>
    <row r="3806" spans="2:8">
      <c r="B3806" s="17" t="s">
        <v>9749</v>
      </c>
      <c r="C3806" s="246" t="s">
        <v>4168</v>
      </c>
      <c r="D3806" s="18">
        <v>0</v>
      </c>
      <c r="E3806" s="18">
        <v>0</v>
      </c>
      <c r="F3806" s="18">
        <v>0</v>
      </c>
      <c r="G3806" s="18">
        <v>0</v>
      </c>
      <c r="H3806" s="18">
        <v>0</v>
      </c>
    </row>
    <row r="3807" spans="2:8">
      <c r="B3807" s="14" t="s">
        <v>9750</v>
      </c>
      <c r="C3807" s="245" t="s">
        <v>4169</v>
      </c>
      <c r="D3807" s="15">
        <v>0</v>
      </c>
      <c r="E3807" s="15">
        <v>0</v>
      </c>
      <c r="F3807" s="15">
        <v>0</v>
      </c>
      <c r="G3807" s="15">
        <v>0</v>
      </c>
      <c r="H3807" s="15">
        <v>0</v>
      </c>
    </row>
    <row r="3808" spans="2:8">
      <c r="B3808" s="17" t="s">
        <v>9751</v>
      </c>
      <c r="C3808" s="246" t="s">
        <v>4170</v>
      </c>
      <c r="D3808" s="18">
        <v>0</v>
      </c>
      <c r="E3808" s="18">
        <v>0</v>
      </c>
      <c r="F3808" s="18">
        <v>0</v>
      </c>
      <c r="G3808" s="18">
        <v>0</v>
      </c>
      <c r="H3808" s="18">
        <v>0</v>
      </c>
    </row>
    <row r="3809" spans="2:8">
      <c r="B3809" s="14" t="s">
        <v>9752</v>
      </c>
      <c r="C3809" s="245" t="s">
        <v>4171</v>
      </c>
      <c r="D3809" s="15">
        <v>0</v>
      </c>
      <c r="E3809" s="15">
        <v>0</v>
      </c>
      <c r="F3809" s="15">
        <v>0</v>
      </c>
      <c r="G3809" s="15">
        <v>0</v>
      </c>
      <c r="H3809" s="15">
        <v>0</v>
      </c>
    </row>
    <row r="3810" spans="2:8">
      <c r="B3810" s="17" t="s">
        <v>9753</v>
      </c>
      <c r="C3810" s="246" t="s">
        <v>4172</v>
      </c>
      <c r="D3810" s="18">
        <v>0</v>
      </c>
      <c r="E3810" s="18">
        <v>0</v>
      </c>
      <c r="F3810" s="18">
        <v>0</v>
      </c>
      <c r="G3810" s="18">
        <v>0</v>
      </c>
      <c r="H3810" s="18">
        <v>0</v>
      </c>
    </row>
    <row r="3811" spans="2:8">
      <c r="B3811" s="14" t="s">
        <v>9754</v>
      </c>
      <c r="C3811" s="245" t="s">
        <v>4173</v>
      </c>
      <c r="D3811" s="15">
        <v>0</v>
      </c>
      <c r="E3811" s="15">
        <v>0</v>
      </c>
      <c r="F3811" s="15">
        <v>0</v>
      </c>
      <c r="G3811" s="15">
        <v>0</v>
      </c>
      <c r="H3811" s="15">
        <v>0</v>
      </c>
    </row>
    <row r="3812" spans="2:8">
      <c r="B3812" s="17" t="s">
        <v>9755</v>
      </c>
      <c r="C3812" s="246" t="s">
        <v>4174</v>
      </c>
      <c r="D3812" s="18">
        <v>0</v>
      </c>
      <c r="E3812" s="18">
        <v>0</v>
      </c>
      <c r="F3812" s="18">
        <v>0</v>
      </c>
      <c r="G3812" s="18">
        <v>0</v>
      </c>
      <c r="H3812" s="18">
        <v>0</v>
      </c>
    </row>
    <row r="3813" spans="2:8">
      <c r="B3813" s="14" t="s">
        <v>9756</v>
      </c>
      <c r="C3813" s="245" t="s">
        <v>4175</v>
      </c>
      <c r="D3813" s="15">
        <v>0</v>
      </c>
      <c r="E3813" s="15">
        <v>0</v>
      </c>
      <c r="F3813" s="15">
        <v>0</v>
      </c>
      <c r="G3813" s="15">
        <v>0</v>
      </c>
      <c r="H3813" s="15">
        <v>0</v>
      </c>
    </row>
    <row r="3814" spans="2:8">
      <c r="B3814" s="17" t="s">
        <v>9757</v>
      </c>
      <c r="C3814" s="246" t="s">
        <v>4176</v>
      </c>
      <c r="D3814" s="18">
        <v>0</v>
      </c>
      <c r="E3814" s="18">
        <v>0</v>
      </c>
      <c r="F3814" s="18">
        <v>0</v>
      </c>
      <c r="G3814" s="18">
        <v>3</v>
      </c>
      <c r="H3814" s="18">
        <v>0</v>
      </c>
    </row>
    <row r="3815" spans="2:8">
      <c r="B3815" s="14" t="s">
        <v>9758</v>
      </c>
      <c r="C3815" s="245" t="s">
        <v>4177</v>
      </c>
      <c r="D3815" s="15">
        <v>0</v>
      </c>
      <c r="E3815" s="15">
        <v>0</v>
      </c>
      <c r="F3815" s="15">
        <v>242</v>
      </c>
      <c r="G3815" s="15">
        <v>0</v>
      </c>
      <c r="H3815" s="15">
        <v>0</v>
      </c>
    </row>
    <row r="3816" spans="2:8">
      <c r="B3816" s="17" t="s">
        <v>9759</v>
      </c>
      <c r="C3816" s="246" t="s">
        <v>4178</v>
      </c>
      <c r="D3816" s="18">
        <v>0</v>
      </c>
      <c r="E3816" s="18">
        <v>7</v>
      </c>
      <c r="F3816" s="18">
        <v>0</v>
      </c>
      <c r="G3816" s="18">
        <v>0</v>
      </c>
      <c r="H3816" s="18">
        <v>0</v>
      </c>
    </row>
    <row r="3817" spans="2:8">
      <c r="B3817" s="14" t="s">
        <v>9760</v>
      </c>
      <c r="C3817" s="245" t="s">
        <v>4179</v>
      </c>
      <c r="D3817" s="15">
        <v>0</v>
      </c>
      <c r="E3817" s="15">
        <v>0</v>
      </c>
      <c r="F3817" s="15">
        <v>0</v>
      </c>
      <c r="G3817" s="15">
        <v>0</v>
      </c>
      <c r="H3817" s="15">
        <v>0</v>
      </c>
    </row>
    <row r="3818" spans="2:8">
      <c r="B3818" s="17" t="s">
        <v>9761</v>
      </c>
      <c r="C3818" s="246" t="s">
        <v>4180</v>
      </c>
      <c r="D3818" s="18">
        <v>0</v>
      </c>
      <c r="E3818" s="18">
        <v>0</v>
      </c>
      <c r="F3818" s="18">
        <v>0</v>
      </c>
      <c r="G3818" s="18">
        <v>6</v>
      </c>
      <c r="H3818" s="18">
        <v>0</v>
      </c>
    </row>
    <row r="3819" spans="2:8">
      <c r="B3819" s="14" t="s">
        <v>9762</v>
      </c>
      <c r="C3819" s="245" t="s">
        <v>4181</v>
      </c>
      <c r="D3819" s="15">
        <v>0</v>
      </c>
      <c r="E3819" s="15">
        <v>0</v>
      </c>
      <c r="F3819" s="15">
        <v>0</v>
      </c>
      <c r="G3819" s="15">
        <v>0</v>
      </c>
      <c r="H3819" s="15">
        <v>0</v>
      </c>
    </row>
    <row r="3820" spans="2:8">
      <c r="B3820" s="17" t="s">
        <v>9763</v>
      </c>
      <c r="C3820" s="246" t="s">
        <v>4182</v>
      </c>
      <c r="D3820" s="18">
        <v>0</v>
      </c>
      <c r="E3820" s="18">
        <v>0</v>
      </c>
      <c r="F3820" s="18">
        <v>0</v>
      </c>
      <c r="G3820" s="18">
        <v>0</v>
      </c>
      <c r="H3820" s="18">
        <v>0</v>
      </c>
    </row>
    <row r="3821" spans="2:8">
      <c r="B3821" s="14" t="s">
        <v>9764</v>
      </c>
      <c r="C3821" s="245" t="s">
        <v>4183</v>
      </c>
      <c r="D3821" s="15">
        <v>0</v>
      </c>
      <c r="E3821" s="15">
        <v>0</v>
      </c>
      <c r="F3821" s="15">
        <v>0</v>
      </c>
      <c r="G3821" s="15">
        <v>0</v>
      </c>
      <c r="H3821" s="15">
        <v>0</v>
      </c>
    </row>
    <row r="3822" spans="2:8">
      <c r="B3822" s="17" t="s">
        <v>9765</v>
      </c>
      <c r="C3822" s="246" t="s">
        <v>4184</v>
      </c>
      <c r="D3822" s="18">
        <v>0</v>
      </c>
      <c r="E3822" s="18">
        <v>0</v>
      </c>
      <c r="F3822" s="18">
        <v>0</v>
      </c>
      <c r="G3822" s="18">
        <v>0</v>
      </c>
      <c r="H3822" s="18">
        <v>0</v>
      </c>
    </row>
    <row r="3823" spans="2:8">
      <c r="B3823" s="14" t="s">
        <v>9766</v>
      </c>
      <c r="C3823" s="245" t="s">
        <v>4185</v>
      </c>
      <c r="D3823" s="15">
        <v>0</v>
      </c>
      <c r="E3823" s="15">
        <v>0</v>
      </c>
      <c r="F3823" s="15">
        <v>0</v>
      </c>
      <c r="G3823" s="15">
        <v>0</v>
      </c>
      <c r="H3823" s="15">
        <v>0</v>
      </c>
    </row>
    <row r="3824" spans="2:8">
      <c r="B3824" s="17" t="s">
        <v>9767</v>
      </c>
      <c r="C3824" s="246" t="s">
        <v>4186</v>
      </c>
      <c r="D3824" s="18">
        <v>0</v>
      </c>
      <c r="E3824" s="18">
        <v>0</v>
      </c>
      <c r="F3824" s="18">
        <v>0</v>
      </c>
      <c r="G3824" s="18">
        <v>0</v>
      </c>
      <c r="H3824" s="18">
        <v>0</v>
      </c>
    </row>
    <row r="3825" spans="2:8">
      <c r="B3825" s="14" t="s">
        <v>9768</v>
      </c>
      <c r="C3825" s="245" t="s">
        <v>4187</v>
      </c>
      <c r="D3825" s="15">
        <v>0</v>
      </c>
      <c r="E3825" s="15">
        <v>0</v>
      </c>
      <c r="F3825" s="15">
        <v>0</v>
      </c>
      <c r="G3825" s="15">
        <v>0</v>
      </c>
      <c r="H3825" s="15">
        <v>0</v>
      </c>
    </row>
    <row r="3826" spans="2:8">
      <c r="B3826" s="17" t="s">
        <v>9769</v>
      </c>
      <c r="C3826" s="246" t="s">
        <v>4188</v>
      </c>
      <c r="D3826" s="18">
        <v>0</v>
      </c>
      <c r="E3826" s="18">
        <v>0</v>
      </c>
      <c r="F3826" s="18">
        <v>0</v>
      </c>
      <c r="G3826" s="18">
        <v>0</v>
      </c>
      <c r="H3826" s="18">
        <v>0</v>
      </c>
    </row>
    <row r="3827" spans="2:8">
      <c r="B3827" s="14" t="s">
        <v>9770</v>
      </c>
      <c r="C3827" s="245" t="s">
        <v>4189</v>
      </c>
      <c r="D3827" s="15">
        <v>0</v>
      </c>
      <c r="E3827" s="15">
        <v>0</v>
      </c>
      <c r="F3827" s="15">
        <v>0</v>
      </c>
      <c r="G3827" s="15">
        <v>0</v>
      </c>
      <c r="H3827" s="15">
        <v>0</v>
      </c>
    </row>
    <row r="3828" spans="2:8">
      <c r="B3828" s="17" t="s">
        <v>9771</v>
      </c>
      <c r="C3828" s="246" t="s">
        <v>4190</v>
      </c>
      <c r="D3828" s="18">
        <v>0</v>
      </c>
      <c r="E3828" s="18">
        <v>0</v>
      </c>
      <c r="F3828" s="18">
        <v>0</v>
      </c>
      <c r="G3828" s="18">
        <v>0</v>
      </c>
      <c r="H3828" s="18">
        <v>0</v>
      </c>
    </row>
    <row r="3829" spans="2:8">
      <c r="B3829" s="14" t="s">
        <v>9772</v>
      </c>
      <c r="C3829" s="245" t="s">
        <v>4191</v>
      </c>
      <c r="D3829" s="15">
        <v>0</v>
      </c>
      <c r="E3829" s="15">
        <v>0</v>
      </c>
      <c r="F3829" s="15">
        <v>0</v>
      </c>
      <c r="G3829" s="15">
        <v>0</v>
      </c>
      <c r="H3829" s="15">
        <v>0</v>
      </c>
    </row>
    <row r="3830" spans="2:8">
      <c r="B3830" s="17" t="s">
        <v>9773</v>
      </c>
      <c r="C3830" s="246" t="s">
        <v>4192</v>
      </c>
      <c r="D3830" s="18">
        <v>0</v>
      </c>
      <c r="E3830" s="18">
        <v>0</v>
      </c>
      <c r="F3830" s="18">
        <v>0</v>
      </c>
      <c r="G3830" s="18">
        <v>0</v>
      </c>
      <c r="H3830" s="18">
        <v>0</v>
      </c>
    </row>
    <row r="3831" spans="2:8">
      <c r="B3831" s="14" t="s">
        <v>9774</v>
      </c>
      <c r="C3831" s="245" t="s">
        <v>4193</v>
      </c>
      <c r="D3831" s="15">
        <v>0</v>
      </c>
      <c r="E3831" s="15">
        <v>0</v>
      </c>
      <c r="F3831" s="15">
        <v>0</v>
      </c>
      <c r="G3831" s="15">
        <v>0</v>
      </c>
      <c r="H3831" s="15">
        <v>0</v>
      </c>
    </row>
    <row r="3832" spans="2:8">
      <c r="B3832" s="17" t="s">
        <v>9775</v>
      </c>
      <c r="C3832" s="246" t="s">
        <v>4194</v>
      </c>
      <c r="D3832" s="18">
        <v>0</v>
      </c>
      <c r="E3832" s="18">
        <v>0</v>
      </c>
      <c r="F3832" s="18">
        <v>0</v>
      </c>
      <c r="G3832" s="18">
        <v>0</v>
      </c>
      <c r="H3832" s="18">
        <v>0</v>
      </c>
    </row>
    <row r="3833" spans="2:8">
      <c r="B3833" s="14" t="s">
        <v>9776</v>
      </c>
      <c r="C3833" s="245" t="s">
        <v>4195</v>
      </c>
      <c r="D3833" s="15">
        <v>0</v>
      </c>
      <c r="E3833" s="15">
        <v>0</v>
      </c>
      <c r="F3833" s="15">
        <v>0</v>
      </c>
      <c r="G3833" s="15">
        <v>0</v>
      </c>
      <c r="H3833" s="15">
        <v>0</v>
      </c>
    </row>
    <row r="3834" spans="2:8">
      <c r="B3834" s="17" t="s">
        <v>9777</v>
      </c>
      <c r="C3834" s="246" t="s">
        <v>4196</v>
      </c>
      <c r="D3834" s="18">
        <v>0</v>
      </c>
      <c r="E3834" s="18">
        <v>138</v>
      </c>
      <c r="F3834" s="18">
        <v>0</v>
      </c>
      <c r="G3834" s="18">
        <v>0</v>
      </c>
      <c r="H3834" s="18">
        <v>0</v>
      </c>
    </row>
    <row r="3835" spans="2:8">
      <c r="B3835" s="14" t="s">
        <v>9778</v>
      </c>
      <c r="C3835" s="245" t="s">
        <v>4197</v>
      </c>
      <c r="D3835" s="15">
        <v>0</v>
      </c>
      <c r="E3835" s="15">
        <v>0</v>
      </c>
      <c r="F3835" s="15">
        <v>0</v>
      </c>
      <c r="G3835" s="15">
        <v>0</v>
      </c>
      <c r="H3835" s="15">
        <v>0</v>
      </c>
    </row>
    <row r="3836" spans="2:8">
      <c r="B3836" s="17" t="s">
        <v>9779</v>
      </c>
      <c r="C3836" s="246" t="s">
        <v>4198</v>
      </c>
      <c r="D3836" s="18">
        <v>0</v>
      </c>
      <c r="E3836" s="18">
        <v>0</v>
      </c>
      <c r="F3836" s="18">
        <v>0</v>
      </c>
      <c r="G3836" s="18">
        <v>0</v>
      </c>
      <c r="H3836" s="18">
        <v>0</v>
      </c>
    </row>
    <row r="3837" spans="2:8">
      <c r="B3837" s="14" t="s">
        <v>9780</v>
      </c>
      <c r="C3837" s="245" t="s">
        <v>4199</v>
      </c>
      <c r="D3837" s="15">
        <v>0</v>
      </c>
      <c r="E3837" s="15">
        <v>0</v>
      </c>
      <c r="F3837" s="15">
        <v>0</v>
      </c>
      <c r="G3837" s="15">
        <v>0</v>
      </c>
      <c r="H3837" s="15">
        <v>0</v>
      </c>
    </row>
    <row r="3838" spans="2:8">
      <c r="B3838" s="17" t="s">
        <v>9781</v>
      </c>
      <c r="C3838" s="246" t="s">
        <v>4199</v>
      </c>
      <c r="D3838" s="18">
        <v>0</v>
      </c>
      <c r="E3838" s="18">
        <v>0</v>
      </c>
      <c r="F3838" s="18">
        <v>0</v>
      </c>
      <c r="G3838" s="18">
        <v>0</v>
      </c>
      <c r="H3838" s="18">
        <v>0</v>
      </c>
    </row>
    <row r="3839" spans="2:8">
      <c r="B3839" s="14" t="s">
        <v>9782</v>
      </c>
      <c r="C3839" s="245" t="s">
        <v>4200</v>
      </c>
      <c r="D3839" s="15">
        <v>0</v>
      </c>
      <c r="E3839" s="15">
        <v>0</v>
      </c>
      <c r="F3839" s="15">
        <v>0</v>
      </c>
      <c r="G3839" s="15">
        <v>0</v>
      </c>
      <c r="H3839" s="15">
        <v>0</v>
      </c>
    </row>
    <row r="3840" spans="2:8">
      <c r="B3840" s="17" t="s">
        <v>9783</v>
      </c>
      <c r="C3840" s="246" t="s">
        <v>4201</v>
      </c>
      <c r="D3840" s="18">
        <v>0</v>
      </c>
      <c r="E3840" s="18">
        <v>0</v>
      </c>
      <c r="F3840" s="18">
        <v>0</v>
      </c>
      <c r="G3840" s="18">
        <v>0</v>
      </c>
      <c r="H3840" s="18">
        <v>0</v>
      </c>
    </row>
    <row r="3841" spans="2:8">
      <c r="B3841" s="14" t="s">
        <v>9784</v>
      </c>
      <c r="C3841" s="245" t="s">
        <v>4202</v>
      </c>
      <c r="D3841" s="15">
        <v>0</v>
      </c>
      <c r="E3841" s="15">
        <v>0</v>
      </c>
      <c r="F3841" s="15">
        <v>0</v>
      </c>
      <c r="G3841" s="15">
        <v>0</v>
      </c>
      <c r="H3841" s="15">
        <v>0</v>
      </c>
    </row>
    <row r="3842" spans="2:8">
      <c r="B3842" s="17" t="s">
        <v>9785</v>
      </c>
      <c r="C3842" s="246" t="s">
        <v>4203</v>
      </c>
      <c r="D3842" s="18">
        <v>0</v>
      </c>
      <c r="E3842" s="18">
        <v>0</v>
      </c>
      <c r="F3842" s="18">
        <v>0</v>
      </c>
      <c r="G3842" s="18">
        <v>483</v>
      </c>
      <c r="H3842" s="18">
        <v>0</v>
      </c>
    </row>
    <row r="3843" spans="2:8">
      <c r="B3843" s="14" t="s">
        <v>9786</v>
      </c>
      <c r="C3843" s="245" t="s">
        <v>4204</v>
      </c>
      <c r="D3843" s="15">
        <v>0</v>
      </c>
      <c r="E3843" s="15">
        <v>0</v>
      </c>
      <c r="F3843" s="15">
        <v>0</v>
      </c>
      <c r="G3843" s="15">
        <v>0</v>
      </c>
      <c r="H3843" s="15">
        <v>0</v>
      </c>
    </row>
    <row r="3844" spans="2:8">
      <c r="B3844" s="17" t="s">
        <v>9787</v>
      </c>
      <c r="C3844" s="246" t="s">
        <v>4205</v>
      </c>
      <c r="D3844" s="18">
        <v>0</v>
      </c>
      <c r="E3844" s="18">
        <v>0</v>
      </c>
      <c r="F3844" s="18">
        <v>0</v>
      </c>
      <c r="G3844" s="18">
        <v>0</v>
      </c>
      <c r="H3844" s="18">
        <v>0</v>
      </c>
    </row>
    <row r="3845" spans="2:8">
      <c r="B3845" s="14" t="s">
        <v>9788</v>
      </c>
      <c r="C3845" s="245" t="s">
        <v>4206</v>
      </c>
      <c r="D3845" s="15">
        <v>0</v>
      </c>
      <c r="E3845" s="15">
        <v>0</v>
      </c>
      <c r="F3845" s="15">
        <v>0</v>
      </c>
      <c r="G3845" s="15">
        <v>0</v>
      </c>
      <c r="H3845" s="15">
        <v>0</v>
      </c>
    </row>
    <row r="3846" spans="2:8">
      <c r="B3846" s="17" t="s">
        <v>9789</v>
      </c>
      <c r="C3846" s="246" t="s">
        <v>4207</v>
      </c>
      <c r="D3846" s="18">
        <v>0</v>
      </c>
      <c r="E3846" s="18">
        <v>0</v>
      </c>
      <c r="F3846" s="18">
        <v>0</v>
      </c>
      <c r="G3846" s="18">
        <v>0</v>
      </c>
      <c r="H3846" s="18">
        <v>0</v>
      </c>
    </row>
    <row r="3847" spans="2:8">
      <c r="B3847" s="14" t="s">
        <v>9790</v>
      </c>
      <c r="C3847" s="245" t="s">
        <v>4208</v>
      </c>
      <c r="D3847" s="15">
        <v>0</v>
      </c>
      <c r="E3847" s="15">
        <v>0</v>
      </c>
      <c r="F3847" s="15">
        <v>0</v>
      </c>
      <c r="G3847" s="15">
        <v>0</v>
      </c>
      <c r="H3847" s="15">
        <v>0</v>
      </c>
    </row>
    <row r="3848" spans="2:8">
      <c r="B3848" s="17" t="s">
        <v>9791</v>
      </c>
      <c r="C3848" s="246" t="s">
        <v>4209</v>
      </c>
      <c r="D3848" s="18">
        <v>0</v>
      </c>
      <c r="E3848" s="18">
        <v>0</v>
      </c>
      <c r="F3848" s="18">
        <v>0</v>
      </c>
      <c r="G3848" s="18">
        <v>0</v>
      </c>
      <c r="H3848" s="18">
        <v>0</v>
      </c>
    </row>
    <row r="3849" spans="2:8">
      <c r="B3849" s="14" t="s">
        <v>9792</v>
      </c>
      <c r="C3849" s="245" t="s">
        <v>4210</v>
      </c>
      <c r="D3849" s="15">
        <v>0</v>
      </c>
      <c r="E3849" s="15">
        <v>19</v>
      </c>
      <c r="F3849" s="15">
        <v>34</v>
      </c>
      <c r="G3849" s="15">
        <v>34</v>
      </c>
      <c r="H3849" s="15">
        <v>0</v>
      </c>
    </row>
    <row r="3850" spans="2:8">
      <c r="B3850" s="17" t="s">
        <v>9793</v>
      </c>
      <c r="C3850" s="246" t="s">
        <v>4211</v>
      </c>
      <c r="D3850" s="18">
        <v>0</v>
      </c>
      <c r="E3850" s="18">
        <v>0</v>
      </c>
      <c r="F3850" s="18">
        <v>0</v>
      </c>
      <c r="G3850" s="18">
        <v>0</v>
      </c>
      <c r="H3850" s="18">
        <v>0</v>
      </c>
    </row>
    <row r="3851" spans="2:8">
      <c r="B3851" s="14" t="s">
        <v>9794</v>
      </c>
      <c r="C3851" s="245" t="s">
        <v>4212</v>
      </c>
      <c r="D3851" s="15">
        <v>0</v>
      </c>
      <c r="E3851" s="15">
        <v>0</v>
      </c>
      <c r="F3851" s="15">
        <v>0</v>
      </c>
      <c r="G3851" s="15">
        <v>0</v>
      </c>
      <c r="H3851" s="15">
        <v>0</v>
      </c>
    </row>
    <row r="3852" spans="2:8">
      <c r="B3852" s="17" t="s">
        <v>9795</v>
      </c>
      <c r="C3852" s="246" t="s">
        <v>4213</v>
      </c>
      <c r="D3852" s="18">
        <v>0</v>
      </c>
      <c r="E3852" s="18">
        <v>0</v>
      </c>
      <c r="F3852" s="18">
        <v>0</v>
      </c>
      <c r="G3852" s="18">
        <v>0</v>
      </c>
      <c r="H3852" s="18">
        <v>0</v>
      </c>
    </row>
    <row r="3853" spans="2:8">
      <c r="B3853" s="14" t="s">
        <v>9796</v>
      </c>
      <c r="C3853" s="245" t="s">
        <v>2327</v>
      </c>
      <c r="D3853" s="15">
        <v>0</v>
      </c>
      <c r="E3853" s="15">
        <v>0</v>
      </c>
      <c r="F3853" s="15">
        <v>11</v>
      </c>
      <c r="G3853" s="15">
        <v>0</v>
      </c>
      <c r="H3853" s="15">
        <v>0</v>
      </c>
    </row>
    <row r="3854" spans="2:8">
      <c r="B3854" s="17" t="s">
        <v>9797</v>
      </c>
      <c r="C3854" s="246" t="s">
        <v>4214</v>
      </c>
      <c r="D3854" s="18">
        <v>0</v>
      </c>
      <c r="E3854" s="18">
        <v>0</v>
      </c>
      <c r="F3854" s="18">
        <v>0</v>
      </c>
      <c r="G3854" s="18">
        <v>0</v>
      </c>
      <c r="H3854" s="18">
        <v>0</v>
      </c>
    </row>
    <row r="3855" spans="2:8">
      <c r="B3855" s="14" t="s">
        <v>9798</v>
      </c>
      <c r="C3855" s="245" t="s">
        <v>2888</v>
      </c>
      <c r="D3855" s="15">
        <v>0</v>
      </c>
      <c r="E3855" s="15">
        <v>0</v>
      </c>
      <c r="F3855" s="15">
        <v>0</v>
      </c>
      <c r="G3855" s="15">
        <v>0</v>
      </c>
      <c r="H3855" s="15">
        <v>0</v>
      </c>
    </row>
    <row r="3856" spans="2:8">
      <c r="B3856" s="17" t="s">
        <v>9799</v>
      </c>
      <c r="C3856" s="246" t="s">
        <v>4215</v>
      </c>
      <c r="D3856" s="18">
        <v>0</v>
      </c>
      <c r="E3856" s="18">
        <v>0</v>
      </c>
      <c r="F3856" s="18">
        <v>0</v>
      </c>
      <c r="G3856" s="18">
        <v>0</v>
      </c>
      <c r="H3856" s="18">
        <v>0</v>
      </c>
    </row>
    <row r="3857" spans="2:8">
      <c r="B3857" s="14" t="s">
        <v>9800</v>
      </c>
      <c r="C3857" s="245" t="s">
        <v>4216</v>
      </c>
      <c r="D3857" s="15">
        <v>0</v>
      </c>
      <c r="E3857" s="15">
        <v>0</v>
      </c>
      <c r="F3857" s="15">
        <v>0</v>
      </c>
      <c r="G3857" s="15">
        <v>0</v>
      </c>
      <c r="H3857" s="15">
        <v>0</v>
      </c>
    </row>
    <row r="3858" spans="2:8">
      <c r="B3858" s="17" t="s">
        <v>9801</v>
      </c>
      <c r="C3858" s="246" t="s">
        <v>4217</v>
      </c>
      <c r="D3858" s="18">
        <v>0</v>
      </c>
      <c r="E3858" s="18">
        <v>0</v>
      </c>
      <c r="F3858" s="18">
        <v>0</v>
      </c>
      <c r="G3858" s="18">
        <v>0</v>
      </c>
      <c r="H3858" s="18">
        <v>0</v>
      </c>
    </row>
    <row r="3859" spans="2:8">
      <c r="B3859" s="14" t="s">
        <v>9802</v>
      </c>
      <c r="C3859" s="245" t="s">
        <v>4218</v>
      </c>
      <c r="D3859" s="15">
        <v>0</v>
      </c>
      <c r="E3859" s="15">
        <v>0</v>
      </c>
      <c r="F3859" s="15">
        <v>0</v>
      </c>
      <c r="G3859" s="15">
        <v>0</v>
      </c>
      <c r="H3859" s="15">
        <v>0</v>
      </c>
    </row>
    <row r="3860" spans="2:8">
      <c r="B3860" s="17" t="s">
        <v>9803</v>
      </c>
      <c r="C3860" s="246" t="s">
        <v>4219</v>
      </c>
      <c r="D3860" s="18">
        <v>0</v>
      </c>
      <c r="E3860" s="18">
        <v>0</v>
      </c>
      <c r="F3860" s="18">
        <v>0</v>
      </c>
      <c r="G3860" s="18">
        <v>0</v>
      </c>
      <c r="H3860" s="18">
        <v>0</v>
      </c>
    </row>
    <row r="3861" spans="2:8">
      <c r="B3861" s="14" t="s">
        <v>9804</v>
      </c>
      <c r="C3861" s="245" t="s">
        <v>4220</v>
      </c>
      <c r="D3861" s="15">
        <v>0</v>
      </c>
      <c r="E3861" s="15">
        <v>0</v>
      </c>
      <c r="F3861" s="15">
        <v>0</v>
      </c>
      <c r="G3861" s="15">
        <v>0</v>
      </c>
      <c r="H3861" s="15">
        <v>0</v>
      </c>
    </row>
    <row r="3862" spans="2:8">
      <c r="B3862" s="17" t="s">
        <v>9805</v>
      </c>
      <c r="C3862" s="246" t="s">
        <v>4221</v>
      </c>
      <c r="D3862" s="18">
        <v>0</v>
      </c>
      <c r="E3862" s="18">
        <v>0</v>
      </c>
      <c r="F3862" s="18">
        <v>0</v>
      </c>
      <c r="G3862" s="18">
        <v>0</v>
      </c>
      <c r="H3862" s="18">
        <v>0</v>
      </c>
    </row>
    <row r="3863" spans="2:8">
      <c r="B3863" s="14" t="s">
        <v>9806</v>
      </c>
      <c r="C3863" s="245" t="s">
        <v>4222</v>
      </c>
      <c r="D3863" s="15">
        <v>0</v>
      </c>
      <c r="E3863" s="15">
        <v>19</v>
      </c>
      <c r="F3863" s="15">
        <v>0</v>
      </c>
      <c r="G3863" s="15">
        <v>0</v>
      </c>
      <c r="H3863" s="15">
        <v>0</v>
      </c>
    </row>
    <row r="3864" spans="2:8">
      <c r="B3864" s="17" t="s">
        <v>9807</v>
      </c>
      <c r="C3864" s="246" t="s">
        <v>4223</v>
      </c>
      <c r="D3864" s="18">
        <v>0</v>
      </c>
      <c r="E3864" s="18">
        <v>0</v>
      </c>
      <c r="F3864" s="18">
        <v>0</v>
      </c>
      <c r="G3864" s="18">
        <v>0</v>
      </c>
      <c r="H3864" s="18">
        <v>0</v>
      </c>
    </row>
    <row r="3865" spans="2:8">
      <c r="B3865" s="14" t="s">
        <v>9808</v>
      </c>
      <c r="C3865" s="245" t="s">
        <v>4224</v>
      </c>
      <c r="D3865" s="15">
        <v>0</v>
      </c>
      <c r="E3865" s="15">
        <v>0</v>
      </c>
      <c r="F3865" s="15">
        <v>0</v>
      </c>
      <c r="G3865" s="15">
        <v>0</v>
      </c>
      <c r="H3865" s="15">
        <v>0</v>
      </c>
    </row>
    <row r="3866" spans="2:8">
      <c r="B3866" s="17" t="s">
        <v>9809</v>
      </c>
      <c r="C3866" s="246" t="s">
        <v>4225</v>
      </c>
      <c r="D3866" s="18">
        <v>0</v>
      </c>
      <c r="E3866" s="18">
        <v>0</v>
      </c>
      <c r="F3866" s="18">
        <v>0</v>
      </c>
      <c r="G3866" s="18">
        <v>0</v>
      </c>
      <c r="H3866" s="18">
        <v>0</v>
      </c>
    </row>
    <row r="3867" spans="2:8">
      <c r="B3867" s="14" t="s">
        <v>9810</v>
      </c>
      <c r="C3867" s="245" t="s">
        <v>4226</v>
      </c>
      <c r="D3867" s="15">
        <v>0</v>
      </c>
      <c r="E3867" s="15">
        <v>0</v>
      </c>
      <c r="F3867" s="15">
        <v>0</v>
      </c>
      <c r="G3867" s="15">
        <v>0</v>
      </c>
      <c r="H3867" s="15">
        <v>0</v>
      </c>
    </row>
    <row r="3868" spans="2:8">
      <c r="B3868" s="17" t="s">
        <v>9811</v>
      </c>
      <c r="C3868" s="246" t="s">
        <v>4227</v>
      </c>
      <c r="D3868" s="18">
        <v>0</v>
      </c>
      <c r="E3868" s="18">
        <v>0</v>
      </c>
      <c r="F3868" s="18">
        <v>0</v>
      </c>
      <c r="G3868" s="18">
        <v>0</v>
      </c>
      <c r="H3868" s="18">
        <v>0</v>
      </c>
    </row>
    <row r="3869" spans="2:8">
      <c r="B3869" s="14" t="s">
        <v>9812</v>
      </c>
      <c r="C3869" s="245" t="s">
        <v>2424</v>
      </c>
      <c r="D3869" s="15">
        <v>0</v>
      </c>
      <c r="E3869" s="15">
        <v>0</v>
      </c>
      <c r="F3869" s="15">
        <v>0</v>
      </c>
      <c r="G3869" s="15">
        <v>0</v>
      </c>
      <c r="H3869" s="15">
        <v>0</v>
      </c>
    </row>
    <row r="3870" spans="2:8">
      <c r="B3870" s="17" t="s">
        <v>9813</v>
      </c>
      <c r="C3870" s="246" t="s">
        <v>4228</v>
      </c>
      <c r="D3870" s="18">
        <v>0</v>
      </c>
      <c r="E3870" s="18">
        <v>0</v>
      </c>
      <c r="F3870" s="18">
        <v>0</v>
      </c>
      <c r="G3870" s="18">
        <v>0</v>
      </c>
      <c r="H3870" s="18">
        <v>0</v>
      </c>
    </row>
    <row r="3871" spans="2:8">
      <c r="B3871" s="14" t="s">
        <v>9814</v>
      </c>
      <c r="C3871" s="245" t="s">
        <v>4229</v>
      </c>
      <c r="D3871" s="15">
        <v>0</v>
      </c>
      <c r="E3871" s="15">
        <v>5</v>
      </c>
      <c r="F3871" s="15">
        <v>0</v>
      </c>
      <c r="G3871" s="15">
        <v>0</v>
      </c>
      <c r="H3871" s="15">
        <v>0</v>
      </c>
    </row>
    <row r="3872" spans="2:8">
      <c r="B3872" s="17" t="s">
        <v>9815</v>
      </c>
      <c r="C3872" s="246" t="s">
        <v>4230</v>
      </c>
      <c r="D3872" s="18">
        <v>0</v>
      </c>
      <c r="E3872" s="18">
        <v>0</v>
      </c>
      <c r="F3872" s="18">
        <v>0</v>
      </c>
      <c r="G3872" s="18">
        <v>0</v>
      </c>
      <c r="H3872" s="18">
        <v>0</v>
      </c>
    </row>
    <row r="3873" spans="2:8">
      <c r="B3873" s="14" t="s">
        <v>9816</v>
      </c>
      <c r="C3873" s="245" t="s">
        <v>4231</v>
      </c>
      <c r="D3873" s="15">
        <v>0</v>
      </c>
      <c r="E3873" s="15">
        <v>0</v>
      </c>
      <c r="F3873" s="15">
        <v>0</v>
      </c>
      <c r="G3873" s="15">
        <v>0</v>
      </c>
      <c r="H3873" s="15">
        <v>0</v>
      </c>
    </row>
    <row r="3874" spans="2:8">
      <c r="B3874" s="17" t="s">
        <v>9817</v>
      </c>
      <c r="C3874" s="246" t="s">
        <v>4232</v>
      </c>
      <c r="D3874" s="18">
        <v>0</v>
      </c>
      <c r="E3874" s="18">
        <v>0</v>
      </c>
      <c r="F3874" s="18">
        <v>0</v>
      </c>
      <c r="G3874" s="18">
        <v>0</v>
      </c>
      <c r="H3874" s="18">
        <v>0</v>
      </c>
    </row>
    <row r="3875" spans="2:8">
      <c r="B3875" s="14" t="s">
        <v>9818</v>
      </c>
      <c r="C3875" s="245" t="s">
        <v>3519</v>
      </c>
      <c r="D3875" s="15">
        <v>0</v>
      </c>
      <c r="E3875" s="15">
        <v>0</v>
      </c>
      <c r="F3875" s="15">
        <v>0</v>
      </c>
      <c r="G3875" s="15">
        <v>0</v>
      </c>
      <c r="H3875" s="15">
        <v>0</v>
      </c>
    </row>
    <row r="3876" spans="2:8">
      <c r="B3876" s="17" t="s">
        <v>9819</v>
      </c>
      <c r="C3876" s="246" t="s">
        <v>4233</v>
      </c>
      <c r="D3876" s="18">
        <v>37</v>
      </c>
      <c r="E3876" s="18">
        <v>0</v>
      </c>
      <c r="F3876" s="18">
        <v>0</v>
      </c>
      <c r="G3876" s="18">
        <v>87</v>
      </c>
      <c r="H3876" s="18">
        <v>0</v>
      </c>
    </row>
    <row r="3877" spans="2:8">
      <c r="B3877" s="14" t="s">
        <v>9820</v>
      </c>
      <c r="C3877" s="245" t="s">
        <v>4234</v>
      </c>
      <c r="D3877" s="15">
        <v>0</v>
      </c>
      <c r="E3877" s="15">
        <v>0</v>
      </c>
      <c r="F3877" s="15">
        <v>0</v>
      </c>
      <c r="G3877" s="15">
        <v>0</v>
      </c>
      <c r="H3877" s="15">
        <v>0</v>
      </c>
    </row>
    <row r="3878" spans="2:8">
      <c r="B3878" s="17" t="s">
        <v>9821</v>
      </c>
      <c r="C3878" s="246" t="s">
        <v>4235</v>
      </c>
      <c r="D3878" s="18">
        <v>0</v>
      </c>
      <c r="E3878" s="18">
        <v>0</v>
      </c>
      <c r="F3878" s="18">
        <v>0</v>
      </c>
      <c r="G3878" s="18">
        <v>0</v>
      </c>
      <c r="H3878" s="18">
        <v>0</v>
      </c>
    </row>
    <row r="3879" spans="2:8">
      <c r="B3879" s="14" t="s">
        <v>9822</v>
      </c>
      <c r="C3879" s="245" t="s">
        <v>4236</v>
      </c>
      <c r="D3879" s="15">
        <v>0</v>
      </c>
      <c r="E3879" s="15">
        <v>0</v>
      </c>
      <c r="F3879" s="15">
        <v>0</v>
      </c>
      <c r="G3879" s="15">
        <v>0</v>
      </c>
      <c r="H3879" s="15">
        <v>0</v>
      </c>
    </row>
    <row r="3880" spans="2:8">
      <c r="B3880" s="17" t="s">
        <v>9823</v>
      </c>
      <c r="C3880" s="246" t="s">
        <v>4237</v>
      </c>
      <c r="D3880" s="18">
        <v>0</v>
      </c>
      <c r="E3880" s="18">
        <v>0</v>
      </c>
      <c r="F3880" s="18">
        <v>0</v>
      </c>
      <c r="G3880" s="18">
        <v>0</v>
      </c>
      <c r="H3880" s="18">
        <v>0</v>
      </c>
    </row>
    <row r="3881" spans="2:8">
      <c r="B3881" s="14" t="s">
        <v>9824</v>
      </c>
      <c r="C3881" s="245" t="s">
        <v>4238</v>
      </c>
      <c r="D3881" s="15">
        <v>0</v>
      </c>
      <c r="E3881" s="15">
        <v>0</v>
      </c>
      <c r="F3881" s="15">
        <v>0</v>
      </c>
      <c r="G3881" s="15">
        <v>0</v>
      </c>
      <c r="H3881" s="15">
        <v>0</v>
      </c>
    </row>
    <row r="3882" spans="2:8">
      <c r="B3882" s="17" t="s">
        <v>9825</v>
      </c>
      <c r="C3882" s="246" t="s">
        <v>4239</v>
      </c>
      <c r="D3882" s="18">
        <v>0</v>
      </c>
      <c r="E3882" s="18">
        <v>0</v>
      </c>
      <c r="F3882" s="18">
        <v>0</v>
      </c>
      <c r="G3882" s="18">
        <v>0</v>
      </c>
      <c r="H3882" s="18">
        <v>0</v>
      </c>
    </row>
    <row r="3883" spans="2:8">
      <c r="B3883" s="14" t="s">
        <v>9826</v>
      </c>
      <c r="C3883" s="245" t="s">
        <v>4240</v>
      </c>
      <c r="D3883" s="15">
        <v>0</v>
      </c>
      <c r="E3883" s="15">
        <v>0</v>
      </c>
      <c r="F3883" s="15">
        <v>0</v>
      </c>
      <c r="G3883" s="15">
        <v>0</v>
      </c>
      <c r="H3883" s="15">
        <v>0</v>
      </c>
    </row>
    <row r="3884" spans="2:8">
      <c r="B3884" s="17" t="s">
        <v>9827</v>
      </c>
      <c r="C3884" s="246" t="s">
        <v>4241</v>
      </c>
      <c r="D3884" s="18">
        <v>0</v>
      </c>
      <c r="E3884" s="18">
        <v>0</v>
      </c>
      <c r="F3884" s="18">
        <v>0</v>
      </c>
      <c r="G3884" s="18">
        <v>0</v>
      </c>
      <c r="H3884" s="18">
        <v>0</v>
      </c>
    </row>
    <row r="3885" spans="2:8">
      <c r="B3885" s="14" t="s">
        <v>9828</v>
      </c>
      <c r="C3885" s="245" t="s">
        <v>4242</v>
      </c>
      <c r="D3885" s="15">
        <v>0</v>
      </c>
      <c r="E3885" s="15">
        <v>0</v>
      </c>
      <c r="F3885" s="15">
        <v>0</v>
      </c>
      <c r="G3885" s="15">
        <v>0</v>
      </c>
      <c r="H3885" s="15">
        <v>0</v>
      </c>
    </row>
    <row r="3886" spans="2:8">
      <c r="B3886" s="17" t="s">
        <v>9829</v>
      </c>
      <c r="C3886" s="246" t="s">
        <v>4243</v>
      </c>
      <c r="D3886" s="18">
        <v>0</v>
      </c>
      <c r="E3886" s="18">
        <v>0</v>
      </c>
      <c r="F3886" s="18">
        <v>0</v>
      </c>
      <c r="G3886" s="18">
        <v>0</v>
      </c>
      <c r="H3886" s="18">
        <v>0</v>
      </c>
    </row>
    <row r="3887" spans="2:8">
      <c r="B3887" s="14" t="s">
        <v>9830</v>
      </c>
      <c r="C3887" s="245" t="s">
        <v>4244</v>
      </c>
      <c r="D3887" s="15">
        <v>0</v>
      </c>
      <c r="E3887" s="15">
        <v>0</v>
      </c>
      <c r="F3887" s="15">
        <v>0</v>
      </c>
      <c r="G3887" s="15">
        <v>0</v>
      </c>
      <c r="H3887" s="15">
        <v>0</v>
      </c>
    </row>
    <row r="3888" spans="2:8">
      <c r="B3888" s="17" t="s">
        <v>9831</v>
      </c>
      <c r="C3888" s="246" t="s">
        <v>1641</v>
      </c>
      <c r="D3888" s="18">
        <v>0</v>
      </c>
      <c r="E3888" s="18">
        <v>0</v>
      </c>
      <c r="F3888" s="18">
        <v>0</v>
      </c>
      <c r="G3888" s="18">
        <v>0</v>
      </c>
      <c r="H3888" s="18">
        <v>0</v>
      </c>
    </row>
    <row r="3889" spans="2:8">
      <c r="B3889" s="14" t="s">
        <v>9832</v>
      </c>
      <c r="C3889" s="245" t="s">
        <v>2530</v>
      </c>
      <c r="D3889" s="15">
        <v>0</v>
      </c>
      <c r="E3889" s="15">
        <v>0</v>
      </c>
      <c r="F3889" s="15">
        <v>0</v>
      </c>
      <c r="G3889" s="15">
        <v>0</v>
      </c>
      <c r="H3889" s="15">
        <v>0</v>
      </c>
    </row>
    <row r="3890" spans="2:8">
      <c r="B3890" s="17" t="s">
        <v>9833</v>
      </c>
      <c r="C3890" s="246" t="s">
        <v>4245</v>
      </c>
      <c r="D3890" s="18">
        <v>0</v>
      </c>
      <c r="E3890" s="18">
        <v>0</v>
      </c>
      <c r="F3890" s="18">
        <v>0</v>
      </c>
      <c r="G3890" s="18">
        <v>0</v>
      </c>
      <c r="H3890" s="18">
        <v>0</v>
      </c>
    </row>
    <row r="3891" spans="2:8">
      <c r="B3891" s="14" t="s">
        <v>9834</v>
      </c>
      <c r="C3891" s="245" t="s">
        <v>4246</v>
      </c>
      <c r="D3891" s="15">
        <v>0</v>
      </c>
      <c r="E3891" s="15">
        <v>2</v>
      </c>
      <c r="F3891" s="15">
        <v>0</v>
      </c>
      <c r="G3891" s="15">
        <v>0</v>
      </c>
      <c r="H3891" s="15">
        <v>0</v>
      </c>
    </row>
    <row r="3892" spans="2:8">
      <c r="B3892" s="17" t="s">
        <v>9835</v>
      </c>
      <c r="C3892" s="246" t="s">
        <v>4247</v>
      </c>
      <c r="D3892" s="18">
        <v>0</v>
      </c>
      <c r="E3892" s="18">
        <v>0</v>
      </c>
      <c r="F3892" s="18">
        <v>0</v>
      </c>
      <c r="G3892" s="18">
        <v>0</v>
      </c>
      <c r="H3892" s="18">
        <v>0</v>
      </c>
    </row>
    <row r="3893" spans="2:8">
      <c r="B3893" s="14" t="s">
        <v>9836</v>
      </c>
      <c r="C3893" s="245" t="s">
        <v>4248</v>
      </c>
      <c r="D3893" s="15">
        <v>0</v>
      </c>
      <c r="E3893" s="15">
        <v>9</v>
      </c>
      <c r="F3893" s="15">
        <v>0</v>
      </c>
      <c r="G3893" s="15">
        <v>4</v>
      </c>
      <c r="H3893" s="15">
        <v>0</v>
      </c>
    </row>
    <row r="3894" spans="2:8">
      <c r="B3894" s="17" t="s">
        <v>9837</v>
      </c>
      <c r="C3894" s="246" t="s">
        <v>4249</v>
      </c>
      <c r="D3894" s="18">
        <v>0</v>
      </c>
      <c r="E3894" s="18">
        <v>16</v>
      </c>
      <c r="F3894" s="18">
        <v>0</v>
      </c>
      <c r="G3894" s="18">
        <v>0</v>
      </c>
      <c r="H3894" s="18">
        <v>0</v>
      </c>
    </row>
    <row r="3895" spans="2:8">
      <c r="B3895" s="14" t="s">
        <v>9838</v>
      </c>
      <c r="C3895" s="245" t="s">
        <v>1475</v>
      </c>
      <c r="D3895" s="15">
        <v>0</v>
      </c>
      <c r="E3895" s="15">
        <v>0</v>
      </c>
      <c r="F3895" s="15">
        <v>0</v>
      </c>
      <c r="G3895" s="15">
        <v>0</v>
      </c>
      <c r="H3895" s="15">
        <v>0</v>
      </c>
    </row>
    <row r="3896" spans="2:8">
      <c r="B3896" s="17" t="s">
        <v>9839</v>
      </c>
      <c r="C3896" s="246" t="s">
        <v>1193</v>
      </c>
      <c r="D3896" s="18">
        <v>0</v>
      </c>
      <c r="E3896" s="18">
        <v>0</v>
      </c>
      <c r="F3896" s="18">
        <v>0</v>
      </c>
      <c r="G3896" s="18">
        <v>0</v>
      </c>
      <c r="H3896" s="18">
        <v>0</v>
      </c>
    </row>
    <row r="3897" spans="2:8">
      <c r="B3897" s="14" t="s">
        <v>9840</v>
      </c>
      <c r="C3897" s="245" t="s">
        <v>2182</v>
      </c>
      <c r="D3897" s="15">
        <v>0</v>
      </c>
      <c r="E3897" s="15">
        <v>0</v>
      </c>
      <c r="F3897" s="15">
        <v>0</v>
      </c>
      <c r="G3897" s="15">
        <v>6</v>
      </c>
      <c r="H3897" s="15">
        <v>0</v>
      </c>
    </row>
    <row r="3898" spans="2:8">
      <c r="B3898" s="17" t="s">
        <v>9841</v>
      </c>
      <c r="C3898" s="246" t="s">
        <v>4250</v>
      </c>
      <c r="D3898" s="18">
        <v>0</v>
      </c>
      <c r="E3898" s="18">
        <v>0</v>
      </c>
      <c r="F3898" s="18">
        <v>0</v>
      </c>
      <c r="G3898" s="18">
        <v>0</v>
      </c>
      <c r="H3898" s="18">
        <v>0</v>
      </c>
    </row>
    <row r="3899" spans="2:8">
      <c r="B3899" s="14" t="s">
        <v>9842</v>
      </c>
      <c r="C3899" s="245" t="s">
        <v>4251</v>
      </c>
      <c r="D3899" s="15">
        <v>0</v>
      </c>
      <c r="E3899" s="15">
        <v>4</v>
      </c>
      <c r="F3899" s="15">
        <v>0</v>
      </c>
      <c r="G3899" s="15">
        <v>0</v>
      </c>
      <c r="H3899" s="15">
        <v>0</v>
      </c>
    </row>
    <row r="3900" spans="2:8">
      <c r="B3900" s="17" t="s">
        <v>9843</v>
      </c>
      <c r="C3900" s="246" t="s">
        <v>4252</v>
      </c>
      <c r="D3900" s="18">
        <v>0</v>
      </c>
      <c r="E3900" s="18">
        <v>0</v>
      </c>
      <c r="F3900" s="18">
        <v>0</v>
      </c>
      <c r="G3900" s="18">
        <v>0</v>
      </c>
      <c r="H3900" s="18">
        <v>0</v>
      </c>
    </row>
    <row r="3901" spans="2:8">
      <c r="B3901" s="14" t="s">
        <v>9844</v>
      </c>
      <c r="C3901" s="245" t="s">
        <v>2746</v>
      </c>
      <c r="D3901" s="15">
        <v>0</v>
      </c>
      <c r="E3901" s="15">
        <v>0</v>
      </c>
      <c r="F3901" s="15">
        <v>0</v>
      </c>
      <c r="G3901" s="15">
        <v>0</v>
      </c>
      <c r="H3901" s="15">
        <v>0</v>
      </c>
    </row>
    <row r="3902" spans="2:8">
      <c r="B3902" s="17" t="s">
        <v>9845</v>
      </c>
      <c r="C3902" s="246" t="s">
        <v>1375</v>
      </c>
      <c r="D3902" s="18">
        <v>2</v>
      </c>
      <c r="E3902" s="18">
        <v>0</v>
      </c>
      <c r="F3902" s="18">
        <v>0</v>
      </c>
      <c r="G3902" s="18">
        <v>0</v>
      </c>
      <c r="H3902" s="18">
        <v>0</v>
      </c>
    </row>
    <row r="3903" spans="2:8">
      <c r="B3903" s="14" t="s">
        <v>9846</v>
      </c>
      <c r="C3903" s="245" t="s">
        <v>1375</v>
      </c>
      <c r="D3903" s="15">
        <v>0</v>
      </c>
      <c r="E3903" s="15">
        <v>0</v>
      </c>
      <c r="F3903" s="15">
        <v>0</v>
      </c>
      <c r="G3903" s="15">
        <v>0</v>
      </c>
      <c r="H3903" s="15">
        <v>0</v>
      </c>
    </row>
    <row r="3904" spans="2:8">
      <c r="B3904" s="17" t="s">
        <v>9847</v>
      </c>
      <c r="C3904" s="246" t="s">
        <v>2183</v>
      </c>
      <c r="D3904" s="18">
        <v>0</v>
      </c>
      <c r="E3904" s="18">
        <v>0</v>
      </c>
      <c r="F3904" s="18">
        <v>0</v>
      </c>
      <c r="G3904" s="18">
        <v>0</v>
      </c>
      <c r="H3904" s="18">
        <v>0</v>
      </c>
    </row>
    <row r="3905" spans="2:8">
      <c r="B3905" s="14" t="s">
        <v>9848</v>
      </c>
      <c r="C3905" s="245" t="s">
        <v>4253</v>
      </c>
      <c r="D3905" s="15">
        <v>0</v>
      </c>
      <c r="E3905" s="15">
        <v>0</v>
      </c>
      <c r="F3905" s="15">
        <v>0</v>
      </c>
      <c r="G3905" s="15">
        <v>0</v>
      </c>
      <c r="H3905" s="15">
        <v>0</v>
      </c>
    </row>
    <row r="3906" spans="2:8">
      <c r="B3906" s="17" t="s">
        <v>9849</v>
      </c>
      <c r="C3906" s="246" t="s">
        <v>4254</v>
      </c>
      <c r="D3906" s="18">
        <v>0</v>
      </c>
      <c r="E3906" s="18">
        <v>0</v>
      </c>
      <c r="F3906" s="18">
        <v>0</v>
      </c>
      <c r="G3906" s="18">
        <v>0</v>
      </c>
      <c r="H3906" s="18">
        <v>0</v>
      </c>
    </row>
    <row r="3907" spans="2:8">
      <c r="B3907" s="14" t="s">
        <v>9850</v>
      </c>
      <c r="C3907" s="245" t="s">
        <v>4255</v>
      </c>
      <c r="D3907" s="15">
        <v>0</v>
      </c>
      <c r="E3907" s="15">
        <v>0</v>
      </c>
      <c r="F3907" s="15">
        <v>0</v>
      </c>
      <c r="G3907" s="15">
        <v>0</v>
      </c>
      <c r="H3907" s="15">
        <v>0</v>
      </c>
    </row>
    <row r="3908" spans="2:8">
      <c r="B3908" s="17" t="s">
        <v>9851</v>
      </c>
      <c r="C3908" s="246" t="s">
        <v>4256</v>
      </c>
      <c r="D3908" s="18">
        <v>0</v>
      </c>
      <c r="E3908" s="18">
        <v>0</v>
      </c>
      <c r="F3908" s="18">
        <v>0</v>
      </c>
      <c r="G3908" s="18">
        <v>0</v>
      </c>
      <c r="H3908" s="18">
        <v>0</v>
      </c>
    </row>
    <row r="3909" spans="2:8">
      <c r="B3909" s="14" t="s">
        <v>9852</v>
      </c>
      <c r="C3909" s="245" t="s">
        <v>4257</v>
      </c>
      <c r="D3909" s="15">
        <v>0</v>
      </c>
      <c r="E3909" s="15">
        <v>0</v>
      </c>
      <c r="F3909" s="15">
        <v>0</v>
      </c>
      <c r="G3909" s="15">
        <v>0</v>
      </c>
      <c r="H3909" s="15">
        <v>0</v>
      </c>
    </row>
    <row r="3910" spans="2:8">
      <c r="B3910" s="17" t="s">
        <v>9853</v>
      </c>
      <c r="C3910" s="246" t="s">
        <v>4258</v>
      </c>
      <c r="D3910" s="18">
        <v>0</v>
      </c>
      <c r="E3910" s="18">
        <v>0</v>
      </c>
      <c r="F3910" s="18">
        <v>0</v>
      </c>
      <c r="G3910" s="18">
        <v>0</v>
      </c>
      <c r="H3910" s="18">
        <v>0</v>
      </c>
    </row>
    <row r="3911" spans="2:8">
      <c r="B3911" s="14" t="s">
        <v>9854</v>
      </c>
      <c r="C3911" s="245" t="s">
        <v>4259</v>
      </c>
      <c r="D3911" s="15">
        <v>0</v>
      </c>
      <c r="E3911" s="15">
        <v>0</v>
      </c>
      <c r="F3911" s="15">
        <v>0</v>
      </c>
      <c r="G3911" s="15">
        <v>0</v>
      </c>
      <c r="H3911" s="15">
        <v>0</v>
      </c>
    </row>
    <row r="3912" spans="2:8">
      <c r="B3912" s="17" t="s">
        <v>9855</v>
      </c>
      <c r="C3912" s="246" t="s">
        <v>2549</v>
      </c>
      <c r="D3912" s="18">
        <v>0</v>
      </c>
      <c r="E3912" s="18">
        <v>0</v>
      </c>
      <c r="F3912" s="18">
        <v>0</v>
      </c>
      <c r="G3912" s="18">
        <v>0</v>
      </c>
      <c r="H3912" s="18">
        <v>0</v>
      </c>
    </row>
    <row r="3913" spans="2:8">
      <c r="B3913" s="14" t="s">
        <v>9856</v>
      </c>
      <c r="C3913" s="245" t="s">
        <v>1923</v>
      </c>
      <c r="D3913" s="15">
        <v>0</v>
      </c>
      <c r="E3913" s="15">
        <v>0</v>
      </c>
      <c r="F3913" s="15">
        <v>0</v>
      </c>
      <c r="G3913" s="15">
        <v>0</v>
      </c>
      <c r="H3913" s="15">
        <v>0</v>
      </c>
    </row>
    <row r="3914" spans="2:8">
      <c r="B3914" s="17" t="s">
        <v>9857</v>
      </c>
      <c r="C3914" s="246" t="s">
        <v>1923</v>
      </c>
      <c r="D3914" s="18">
        <v>0</v>
      </c>
      <c r="E3914" s="18">
        <v>0</v>
      </c>
      <c r="F3914" s="18">
        <v>0</v>
      </c>
      <c r="G3914" s="18">
        <v>0</v>
      </c>
      <c r="H3914" s="18">
        <v>0</v>
      </c>
    </row>
    <row r="3915" spans="2:8">
      <c r="B3915" s="14" t="s">
        <v>9858</v>
      </c>
      <c r="C3915" s="245" t="s">
        <v>4260</v>
      </c>
      <c r="D3915" s="15">
        <v>0</v>
      </c>
      <c r="E3915" s="15">
        <v>0</v>
      </c>
      <c r="F3915" s="15">
        <v>0</v>
      </c>
      <c r="G3915" s="15">
        <v>0</v>
      </c>
      <c r="H3915" s="15">
        <v>0</v>
      </c>
    </row>
    <row r="3916" spans="2:8">
      <c r="B3916" s="17" t="s">
        <v>9859</v>
      </c>
      <c r="C3916" s="246" t="s">
        <v>4261</v>
      </c>
      <c r="D3916" s="18">
        <v>0</v>
      </c>
      <c r="E3916" s="18">
        <v>0</v>
      </c>
      <c r="F3916" s="18">
        <v>0</v>
      </c>
      <c r="G3916" s="18">
        <v>0</v>
      </c>
      <c r="H3916" s="18">
        <v>0</v>
      </c>
    </row>
    <row r="3917" spans="2:8">
      <c r="B3917" s="14" t="s">
        <v>9860</v>
      </c>
      <c r="C3917" s="245" t="s">
        <v>4262</v>
      </c>
      <c r="D3917" s="15">
        <v>0</v>
      </c>
      <c r="E3917" s="15">
        <v>0</v>
      </c>
      <c r="F3917" s="15">
        <v>0</v>
      </c>
      <c r="G3917" s="15">
        <v>0</v>
      </c>
      <c r="H3917" s="15">
        <v>0</v>
      </c>
    </row>
    <row r="3918" spans="2:8">
      <c r="B3918" s="17" t="s">
        <v>9861</v>
      </c>
      <c r="C3918" s="246" t="s">
        <v>4263</v>
      </c>
      <c r="D3918" s="18">
        <v>0</v>
      </c>
      <c r="E3918" s="18">
        <v>0</v>
      </c>
      <c r="F3918" s="18">
        <v>0</v>
      </c>
      <c r="G3918" s="18">
        <v>0</v>
      </c>
      <c r="H3918" s="18">
        <v>0</v>
      </c>
    </row>
    <row r="3919" spans="2:8">
      <c r="B3919" s="14" t="s">
        <v>9862</v>
      </c>
      <c r="C3919" s="245" t="s">
        <v>4264</v>
      </c>
      <c r="D3919" s="15">
        <v>0</v>
      </c>
      <c r="E3919" s="15">
        <v>0</v>
      </c>
      <c r="F3919" s="15">
        <v>0</v>
      </c>
      <c r="G3919" s="15">
        <v>0</v>
      </c>
      <c r="H3919" s="15">
        <v>0</v>
      </c>
    </row>
    <row r="3920" spans="2:8">
      <c r="B3920" s="17" t="s">
        <v>9863</v>
      </c>
      <c r="C3920" s="246" t="s">
        <v>4265</v>
      </c>
      <c r="D3920" s="18">
        <v>0</v>
      </c>
      <c r="E3920" s="18">
        <v>0</v>
      </c>
      <c r="F3920" s="18">
        <v>0</v>
      </c>
      <c r="G3920" s="18">
        <v>0</v>
      </c>
      <c r="H3920" s="18">
        <v>0</v>
      </c>
    </row>
    <row r="3921" spans="2:8">
      <c r="B3921" s="14" t="s">
        <v>9864</v>
      </c>
      <c r="C3921" s="245" t="s">
        <v>4266</v>
      </c>
      <c r="D3921" s="15">
        <v>0</v>
      </c>
      <c r="E3921" s="15">
        <v>5</v>
      </c>
      <c r="F3921" s="15">
        <v>3</v>
      </c>
      <c r="G3921" s="15">
        <v>16</v>
      </c>
      <c r="H3921" s="15">
        <v>0</v>
      </c>
    </row>
    <row r="3922" spans="2:8">
      <c r="B3922" s="17" t="s">
        <v>9865</v>
      </c>
      <c r="C3922" s="246" t="s">
        <v>4267</v>
      </c>
      <c r="D3922" s="18">
        <v>0</v>
      </c>
      <c r="E3922" s="18">
        <v>0</v>
      </c>
      <c r="F3922" s="18">
        <v>2</v>
      </c>
      <c r="G3922" s="18">
        <v>0</v>
      </c>
      <c r="H3922" s="18">
        <v>0</v>
      </c>
    </row>
    <row r="3923" spans="2:8">
      <c r="B3923" s="14" t="s">
        <v>9866</v>
      </c>
      <c r="C3923" s="245" t="s">
        <v>1538</v>
      </c>
      <c r="D3923" s="15">
        <v>0</v>
      </c>
      <c r="E3923" s="15">
        <v>0</v>
      </c>
      <c r="F3923" s="15">
        <v>11</v>
      </c>
      <c r="G3923" s="15">
        <v>34</v>
      </c>
      <c r="H3923" s="15">
        <v>0</v>
      </c>
    </row>
    <row r="3924" spans="2:8">
      <c r="B3924" s="17" t="s">
        <v>9867</v>
      </c>
      <c r="C3924" s="246" t="s">
        <v>4268</v>
      </c>
      <c r="D3924" s="18">
        <v>0</v>
      </c>
      <c r="E3924" s="18">
        <v>0</v>
      </c>
      <c r="F3924" s="18">
        <v>0</v>
      </c>
      <c r="G3924" s="18">
        <v>0</v>
      </c>
      <c r="H3924" s="18">
        <v>0</v>
      </c>
    </row>
    <row r="3925" spans="2:8">
      <c r="B3925" s="14" t="s">
        <v>9868</v>
      </c>
      <c r="C3925" s="245" t="s">
        <v>4269</v>
      </c>
      <c r="D3925" s="15">
        <v>0</v>
      </c>
      <c r="E3925" s="15">
        <v>0</v>
      </c>
      <c r="F3925" s="15">
        <v>0</v>
      </c>
      <c r="G3925" s="15">
        <v>0</v>
      </c>
      <c r="H3925" s="15">
        <v>0</v>
      </c>
    </row>
    <row r="3926" spans="2:8">
      <c r="B3926" s="17" t="s">
        <v>9869</v>
      </c>
      <c r="C3926" s="246" t="s">
        <v>1560</v>
      </c>
      <c r="D3926" s="18">
        <v>0</v>
      </c>
      <c r="E3926" s="18">
        <v>0</v>
      </c>
      <c r="F3926" s="18">
        <v>0</v>
      </c>
      <c r="G3926" s="18">
        <v>0</v>
      </c>
      <c r="H3926" s="18">
        <v>0</v>
      </c>
    </row>
    <row r="3927" spans="2:8">
      <c r="B3927" s="14" t="s">
        <v>9870</v>
      </c>
      <c r="C3927" s="245" t="s">
        <v>1823</v>
      </c>
      <c r="D3927" s="15">
        <v>0</v>
      </c>
      <c r="E3927" s="15">
        <v>0</v>
      </c>
      <c r="F3927" s="15">
        <v>18</v>
      </c>
      <c r="G3927" s="15">
        <v>0</v>
      </c>
      <c r="H3927" s="15">
        <v>0</v>
      </c>
    </row>
    <row r="3928" spans="2:8">
      <c r="B3928" s="17" t="s">
        <v>9871</v>
      </c>
      <c r="C3928" s="246" t="s">
        <v>1823</v>
      </c>
      <c r="D3928" s="18">
        <v>0</v>
      </c>
      <c r="E3928" s="18">
        <v>0</v>
      </c>
      <c r="F3928" s="18">
        <v>0</v>
      </c>
      <c r="G3928" s="18">
        <v>0</v>
      </c>
      <c r="H3928" s="18">
        <v>0</v>
      </c>
    </row>
    <row r="3929" spans="2:8">
      <c r="B3929" s="14" t="s">
        <v>9872</v>
      </c>
      <c r="C3929" s="245" t="s">
        <v>1716</v>
      </c>
      <c r="D3929" s="15">
        <v>0</v>
      </c>
      <c r="E3929" s="15">
        <v>0</v>
      </c>
      <c r="F3929" s="15">
        <v>0</v>
      </c>
      <c r="G3929" s="15">
        <v>0</v>
      </c>
      <c r="H3929" s="15">
        <v>0</v>
      </c>
    </row>
    <row r="3930" spans="2:8">
      <c r="B3930" s="17" t="s">
        <v>9873</v>
      </c>
      <c r="C3930" s="246" t="s">
        <v>1716</v>
      </c>
      <c r="D3930" s="18">
        <v>0</v>
      </c>
      <c r="E3930" s="18">
        <v>0</v>
      </c>
      <c r="F3930" s="18">
        <v>0</v>
      </c>
      <c r="G3930" s="18">
        <v>0</v>
      </c>
      <c r="H3930" s="18">
        <v>0</v>
      </c>
    </row>
    <row r="3931" spans="2:8">
      <c r="B3931" s="14" t="s">
        <v>9874</v>
      </c>
      <c r="C3931" s="245" t="s">
        <v>1193</v>
      </c>
      <c r="D3931" s="15">
        <v>1</v>
      </c>
      <c r="E3931" s="15">
        <v>0</v>
      </c>
      <c r="F3931" s="15">
        <v>0</v>
      </c>
      <c r="G3931" s="15">
        <v>0</v>
      </c>
      <c r="H3931" s="15">
        <v>0</v>
      </c>
    </row>
    <row r="3932" spans="2:8">
      <c r="B3932" s="17" t="s">
        <v>9875</v>
      </c>
      <c r="C3932" s="246" t="s">
        <v>4270</v>
      </c>
      <c r="D3932" s="18">
        <v>0</v>
      </c>
      <c r="E3932" s="18">
        <v>0</v>
      </c>
      <c r="F3932" s="18">
        <v>0</v>
      </c>
      <c r="G3932" s="18">
        <v>0</v>
      </c>
      <c r="H3932" s="18">
        <v>0</v>
      </c>
    </row>
    <row r="3933" spans="2:8">
      <c r="B3933" s="14" t="s">
        <v>9876</v>
      </c>
      <c r="C3933" s="245" t="s">
        <v>4271</v>
      </c>
      <c r="D3933" s="15">
        <v>0</v>
      </c>
      <c r="E3933" s="15">
        <v>0</v>
      </c>
      <c r="F3933" s="15">
        <v>0</v>
      </c>
      <c r="G3933" s="15">
        <v>0</v>
      </c>
      <c r="H3933" s="15">
        <v>0</v>
      </c>
    </row>
    <row r="3934" spans="2:8">
      <c r="B3934" s="17" t="s">
        <v>9877</v>
      </c>
      <c r="C3934" s="246" t="s">
        <v>4272</v>
      </c>
      <c r="D3934" s="18">
        <v>0</v>
      </c>
      <c r="E3934" s="18">
        <v>0</v>
      </c>
      <c r="F3934" s="18">
        <v>0</v>
      </c>
      <c r="G3934" s="18">
        <v>0</v>
      </c>
      <c r="H3934" s="18">
        <v>0</v>
      </c>
    </row>
    <row r="3935" spans="2:8">
      <c r="B3935" s="14" t="s">
        <v>9878</v>
      </c>
      <c r="C3935" s="245" t="s">
        <v>4273</v>
      </c>
      <c r="D3935" s="15">
        <v>0</v>
      </c>
      <c r="E3935" s="15">
        <v>0</v>
      </c>
      <c r="F3935" s="15">
        <v>0</v>
      </c>
      <c r="G3935" s="15">
        <v>0</v>
      </c>
      <c r="H3935" s="15">
        <v>0</v>
      </c>
    </row>
    <row r="3936" spans="2:8">
      <c r="B3936" s="17" t="s">
        <v>9879</v>
      </c>
      <c r="C3936" s="246" t="s">
        <v>4274</v>
      </c>
      <c r="D3936" s="18">
        <v>0</v>
      </c>
      <c r="E3936" s="18">
        <v>0</v>
      </c>
      <c r="F3936" s="18">
        <v>0</v>
      </c>
      <c r="G3936" s="18">
        <v>0</v>
      </c>
      <c r="H3936" s="18">
        <v>0</v>
      </c>
    </row>
    <row r="3937" spans="2:8">
      <c r="B3937" s="14" t="s">
        <v>9880</v>
      </c>
      <c r="C3937" s="245" t="s">
        <v>4275</v>
      </c>
      <c r="D3937" s="15">
        <v>0</v>
      </c>
      <c r="E3937" s="15">
        <v>0</v>
      </c>
      <c r="F3937" s="15">
        <v>0</v>
      </c>
      <c r="G3937" s="15">
        <v>0</v>
      </c>
      <c r="H3937" s="15">
        <v>0</v>
      </c>
    </row>
    <row r="3938" spans="2:8">
      <c r="B3938" s="17" t="s">
        <v>9881</v>
      </c>
      <c r="C3938" s="246" t="s">
        <v>4276</v>
      </c>
      <c r="D3938" s="18">
        <v>0</v>
      </c>
      <c r="E3938" s="18">
        <v>0</v>
      </c>
      <c r="F3938" s="18">
        <v>0</v>
      </c>
      <c r="G3938" s="18">
        <v>0</v>
      </c>
      <c r="H3938" s="18">
        <v>0</v>
      </c>
    </row>
    <row r="3939" spans="2:8">
      <c r="B3939" s="14" t="s">
        <v>9882</v>
      </c>
      <c r="C3939" s="245" t="s">
        <v>4277</v>
      </c>
      <c r="D3939" s="15">
        <v>0</v>
      </c>
      <c r="E3939" s="15">
        <v>0</v>
      </c>
      <c r="F3939" s="15">
        <v>0</v>
      </c>
      <c r="G3939" s="15">
        <v>0</v>
      </c>
      <c r="H3939" s="15">
        <v>0</v>
      </c>
    </row>
    <row r="3940" spans="2:8">
      <c r="B3940" s="17" t="s">
        <v>9883</v>
      </c>
      <c r="C3940" s="246" t="s">
        <v>3610</v>
      </c>
      <c r="D3940" s="18">
        <v>0</v>
      </c>
      <c r="E3940" s="18">
        <v>0</v>
      </c>
      <c r="F3940" s="18">
        <v>0</v>
      </c>
      <c r="G3940" s="18">
        <v>0</v>
      </c>
      <c r="H3940" s="18">
        <v>0</v>
      </c>
    </row>
    <row r="3941" spans="2:8">
      <c r="B3941" s="14" t="s">
        <v>9884</v>
      </c>
      <c r="C3941" s="245" t="s">
        <v>4278</v>
      </c>
      <c r="D3941" s="15">
        <v>0</v>
      </c>
      <c r="E3941" s="15">
        <v>0</v>
      </c>
      <c r="F3941" s="15">
        <v>0</v>
      </c>
      <c r="G3941" s="15">
        <v>0</v>
      </c>
      <c r="H3941" s="15">
        <v>0</v>
      </c>
    </row>
    <row r="3942" spans="2:8">
      <c r="B3942" s="17" t="s">
        <v>9885</v>
      </c>
      <c r="C3942" s="246" t="s">
        <v>3611</v>
      </c>
      <c r="D3942" s="18">
        <v>0</v>
      </c>
      <c r="E3942" s="18">
        <v>0</v>
      </c>
      <c r="F3942" s="18">
        <v>0</v>
      </c>
      <c r="G3942" s="18">
        <v>0</v>
      </c>
      <c r="H3942" s="18">
        <v>0</v>
      </c>
    </row>
    <row r="3943" spans="2:8">
      <c r="B3943" s="14" t="s">
        <v>9886</v>
      </c>
      <c r="C3943" s="245" t="s">
        <v>4279</v>
      </c>
      <c r="D3943" s="15">
        <v>0</v>
      </c>
      <c r="E3943" s="15">
        <v>0</v>
      </c>
      <c r="F3943" s="15">
        <v>0</v>
      </c>
      <c r="G3943" s="15">
        <v>0</v>
      </c>
      <c r="H3943" s="15">
        <v>0</v>
      </c>
    </row>
    <row r="3944" spans="2:8">
      <c r="B3944" s="17" t="s">
        <v>9887</v>
      </c>
      <c r="C3944" s="246" t="s">
        <v>4280</v>
      </c>
      <c r="D3944" s="18">
        <v>0</v>
      </c>
      <c r="E3944" s="18">
        <v>0</v>
      </c>
      <c r="F3944" s="18">
        <v>0</v>
      </c>
      <c r="G3944" s="18">
        <v>0</v>
      </c>
      <c r="H3944" s="18">
        <v>0</v>
      </c>
    </row>
    <row r="3945" spans="2:8">
      <c r="B3945" s="14" t="s">
        <v>9888</v>
      </c>
      <c r="C3945" s="245" t="s">
        <v>3310</v>
      </c>
      <c r="D3945" s="15">
        <v>0</v>
      </c>
      <c r="E3945" s="15">
        <v>0</v>
      </c>
      <c r="F3945" s="15">
        <v>0</v>
      </c>
      <c r="G3945" s="15">
        <v>0</v>
      </c>
      <c r="H3945" s="15">
        <v>0</v>
      </c>
    </row>
    <row r="3946" spans="2:8">
      <c r="B3946" s="17" t="s">
        <v>9889</v>
      </c>
      <c r="C3946" s="246" t="s">
        <v>4281</v>
      </c>
      <c r="D3946" s="18">
        <v>0</v>
      </c>
      <c r="E3946" s="18">
        <v>0</v>
      </c>
      <c r="F3946" s="18">
        <v>0</v>
      </c>
      <c r="G3946" s="18">
        <v>0</v>
      </c>
      <c r="H3946" s="18">
        <v>0</v>
      </c>
    </row>
    <row r="3947" spans="2:8">
      <c r="B3947" s="14" t="s">
        <v>9890</v>
      </c>
      <c r="C3947" s="245" t="s">
        <v>4282</v>
      </c>
      <c r="D3947" s="15">
        <v>0</v>
      </c>
      <c r="E3947" s="15">
        <v>0</v>
      </c>
      <c r="F3947" s="15">
        <v>0</v>
      </c>
      <c r="G3947" s="15">
        <v>0</v>
      </c>
      <c r="H3947" s="15">
        <v>0</v>
      </c>
    </row>
    <row r="3948" spans="2:8">
      <c r="B3948" s="17" t="s">
        <v>9891</v>
      </c>
      <c r="C3948" s="246" t="s">
        <v>4283</v>
      </c>
      <c r="D3948" s="18">
        <v>0</v>
      </c>
      <c r="E3948" s="18">
        <v>0</v>
      </c>
      <c r="F3948" s="18">
        <v>0</v>
      </c>
      <c r="G3948" s="18">
        <v>0</v>
      </c>
      <c r="H3948" s="18">
        <v>0</v>
      </c>
    </row>
    <row r="3949" spans="2:8">
      <c r="B3949" s="14" t="s">
        <v>9892</v>
      </c>
      <c r="C3949" s="245" t="s">
        <v>4284</v>
      </c>
      <c r="D3949" s="15">
        <v>0</v>
      </c>
      <c r="E3949" s="15">
        <v>0</v>
      </c>
      <c r="F3949" s="15">
        <v>0</v>
      </c>
      <c r="G3949" s="15">
        <v>0</v>
      </c>
      <c r="H3949" s="15">
        <v>0</v>
      </c>
    </row>
    <row r="3950" spans="2:8">
      <c r="B3950" s="17" t="s">
        <v>9893</v>
      </c>
      <c r="C3950" s="246" t="s">
        <v>4285</v>
      </c>
      <c r="D3950" s="18">
        <v>0</v>
      </c>
      <c r="E3950" s="18">
        <v>0</v>
      </c>
      <c r="F3950" s="18">
        <v>0</v>
      </c>
      <c r="G3950" s="18">
        <v>0</v>
      </c>
      <c r="H3950" s="18">
        <v>0</v>
      </c>
    </row>
    <row r="3951" spans="2:8">
      <c r="B3951" s="14" t="s">
        <v>9894</v>
      </c>
      <c r="C3951" s="245" t="s">
        <v>4286</v>
      </c>
      <c r="D3951" s="15">
        <v>0</v>
      </c>
      <c r="E3951" s="15">
        <v>0</v>
      </c>
      <c r="F3951" s="15">
        <v>0</v>
      </c>
      <c r="G3951" s="15">
        <v>0</v>
      </c>
      <c r="H3951" s="15">
        <v>0</v>
      </c>
    </row>
    <row r="3952" spans="2:8">
      <c r="B3952" s="17" t="s">
        <v>9895</v>
      </c>
      <c r="C3952" s="246" t="s">
        <v>4287</v>
      </c>
      <c r="D3952" s="18">
        <v>0</v>
      </c>
      <c r="E3952" s="18">
        <v>0</v>
      </c>
      <c r="F3952" s="18">
        <v>0</v>
      </c>
      <c r="G3952" s="18">
        <v>0</v>
      </c>
      <c r="H3952" s="18">
        <v>0</v>
      </c>
    </row>
    <row r="3953" spans="2:8">
      <c r="B3953" s="14" t="s">
        <v>9896</v>
      </c>
      <c r="C3953" s="245" t="s">
        <v>4288</v>
      </c>
      <c r="D3953" s="15">
        <v>0</v>
      </c>
      <c r="E3953" s="15">
        <v>3</v>
      </c>
      <c r="F3953" s="15">
        <v>7</v>
      </c>
      <c r="G3953" s="15">
        <v>0</v>
      </c>
      <c r="H3953" s="15">
        <v>0</v>
      </c>
    </row>
    <row r="3954" spans="2:8">
      <c r="B3954" s="17" t="s">
        <v>9897</v>
      </c>
      <c r="C3954" s="246" t="s">
        <v>4289</v>
      </c>
      <c r="D3954" s="18">
        <v>0</v>
      </c>
      <c r="E3954" s="18">
        <v>0</v>
      </c>
      <c r="F3954" s="18">
        <v>0</v>
      </c>
      <c r="G3954" s="18">
        <v>0</v>
      </c>
      <c r="H3954" s="18">
        <v>0</v>
      </c>
    </row>
    <row r="3955" spans="2:8">
      <c r="B3955" s="14" t="s">
        <v>9898</v>
      </c>
      <c r="C3955" s="245" t="s">
        <v>4290</v>
      </c>
      <c r="D3955" s="15">
        <v>0</v>
      </c>
      <c r="E3955" s="15">
        <v>0</v>
      </c>
      <c r="F3955" s="15">
        <v>0</v>
      </c>
      <c r="G3955" s="15">
        <v>0</v>
      </c>
      <c r="H3955" s="15">
        <v>0</v>
      </c>
    </row>
    <row r="3956" spans="2:8">
      <c r="B3956" s="17" t="s">
        <v>9899</v>
      </c>
      <c r="C3956" s="246" t="s">
        <v>4291</v>
      </c>
      <c r="D3956" s="18">
        <v>0</v>
      </c>
      <c r="E3956" s="18">
        <v>0</v>
      </c>
      <c r="F3956" s="18">
        <v>0</v>
      </c>
      <c r="G3956" s="18">
        <v>0</v>
      </c>
      <c r="H3956" s="18">
        <v>0</v>
      </c>
    </row>
    <row r="3957" spans="2:8">
      <c r="B3957" s="14" t="s">
        <v>9900</v>
      </c>
      <c r="C3957" s="245" t="s">
        <v>4292</v>
      </c>
      <c r="D3957" s="15">
        <v>0</v>
      </c>
      <c r="E3957" s="15">
        <v>0</v>
      </c>
      <c r="F3957" s="15">
        <v>0</v>
      </c>
      <c r="G3957" s="15">
        <v>0</v>
      </c>
      <c r="H3957" s="15">
        <v>0</v>
      </c>
    </row>
    <row r="3958" spans="2:8">
      <c r="B3958" s="17" t="s">
        <v>9901</v>
      </c>
      <c r="C3958" s="246" t="s">
        <v>4293</v>
      </c>
      <c r="D3958" s="18">
        <v>0</v>
      </c>
      <c r="E3958" s="18">
        <v>0</v>
      </c>
      <c r="F3958" s="18">
        <v>0</v>
      </c>
      <c r="G3958" s="18">
        <v>0</v>
      </c>
      <c r="H3958" s="18">
        <v>0</v>
      </c>
    </row>
    <row r="3959" spans="2:8">
      <c r="B3959" s="14" t="s">
        <v>9902</v>
      </c>
      <c r="C3959" s="245" t="s">
        <v>4294</v>
      </c>
      <c r="D3959" s="15">
        <v>0</v>
      </c>
      <c r="E3959" s="15">
        <v>0</v>
      </c>
      <c r="F3959" s="15">
        <v>0</v>
      </c>
      <c r="G3959" s="15">
        <v>0</v>
      </c>
      <c r="H3959" s="15">
        <v>0</v>
      </c>
    </row>
    <row r="3960" spans="2:8">
      <c r="B3960" s="17" t="s">
        <v>9903</v>
      </c>
      <c r="C3960" s="246" t="s">
        <v>4295</v>
      </c>
      <c r="D3960" s="18">
        <v>0</v>
      </c>
      <c r="E3960" s="18">
        <v>0</v>
      </c>
      <c r="F3960" s="18">
        <v>0</v>
      </c>
      <c r="G3960" s="18">
        <v>0</v>
      </c>
      <c r="H3960" s="18">
        <v>0</v>
      </c>
    </row>
    <row r="3961" spans="2:8">
      <c r="B3961" s="14" t="s">
        <v>9904</v>
      </c>
      <c r="C3961" s="245" t="s">
        <v>4296</v>
      </c>
      <c r="D3961" s="15">
        <v>0</v>
      </c>
      <c r="E3961" s="15">
        <v>0</v>
      </c>
      <c r="F3961" s="15">
        <v>0</v>
      </c>
      <c r="G3961" s="15">
        <v>0</v>
      </c>
      <c r="H3961" s="15">
        <v>0</v>
      </c>
    </row>
    <row r="3962" spans="2:8">
      <c r="B3962" s="17" t="s">
        <v>9905</v>
      </c>
      <c r="C3962" s="246" t="s">
        <v>4297</v>
      </c>
      <c r="D3962" s="18">
        <v>0</v>
      </c>
      <c r="E3962" s="18">
        <v>0</v>
      </c>
      <c r="F3962" s="18">
        <v>0</v>
      </c>
      <c r="G3962" s="18">
        <v>0</v>
      </c>
      <c r="H3962" s="18">
        <v>0</v>
      </c>
    </row>
    <row r="3963" spans="2:8">
      <c r="B3963" s="14" t="s">
        <v>9906</v>
      </c>
      <c r="C3963" s="245" t="s">
        <v>4298</v>
      </c>
      <c r="D3963" s="15">
        <v>0</v>
      </c>
      <c r="E3963" s="15">
        <v>0</v>
      </c>
      <c r="F3963" s="15">
        <v>0</v>
      </c>
      <c r="G3963" s="15">
        <v>0</v>
      </c>
      <c r="H3963" s="15">
        <v>0</v>
      </c>
    </row>
    <row r="3964" spans="2:8">
      <c r="B3964" s="17" t="s">
        <v>9907</v>
      </c>
      <c r="C3964" s="246" t="s">
        <v>4299</v>
      </c>
      <c r="D3964" s="18">
        <v>0</v>
      </c>
      <c r="E3964" s="18">
        <v>0</v>
      </c>
      <c r="F3964" s="18">
        <v>0</v>
      </c>
      <c r="G3964" s="18">
        <v>0</v>
      </c>
      <c r="H3964" s="18">
        <v>0</v>
      </c>
    </row>
    <row r="3965" spans="2:8">
      <c r="B3965" s="14" t="s">
        <v>9908</v>
      </c>
      <c r="C3965" s="245" t="s">
        <v>4300</v>
      </c>
      <c r="D3965" s="15">
        <v>0</v>
      </c>
      <c r="E3965" s="15">
        <v>0</v>
      </c>
      <c r="F3965" s="15">
        <v>0</v>
      </c>
      <c r="G3965" s="15">
        <v>0</v>
      </c>
      <c r="H3965" s="15">
        <v>0</v>
      </c>
    </row>
    <row r="3966" spans="2:8">
      <c r="B3966" s="17" t="s">
        <v>9909</v>
      </c>
      <c r="C3966" s="246" t="s">
        <v>4301</v>
      </c>
      <c r="D3966" s="18">
        <v>0</v>
      </c>
      <c r="E3966" s="18">
        <v>0</v>
      </c>
      <c r="F3966" s="18">
        <v>0</v>
      </c>
      <c r="G3966" s="18">
        <v>0</v>
      </c>
      <c r="H3966" s="18">
        <v>0</v>
      </c>
    </row>
    <row r="3967" spans="2:8">
      <c r="B3967" s="14" t="s">
        <v>9910</v>
      </c>
      <c r="C3967" s="245" t="s">
        <v>4302</v>
      </c>
      <c r="D3967" s="15">
        <v>0</v>
      </c>
      <c r="E3967" s="15">
        <v>0</v>
      </c>
      <c r="F3967" s="15">
        <v>0</v>
      </c>
      <c r="G3967" s="15">
        <v>0</v>
      </c>
      <c r="H3967" s="15">
        <v>0</v>
      </c>
    </row>
    <row r="3968" spans="2:8">
      <c r="B3968" s="17" t="s">
        <v>9911</v>
      </c>
      <c r="C3968" s="246" t="s">
        <v>4303</v>
      </c>
      <c r="D3968" s="18">
        <v>0</v>
      </c>
      <c r="E3968" s="18">
        <v>0</v>
      </c>
      <c r="F3968" s="18">
        <v>0</v>
      </c>
      <c r="G3968" s="18">
        <v>0</v>
      </c>
      <c r="H3968" s="18">
        <v>0</v>
      </c>
    </row>
    <row r="3969" spans="2:8">
      <c r="B3969" s="14" t="s">
        <v>9912</v>
      </c>
      <c r="C3969" s="245" t="s">
        <v>4304</v>
      </c>
      <c r="D3969" s="15">
        <v>0</v>
      </c>
      <c r="E3969" s="15">
        <v>0</v>
      </c>
      <c r="F3969" s="15">
        <v>0</v>
      </c>
      <c r="G3969" s="15">
        <v>0</v>
      </c>
      <c r="H3969" s="15">
        <v>0</v>
      </c>
    </row>
    <row r="3970" spans="2:8">
      <c r="B3970" s="17" t="s">
        <v>9913</v>
      </c>
      <c r="C3970" s="246" t="s">
        <v>4305</v>
      </c>
      <c r="D3970" s="18">
        <v>0</v>
      </c>
      <c r="E3970" s="18">
        <v>0</v>
      </c>
      <c r="F3970" s="18">
        <v>0</v>
      </c>
      <c r="G3970" s="18">
        <v>0</v>
      </c>
      <c r="H3970" s="18">
        <v>0</v>
      </c>
    </row>
    <row r="3971" spans="2:8">
      <c r="B3971" s="14" t="s">
        <v>9914</v>
      </c>
      <c r="C3971" s="245" t="s">
        <v>4306</v>
      </c>
      <c r="D3971" s="15">
        <v>0</v>
      </c>
      <c r="E3971" s="15">
        <v>0</v>
      </c>
      <c r="F3971" s="15">
        <v>0</v>
      </c>
      <c r="G3971" s="15">
        <v>0</v>
      </c>
      <c r="H3971" s="15">
        <v>0</v>
      </c>
    </row>
    <row r="3972" spans="2:8">
      <c r="B3972" s="17" t="s">
        <v>9915</v>
      </c>
      <c r="C3972" s="246" t="s">
        <v>4307</v>
      </c>
      <c r="D3972" s="18">
        <v>2</v>
      </c>
      <c r="E3972" s="18">
        <v>0</v>
      </c>
      <c r="F3972" s="18">
        <v>0</v>
      </c>
      <c r="G3972" s="18">
        <v>0</v>
      </c>
      <c r="H3972" s="18">
        <v>0</v>
      </c>
    </row>
    <row r="3973" spans="2:8">
      <c r="B3973" s="14" t="s">
        <v>9916</v>
      </c>
      <c r="C3973" s="245" t="s">
        <v>4308</v>
      </c>
      <c r="D3973" s="15">
        <v>0</v>
      </c>
      <c r="E3973" s="15">
        <v>0</v>
      </c>
      <c r="F3973" s="15">
        <v>0</v>
      </c>
      <c r="G3973" s="15">
        <v>5</v>
      </c>
      <c r="H3973" s="15">
        <v>0</v>
      </c>
    </row>
    <row r="3974" spans="2:8">
      <c r="B3974" s="17" t="s">
        <v>9917</v>
      </c>
      <c r="C3974" s="246" t="s">
        <v>4309</v>
      </c>
      <c r="D3974" s="18">
        <v>0</v>
      </c>
      <c r="E3974" s="18">
        <v>0</v>
      </c>
      <c r="F3974" s="18">
        <v>0</v>
      </c>
      <c r="G3974" s="18">
        <v>0</v>
      </c>
      <c r="H3974" s="18">
        <v>0</v>
      </c>
    </row>
    <row r="3975" spans="2:8">
      <c r="B3975" s="14" t="s">
        <v>9918</v>
      </c>
      <c r="C3975" s="245" t="s">
        <v>4310</v>
      </c>
      <c r="D3975" s="15">
        <v>0</v>
      </c>
      <c r="E3975" s="15">
        <v>0</v>
      </c>
      <c r="F3975" s="15">
        <v>0</v>
      </c>
      <c r="G3975" s="15">
        <v>0</v>
      </c>
      <c r="H3975" s="15">
        <v>0</v>
      </c>
    </row>
    <row r="3976" spans="2:8">
      <c r="B3976" s="17" t="s">
        <v>9919</v>
      </c>
      <c r="C3976" s="246" t="s">
        <v>4311</v>
      </c>
      <c r="D3976" s="18">
        <v>0</v>
      </c>
      <c r="E3976" s="18">
        <v>0</v>
      </c>
      <c r="F3976" s="18">
        <v>0</v>
      </c>
      <c r="G3976" s="18">
        <v>0</v>
      </c>
      <c r="H3976" s="18">
        <v>0</v>
      </c>
    </row>
    <row r="3977" spans="2:8">
      <c r="B3977" s="14" t="s">
        <v>9920</v>
      </c>
      <c r="C3977" s="245" t="s">
        <v>4312</v>
      </c>
      <c r="D3977" s="15">
        <v>0</v>
      </c>
      <c r="E3977" s="15">
        <v>0</v>
      </c>
      <c r="F3977" s="15">
        <v>12</v>
      </c>
      <c r="G3977" s="15">
        <v>0</v>
      </c>
      <c r="H3977" s="15">
        <v>0</v>
      </c>
    </row>
    <row r="3978" spans="2:8">
      <c r="B3978" s="17" t="s">
        <v>9921</v>
      </c>
      <c r="C3978" s="246" t="s">
        <v>4313</v>
      </c>
      <c r="D3978" s="18">
        <v>0</v>
      </c>
      <c r="E3978" s="18">
        <v>0</v>
      </c>
      <c r="F3978" s="18">
        <v>0</v>
      </c>
      <c r="G3978" s="18">
        <v>0</v>
      </c>
      <c r="H3978" s="18">
        <v>0</v>
      </c>
    </row>
    <row r="3979" spans="2:8">
      <c r="B3979" s="14" t="s">
        <v>9922</v>
      </c>
      <c r="C3979" s="245" t="s">
        <v>4314</v>
      </c>
      <c r="D3979" s="15">
        <v>0</v>
      </c>
      <c r="E3979" s="15">
        <v>0</v>
      </c>
      <c r="F3979" s="15">
        <v>0</v>
      </c>
      <c r="G3979" s="15">
        <v>0</v>
      </c>
      <c r="H3979" s="15">
        <v>0</v>
      </c>
    </row>
    <row r="3980" spans="2:8">
      <c r="B3980" s="17" t="s">
        <v>9923</v>
      </c>
      <c r="C3980" s="246" t="s">
        <v>4315</v>
      </c>
      <c r="D3980" s="18">
        <v>0</v>
      </c>
      <c r="E3980" s="18">
        <v>0</v>
      </c>
      <c r="F3980" s="18">
        <v>0</v>
      </c>
      <c r="G3980" s="18">
        <v>0</v>
      </c>
      <c r="H3980" s="18">
        <v>0</v>
      </c>
    </row>
    <row r="3981" spans="2:8">
      <c r="B3981" s="14" t="s">
        <v>9924</v>
      </c>
      <c r="C3981" s="245" t="s">
        <v>4316</v>
      </c>
      <c r="D3981" s="15">
        <v>0</v>
      </c>
      <c r="E3981" s="15">
        <v>0</v>
      </c>
      <c r="F3981" s="15">
        <v>0</v>
      </c>
      <c r="G3981" s="15">
        <v>0</v>
      </c>
      <c r="H3981" s="15">
        <v>0</v>
      </c>
    </row>
    <row r="3982" spans="2:8">
      <c r="B3982" s="17" t="s">
        <v>9925</v>
      </c>
      <c r="C3982" s="246" t="s">
        <v>4317</v>
      </c>
      <c r="D3982" s="18">
        <v>0</v>
      </c>
      <c r="E3982" s="18">
        <v>0</v>
      </c>
      <c r="F3982" s="18">
        <v>0</v>
      </c>
      <c r="G3982" s="18">
        <v>0</v>
      </c>
      <c r="H3982" s="18">
        <v>0</v>
      </c>
    </row>
    <row r="3983" spans="2:8">
      <c r="B3983" s="14" t="s">
        <v>9926</v>
      </c>
      <c r="C3983" s="245" t="s">
        <v>4318</v>
      </c>
      <c r="D3983" s="15">
        <v>0</v>
      </c>
      <c r="E3983" s="15">
        <v>0</v>
      </c>
      <c r="F3983" s="15">
        <v>0</v>
      </c>
      <c r="G3983" s="15">
        <v>0</v>
      </c>
      <c r="H3983" s="15">
        <v>0</v>
      </c>
    </row>
    <row r="3984" spans="2:8">
      <c r="B3984" s="17" t="s">
        <v>9927</v>
      </c>
      <c r="C3984" s="246" t="s">
        <v>4319</v>
      </c>
      <c r="D3984" s="18">
        <v>0</v>
      </c>
      <c r="E3984" s="18">
        <v>0</v>
      </c>
      <c r="F3984" s="18">
        <v>0</v>
      </c>
      <c r="G3984" s="18">
        <v>0</v>
      </c>
      <c r="H3984" s="18">
        <v>0</v>
      </c>
    </row>
    <row r="3985" spans="2:8">
      <c r="B3985" s="14" t="s">
        <v>9928</v>
      </c>
      <c r="C3985" s="245" t="s">
        <v>2477</v>
      </c>
      <c r="D3985" s="15">
        <v>0</v>
      </c>
      <c r="E3985" s="15">
        <v>0</v>
      </c>
      <c r="F3985" s="15">
        <v>0</v>
      </c>
      <c r="G3985" s="15">
        <v>0</v>
      </c>
      <c r="H3985" s="15">
        <v>0</v>
      </c>
    </row>
    <row r="3986" spans="2:8">
      <c r="B3986" s="17" t="s">
        <v>9929</v>
      </c>
      <c r="C3986" s="246" t="s">
        <v>1884</v>
      </c>
      <c r="D3986" s="18">
        <v>0</v>
      </c>
      <c r="E3986" s="18">
        <v>0</v>
      </c>
      <c r="F3986" s="18">
        <v>0</v>
      </c>
      <c r="G3986" s="18">
        <v>0</v>
      </c>
      <c r="H3986" s="18">
        <v>0</v>
      </c>
    </row>
    <row r="3987" spans="2:8">
      <c r="B3987" s="14" t="s">
        <v>9930</v>
      </c>
      <c r="C3987" s="245" t="s">
        <v>1885</v>
      </c>
      <c r="D3987" s="15">
        <v>0</v>
      </c>
      <c r="E3987" s="15">
        <v>0</v>
      </c>
      <c r="F3987" s="15">
        <v>0</v>
      </c>
      <c r="G3987" s="15">
        <v>0</v>
      </c>
      <c r="H3987" s="15">
        <v>0</v>
      </c>
    </row>
    <row r="3988" spans="2:8">
      <c r="B3988" s="17" t="s">
        <v>9931</v>
      </c>
      <c r="C3988" s="246" t="s">
        <v>4320</v>
      </c>
      <c r="D3988" s="18">
        <v>0</v>
      </c>
      <c r="E3988" s="18">
        <v>0</v>
      </c>
      <c r="F3988" s="18">
        <v>0</v>
      </c>
      <c r="G3988" s="18">
        <v>0</v>
      </c>
      <c r="H3988" s="18">
        <v>0</v>
      </c>
    </row>
    <row r="3989" spans="2:8">
      <c r="B3989" s="14" t="s">
        <v>9932</v>
      </c>
      <c r="C3989" s="245" t="s">
        <v>4321</v>
      </c>
      <c r="D3989" s="15">
        <v>0</v>
      </c>
      <c r="E3989" s="15">
        <v>2</v>
      </c>
      <c r="F3989" s="15">
        <v>0</v>
      </c>
      <c r="G3989" s="15">
        <v>0</v>
      </c>
      <c r="H3989" s="15">
        <v>0</v>
      </c>
    </row>
    <row r="3990" spans="2:8">
      <c r="B3990" s="17" t="s">
        <v>9933</v>
      </c>
      <c r="C3990" s="246" t="s">
        <v>4322</v>
      </c>
      <c r="D3990" s="18">
        <v>0</v>
      </c>
      <c r="E3990" s="18">
        <v>0</v>
      </c>
      <c r="F3990" s="18">
        <v>0</v>
      </c>
      <c r="G3990" s="18">
        <v>0</v>
      </c>
      <c r="H3990" s="18">
        <v>0</v>
      </c>
    </row>
    <row r="3991" spans="2:8">
      <c r="B3991" s="14" t="s">
        <v>9934</v>
      </c>
      <c r="C3991" s="245" t="s">
        <v>4323</v>
      </c>
      <c r="D3991" s="15">
        <v>0</v>
      </c>
      <c r="E3991" s="15">
        <v>0</v>
      </c>
      <c r="F3991" s="15">
        <v>0</v>
      </c>
      <c r="G3991" s="15">
        <v>0</v>
      </c>
      <c r="H3991" s="15">
        <v>0</v>
      </c>
    </row>
    <row r="3992" spans="2:8">
      <c r="B3992" s="17" t="s">
        <v>9935</v>
      </c>
      <c r="C3992" s="246" t="s">
        <v>4324</v>
      </c>
      <c r="D3992" s="18">
        <v>0</v>
      </c>
      <c r="E3992" s="18">
        <v>0</v>
      </c>
      <c r="F3992" s="18">
        <v>0</v>
      </c>
      <c r="G3992" s="18">
        <v>0</v>
      </c>
      <c r="H3992" s="18">
        <v>0</v>
      </c>
    </row>
    <row r="3993" spans="2:8">
      <c r="B3993" s="14" t="s">
        <v>9936</v>
      </c>
      <c r="C3993" s="245" t="s">
        <v>1162</v>
      </c>
      <c r="D3993" s="15">
        <v>0</v>
      </c>
      <c r="E3993" s="15">
        <v>0</v>
      </c>
      <c r="F3993" s="15">
        <v>0</v>
      </c>
      <c r="G3993" s="15">
        <v>0</v>
      </c>
      <c r="H3993" s="15">
        <v>0</v>
      </c>
    </row>
    <row r="3994" spans="2:8">
      <c r="B3994" s="17" t="s">
        <v>9937</v>
      </c>
      <c r="C3994" s="246" t="s">
        <v>4325</v>
      </c>
      <c r="D3994" s="18">
        <v>0</v>
      </c>
      <c r="E3994" s="18">
        <v>0</v>
      </c>
      <c r="F3994" s="18">
        <v>0</v>
      </c>
      <c r="G3994" s="18">
        <v>0</v>
      </c>
      <c r="H3994" s="18">
        <v>0</v>
      </c>
    </row>
    <row r="3995" spans="2:8">
      <c r="B3995" s="14" t="s">
        <v>9938</v>
      </c>
      <c r="C3995" s="245" t="s">
        <v>1891</v>
      </c>
      <c r="D3995" s="15">
        <v>0</v>
      </c>
      <c r="E3995" s="15">
        <v>0</v>
      </c>
      <c r="F3995" s="15">
        <v>0</v>
      </c>
      <c r="G3995" s="15">
        <v>0</v>
      </c>
      <c r="H3995" s="15">
        <v>0</v>
      </c>
    </row>
    <row r="3996" spans="2:8">
      <c r="B3996" s="17" t="s">
        <v>9939</v>
      </c>
      <c r="C3996" s="246" t="s">
        <v>4326</v>
      </c>
      <c r="D3996" s="18">
        <v>0</v>
      </c>
      <c r="E3996" s="18">
        <v>0</v>
      </c>
      <c r="F3996" s="18">
        <v>0</v>
      </c>
      <c r="G3996" s="18">
        <v>0</v>
      </c>
      <c r="H3996" s="18">
        <v>0</v>
      </c>
    </row>
    <row r="3997" spans="2:8">
      <c r="B3997" s="14" t="s">
        <v>9940</v>
      </c>
      <c r="C3997" s="245" t="s">
        <v>3580</v>
      </c>
      <c r="D3997" s="15">
        <v>0</v>
      </c>
      <c r="E3997" s="15">
        <v>0</v>
      </c>
      <c r="F3997" s="15">
        <v>0</v>
      </c>
      <c r="G3997" s="15">
        <v>0</v>
      </c>
      <c r="H3997" s="15">
        <v>0</v>
      </c>
    </row>
    <row r="3998" spans="2:8">
      <c r="B3998" s="17" t="s">
        <v>9941</v>
      </c>
      <c r="C3998" s="246" t="s">
        <v>4327</v>
      </c>
      <c r="D3998" s="18">
        <v>0</v>
      </c>
      <c r="E3998" s="18">
        <v>0</v>
      </c>
      <c r="F3998" s="18">
        <v>0</v>
      </c>
      <c r="G3998" s="18">
        <v>0</v>
      </c>
      <c r="H3998" s="18">
        <v>0</v>
      </c>
    </row>
    <row r="3999" spans="2:8">
      <c r="B3999" s="14" t="s">
        <v>9942</v>
      </c>
      <c r="C3999" s="245" t="s">
        <v>4328</v>
      </c>
      <c r="D3999" s="15">
        <v>0</v>
      </c>
      <c r="E3999" s="15">
        <v>0</v>
      </c>
      <c r="F3999" s="15">
        <v>0</v>
      </c>
      <c r="G3999" s="15">
        <v>0</v>
      </c>
      <c r="H3999" s="15">
        <v>0</v>
      </c>
    </row>
    <row r="4000" spans="2:8">
      <c r="B4000" s="17" t="s">
        <v>9943</v>
      </c>
      <c r="C4000" s="246" t="s">
        <v>4329</v>
      </c>
      <c r="D4000" s="18">
        <v>0</v>
      </c>
      <c r="E4000" s="18">
        <v>0</v>
      </c>
      <c r="F4000" s="18">
        <v>0</v>
      </c>
      <c r="G4000" s="18">
        <v>0</v>
      </c>
      <c r="H4000" s="18">
        <v>0</v>
      </c>
    </row>
    <row r="4001" spans="2:8">
      <c r="B4001" s="14" t="s">
        <v>9944</v>
      </c>
      <c r="C4001" s="245" t="s">
        <v>4330</v>
      </c>
      <c r="D4001" s="15">
        <v>0</v>
      </c>
      <c r="E4001" s="15">
        <v>0</v>
      </c>
      <c r="F4001" s="15">
        <v>0</v>
      </c>
      <c r="G4001" s="15">
        <v>0</v>
      </c>
      <c r="H4001" s="15">
        <v>0</v>
      </c>
    </row>
    <row r="4002" spans="2:8">
      <c r="B4002" s="17" t="s">
        <v>9945</v>
      </c>
      <c r="C4002" s="246" t="s">
        <v>1898</v>
      </c>
      <c r="D4002" s="18">
        <v>0</v>
      </c>
      <c r="E4002" s="18">
        <v>0</v>
      </c>
      <c r="F4002" s="18">
        <v>0</v>
      </c>
      <c r="G4002" s="18">
        <v>0</v>
      </c>
      <c r="H4002" s="18">
        <v>0</v>
      </c>
    </row>
    <row r="4003" spans="2:8">
      <c r="B4003" s="14" t="s">
        <v>9946</v>
      </c>
      <c r="C4003" s="245" t="s">
        <v>4331</v>
      </c>
      <c r="D4003" s="15">
        <v>0</v>
      </c>
      <c r="E4003" s="15">
        <v>0</v>
      </c>
      <c r="F4003" s="15">
        <v>0</v>
      </c>
      <c r="G4003" s="15">
        <v>0</v>
      </c>
      <c r="H4003" s="15">
        <v>0</v>
      </c>
    </row>
    <row r="4004" spans="2:8">
      <c r="B4004" s="17" t="s">
        <v>9947</v>
      </c>
      <c r="C4004" s="246" t="s">
        <v>4332</v>
      </c>
      <c r="D4004" s="18">
        <v>29</v>
      </c>
      <c r="E4004" s="18">
        <v>20</v>
      </c>
      <c r="F4004" s="18">
        <v>34</v>
      </c>
      <c r="G4004" s="18">
        <v>37</v>
      </c>
      <c r="H4004" s="18">
        <v>0</v>
      </c>
    </row>
    <row r="4005" spans="2:8">
      <c r="B4005" s="14" t="s">
        <v>9948</v>
      </c>
      <c r="C4005" s="245" t="s">
        <v>4333</v>
      </c>
      <c r="D4005" s="15">
        <v>0</v>
      </c>
      <c r="E4005" s="15">
        <v>0</v>
      </c>
      <c r="F4005" s="15">
        <v>0</v>
      </c>
      <c r="G4005" s="15">
        <v>0</v>
      </c>
      <c r="H4005" s="15">
        <v>0</v>
      </c>
    </row>
    <row r="4006" spans="2:8">
      <c r="B4006" s="17" t="s">
        <v>9949</v>
      </c>
      <c r="C4006" s="246" t="s">
        <v>4334</v>
      </c>
      <c r="D4006" s="18">
        <v>0</v>
      </c>
      <c r="E4006" s="18">
        <v>0</v>
      </c>
      <c r="F4006" s="18">
        <v>0</v>
      </c>
      <c r="G4006" s="18">
        <v>4</v>
      </c>
      <c r="H4006" s="18">
        <v>0</v>
      </c>
    </row>
    <row r="4007" spans="2:8">
      <c r="B4007" s="14" t="s">
        <v>9950</v>
      </c>
      <c r="C4007" s="245" t="s">
        <v>4335</v>
      </c>
      <c r="D4007" s="15">
        <v>0</v>
      </c>
      <c r="E4007" s="15">
        <v>4</v>
      </c>
      <c r="F4007" s="15">
        <v>0</v>
      </c>
      <c r="G4007" s="15">
        <v>0</v>
      </c>
      <c r="H4007" s="15">
        <v>0</v>
      </c>
    </row>
    <row r="4008" spans="2:8">
      <c r="B4008" s="17" t="s">
        <v>9951</v>
      </c>
      <c r="C4008" s="246" t="s">
        <v>4336</v>
      </c>
      <c r="D4008" s="18">
        <v>1069</v>
      </c>
      <c r="E4008" s="18">
        <v>704</v>
      </c>
      <c r="F4008" s="18">
        <v>3</v>
      </c>
      <c r="G4008" s="18">
        <v>4</v>
      </c>
      <c r="H4008" s="18">
        <v>0</v>
      </c>
    </row>
    <row r="4009" spans="2:8">
      <c r="B4009" s="14" t="s">
        <v>9952</v>
      </c>
      <c r="C4009" s="245" t="s">
        <v>4337</v>
      </c>
      <c r="D4009" s="15">
        <v>0</v>
      </c>
      <c r="E4009" s="15">
        <v>0</v>
      </c>
      <c r="F4009" s="15">
        <v>0</v>
      </c>
      <c r="G4009" s="15">
        <v>0</v>
      </c>
      <c r="H4009" s="15">
        <v>0</v>
      </c>
    </row>
    <row r="4010" spans="2:8">
      <c r="B4010" s="17" t="s">
        <v>9953</v>
      </c>
      <c r="C4010" s="246" t="s">
        <v>4338</v>
      </c>
      <c r="D4010" s="18">
        <v>0</v>
      </c>
      <c r="E4010" s="18">
        <v>0</v>
      </c>
      <c r="F4010" s="18">
        <v>0</v>
      </c>
      <c r="G4010" s="18">
        <v>49</v>
      </c>
      <c r="H4010" s="18">
        <v>0</v>
      </c>
    </row>
    <row r="4011" spans="2:8">
      <c r="B4011" s="14" t="s">
        <v>9954</v>
      </c>
      <c r="C4011" s="245" t="s">
        <v>4339</v>
      </c>
      <c r="D4011" s="15">
        <v>0</v>
      </c>
      <c r="E4011" s="15">
        <v>0</v>
      </c>
      <c r="F4011" s="15">
        <v>431</v>
      </c>
      <c r="G4011" s="15">
        <v>333</v>
      </c>
      <c r="H4011" s="15">
        <v>0</v>
      </c>
    </row>
    <row r="4012" spans="2:8">
      <c r="B4012" s="17" t="s">
        <v>9955</v>
      </c>
      <c r="C4012" s="246" t="s">
        <v>4340</v>
      </c>
      <c r="D4012" s="18">
        <v>0</v>
      </c>
      <c r="E4012" s="18">
        <v>0</v>
      </c>
      <c r="F4012" s="18">
        <v>0</v>
      </c>
      <c r="G4012" s="18">
        <v>0</v>
      </c>
      <c r="H4012" s="18">
        <v>0</v>
      </c>
    </row>
    <row r="4013" spans="2:8">
      <c r="B4013" s="14" t="s">
        <v>9956</v>
      </c>
      <c r="C4013" s="245" t="s">
        <v>4341</v>
      </c>
      <c r="D4013" s="15">
        <v>0</v>
      </c>
      <c r="E4013" s="15">
        <v>0</v>
      </c>
      <c r="F4013" s="15">
        <v>0</v>
      </c>
      <c r="G4013" s="15">
        <v>0</v>
      </c>
      <c r="H4013" s="15">
        <v>0</v>
      </c>
    </row>
    <row r="4014" spans="2:8">
      <c r="B4014" s="17" t="s">
        <v>9957</v>
      </c>
      <c r="C4014" s="246" t="s">
        <v>4342</v>
      </c>
      <c r="D4014" s="18">
        <v>0</v>
      </c>
      <c r="E4014" s="18">
        <v>0</v>
      </c>
      <c r="F4014" s="18">
        <v>0</v>
      </c>
      <c r="G4014" s="18">
        <v>0</v>
      </c>
      <c r="H4014" s="18">
        <v>0</v>
      </c>
    </row>
    <row r="4015" spans="2:8">
      <c r="B4015" s="14" t="s">
        <v>9958</v>
      </c>
      <c r="C4015" s="245" t="s">
        <v>4343</v>
      </c>
      <c r="D4015" s="15">
        <v>4</v>
      </c>
      <c r="E4015" s="15">
        <v>0</v>
      </c>
      <c r="F4015" s="15">
        <v>0</v>
      </c>
      <c r="G4015" s="15">
        <v>0</v>
      </c>
      <c r="H4015" s="15">
        <v>0</v>
      </c>
    </row>
    <row r="4016" spans="2:8">
      <c r="B4016" s="17" t="s">
        <v>9959</v>
      </c>
      <c r="C4016" s="246" t="s">
        <v>4344</v>
      </c>
      <c r="D4016" s="18">
        <v>0</v>
      </c>
      <c r="E4016" s="18">
        <v>0</v>
      </c>
      <c r="F4016" s="18">
        <v>0</v>
      </c>
      <c r="G4016" s="18">
        <v>0</v>
      </c>
      <c r="H4016" s="18">
        <v>0</v>
      </c>
    </row>
    <row r="4017" spans="2:8">
      <c r="B4017" s="14" t="s">
        <v>9960</v>
      </c>
      <c r="C4017" s="245" t="s">
        <v>4345</v>
      </c>
      <c r="D4017" s="15">
        <v>0</v>
      </c>
      <c r="E4017" s="15">
        <v>0</v>
      </c>
      <c r="F4017" s="15">
        <v>0</v>
      </c>
      <c r="G4017" s="15">
        <v>0</v>
      </c>
      <c r="H4017" s="15">
        <v>0</v>
      </c>
    </row>
    <row r="4018" spans="2:8">
      <c r="B4018" s="17" t="s">
        <v>9961</v>
      </c>
      <c r="C4018" s="246" t="s">
        <v>4346</v>
      </c>
      <c r="D4018" s="18">
        <v>0</v>
      </c>
      <c r="E4018" s="18">
        <v>0</v>
      </c>
      <c r="F4018" s="18">
        <v>0</v>
      </c>
      <c r="G4018" s="18">
        <v>0</v>
      </c>
      <c r="H4018" s="18">
        <v>0</v>
      </c>
    </row>
    <row r="4019" spans="2:8">
      <c r="B4019" s="14" t="s">
        <v>9962</v>
      </c>
      <c r="C4019" s="245" t="s">
        <v>4347</v>
      </c>
      <c r="D4019" s="15">
        <v>0</v>
      </c>
      <c r="E4019" s="15">
        <v>0</v>
      </c>
      <c r="F4019" s="15">
        <v>0</v>
      </c>
      <c r="G4019" s="15">
        <v>0</v>
      </c>
      <c r="H4019" s="15">
        <v>0</v>
      </c>
    </row>
    <row r="4020" spans="2:8">
      <c r="B4020" s="17" t="s">
        <v>9963</v>
      </c>
      <c r="C4020" s="246" t="s">
        <v>4348</v>
      </c>
      <c r="D4020" s="18">
        <v>0</v>
      </c>
      <c r="E4020" s="18">
        <v>0</v>
      </c>
      <c r="F4020" s="18">
        <v>0</v>
      </c>
      <c r="G4020" s="18">
        <v>0</v>
      </c>
      <c r="H4020" s="18">
        <v>0</v>
      </c>
    </row>
    <row r="4021" spans="2:8">
      <c r="B4021" s="14" t="s">
        <v>9964</v>
      </c>
      <c r="C4021" s="245" t="s">
        <v>4349</v>
      </c>
      <c r="D4021" s="15">
        <v>0</v>
      </c>
      <c r="E4021" s="15">
        <v>0</v>
      </c>
      <c r="F4021" s="15">
        <v>0</v>
      </c>
      <c r="G4021" s="15">
        <v>2</v>
      </c>
      <c r="H4021" s="15">
        <v>0</v>
      </c>
    </row>
    <row r="4022" spans="2:8">
      <c r="B4022" s="17" t="s">
        <v>9965</v>
      </c>
      <c r="C4022" s="246" t="s">
        <v>4350</v>
      </c>
      <c r="D4022" s="18">
        <v>0</v>
      </c>
      <c r="E4022" s="18">
        <v>0</v>
      </c>
      <c r="F4022" s="18">
        <v>0</v>
      </c>
      <c r="G4022" s="18">
        <v>0</v>
      </c>
      <c r="H4022" s="18">
        <v>0</v>
      </c>
    </row>
    <row r="4023" spans="2:8">
      <c r="B4023" s="14" t="s">
        <v>9966</v>
      </c>
      <c r="C4023" s="245" t="s">
        <v>4351</v>
      </c>
      <c r="D4023" s="15">
        <v>0</v>
      </c>
      <c r="E4023" s="15">
        <v>0</v>
      </c>
      <c r="F4023" s="15">
        <v>0</v>
      </c>
      <c r="G4023" s="15">
        <v>0</v>
      </c>
      <c r="H4023" s="15">
        <v>0</v>
      </c>
    </row>
    <row r="4024" spans="2:8">
      <c r="B4024" s="17" t="s">
        <v>9967</v>
      </c>
      <c r="C4024" s="246" t="s">
        <v>4352</v>
      </c>
      <c r="D4024" s="18">
        <v>0</v>
      </c>
      <c r="E4024" s="18">
        <v>0</v>
      </c>
      <c r="F4024" s="18">
        <v>0</v>
      </c>
      <c r="G4024" s="18">
        <v>0</v>
      </c>
      <c r="H4024" s="18">
        <v>0</v>
      </c>
    </row>
    <row r="4025" spans="2:8">
      <c r="B4025" s="14" t="s">
        <v>9968</v>
      </c>
      <c r="C4025" s="245" t="s">
        <v>4353</v>
      </c>
      <c r="D4025" s="15">
        <v>0</v>
      </c>
      <c r="E4025" s="15">
        <v>0</v>
      </c>
      <c r="F4025" s="15">
        <v>0</v>
      </c>
      <c r="G4025" s="15">
        <v>0</v>
      </c>
      <c r="H4025" s="15">
        <v>0</v>
      </c>
    </row>
    <row r="4026" spans="2:8">
      <c r="B4026" s="17" t="s">
        <v>9969</v>
      </c>
      <c r="C4026" s="246" t="s">
        <v>4354</v>
      </c>
      <c r="D4026" s="18">
        <v>0</v>
      </c>
      <c r="E4026" s="18">
        <v>0</v>
      </c>
      <c r="F4026" s="18">
        <v>0</v>
      </c>
      <c r="G4026" s="18">
        <v>0</v>
      </c>
      <c r="H4026" s="18">
        <v>0</v>
      </c>
    </row>
    <row r="4027" spans="2:8">
      <c r="B4027" s="14" t="s">
        <v>9970</v>
      </c>
      <c r="C4027" s="245" t="s">
        <v>4355</v>
      </c>
      <c r="D4027" s="15">
        <v>0</v>
      </c>
      <c r="E4027" s="15">
        <v>0</v>
      </c>
      <c r="F4027" s="15">
        <v>0</v>
      </c>
      <c r="G4027" s="15">
        <v>0</v>
      </c>
      <c r="H4027" s="15">
        <v>0</v>
      </c>
    </row>
    <row r="4028" spans="2:8">
      <c r="B4028" s="17" t="s">
        <v>9971</v>
      </c>
      <c r="C4028" s="246" t="s">
        <v>4356</v>
      </c>
      <c r="D4028" s="18">
        <v>0</v>
      </c>
      <c r="E4028" s="18">
        <v>0</v>
      </c>
      <c r="F4028" s="18">
        <v>0</v>
      </c>
      <c r="G4028" s="18">
        <v>0</v>
      </c>
      <c r="H4028" s="18">
        <v>0</v>
      </c>
    </row>
    <row r="4029" spans="2:8">
      <c r="B4029" s="14" t="s">
        <v>9972</v>
      </c>
      <c r="C4029" s="245" t="s">
        <v>4357</v>
      </c>
      <c r="D4029" s="15">
        <v>0</v>
      </c>
      <c r="E4029" s="15">
        <v>0</v>
      </c>
      <c r="F4029" s="15">
        <v>0</v>
      </c>
      <c r="G4029" s="15">
        <v>0</v>
      </c>
      <c r="H4029" s="15">
        <v>0</v>
      </c>
    </row>
    <row r="4030" spans="2:8">
      <c r="B4030" s="17" t="s">
        <v>9973</v>
      </c>
      <c r="C4030" s="246" t="s">
        <v>4358</v>
      </c>
      <c r="D4030" s="18">
        <v>0</v>
      </c>
      <c r="E4030" s="18">
        <v>0</v>
      </c>
      <c r="F4030" s="18">
        <v>0</v>
      </c>
      <c r="G4030" s="18">
        <v>0</v>
      </c>
      <c r="H4030" s="18">
        <v>0</v>
      </c>
    </row>
    <row r="4031" spans="2:8">
      <c r="B4031" s="14" t="s">
        <v>9974</v>
      </c>
      <c r="C4031" s="245" t="s">
        <v>4359</v>
      </c>
      <c r="D4031" s="15">
        <v>0</v>
      </c>
      <c r="E4031" s="15">
        <v>0</v>
      </c>
      <c r="F4031" s="15">
        <v>0</v>
      </c>
      <c r="G4031" s="15">
        <v>0</v>
      </c>
      <c r="H4031" s="15">
        <v>0</v>
      </c>
    </row>
    <row r="4032" spans="2:8">
      <c r="B4032" s="17" t="s">
        <v>9975</v>
      </c>
      <c r="C4032" s="246" t="s">
        <v>4360</v>
      </c>
      <c r="D4032" s="18">
        <v>0</v>
      </c>
      <c r="E4032" s="18">
        <v>0</v>
      </c>
      <c r="F4032" s="18">
        <v>0</v>
      </c>
      <c r="G4032" s="18">
        <v>0</v>
      </c>
      <c r="H4032" s="18">
        <v>0</v>
      </c>
    </row>
    <row r="4033" spans="2:8">
      <c r="B4033" s="14" t="s">
        <v>9976</v>
      </c>
      <c r="C4033" s="245" t="s">
        <v>4361</v>
      </c>
      <c r="D4033" s="15">
        <v>0</v>
      </c>
      <c r="E4033" s="15">
        <v>0</v>
      </c>
      <c r="F4033" s="15">
        <v>0</v>
      </c>
      <c r="G4033" s="15">
        <v>0</v>
      </c>
      <c r="H4033" s="15">
        <v>0</v>
      </c>
    </row>
    <row r="4034" spans="2:8">
      <c r="B4034" s="17" t="s">
        <v>9977</v>
      </c>
      <c r="C4034" s="246" t="s">
        <v>4362</v>
      </c>
      <c r="D4034" s="18">
        <v>0</v>
      </c>
      <c r="E4034" s="18">
        <v>0</v>
      </c>
      <c r="F4034" s="18">
        <v>0</v>
      </c>
      <c r="G4034" s="18">
        <v>46</v>
      </c>
      <c r="H4034" s="18">
        <v>0</v>
      </c>
    </row>
    <row r="4035" spans="2:8">
      <c r="B4035" s="14" t="s">
        <v>9978</v>
      </c>
      <c r="C4035" s="245" t="s">
        <v>4363</v>
      </c>
      <c r="D4035" s="15">
        <v>0</v>
      </c>
      <c r="E4035" s="15">
        <v>0</v>
      </c>
      <c r="F4035" s="15">
        <v>0</v>
      </c>
      <c r="G4035" s="15">
        <v>0</v>
      </c>
      <c r="H4035" s="15">
        <v>0</v>
      </c>
    </row>
    <row r="4036" spans="2:8">
      <c r="B4036" s="17" t="s">
        <v>9979</v>
      </c>
      <c r="C4036" s="246" t="s">
        <v>4364</v>
      </c>
      <c r="D4036" s="18">
        <v>0</v>
      </c>
      <c r="E4036" s="18">
        <v>0</v>
      </c>
      <c r="F4036" s="18">
        <v>0</v>
      </c>
      <c r="G4036" s="18">
        <v>0</v>
      </c>
      <c r="H4036" s="18">
        <v>0</v>
      </c>
    </row>
    <row r="4037" spans="2:8">
      <c r="B4037" s="14" t="s">
        <v>9980</v>
      </c>
      <c r="C4037" s="245" t="s">
        <v>4365</v>
      </c>
      <c r="D4037" s="15">
        <v>0</v>
      </c>
      <c r="E4037" s="15">
        <v>0</v>
      </c>
      <c r="F4037" s="15">
        <v>0</v>
      </c>
      <c r="G4037" s="15">
        <v>0</v>
      </c>
      <c r="H4037" s="15">
        <v>0</v>
      </c>
    </row>
    <row r="4038" spans="2:8">
      <c r="B4038" s="17" t="s">
        <v>9981</v>
      </c>
      <c r="C4038" s="246" t="s">
        <v>4366</v>
      </c>
      <c r="D4038" s="18">
        <v>81</v>
      </c>
      <c r="E4038" s="18">
        <v>0</v>
      </c>
      <c r="F4038" s="18">
        <v>0</v>
      </c>
      <c r="G4038" s="18">
        <v>0</v>
      </c>
      <c r="H4038" s="18">
        <v>0</v>
      </c>
    </row>
    <row r="4039" spans="2:8">
      <c r="B4039" s="14" t="s">
        <v>9982</v>
      </c>
      <c r="C4039" s="245" t="s">
        <v>4367</v>
      </c>
      <c r="D4039" s="15">
        <v>0</v>
      </c>
      <c r="E4039" s="15">
        <v>0</v>
      </c>
      <c r="F4039" s="15">
        <v>0</v>
      </c>
      <c r="G4039" s="15">
        <v>0</v>
      </c>
      <c r="H4039" s="15">
        <v>0</v>
      </c>
    </row>
    <row r="4040" spans="2:8">
      <c r="B4040" s="17" t="s">
        <v>9983</v>
      </c>
      <c r="C4040" s="246" t="s">
        <v>4368</v>
      </c>
      <c r="D4040" s="18">
        <v>0</v>
      </c>
      <c r="E4040" s="18">
        <v>0</v>
      </c>
      <c r="F4040" s="18">
        <v>0</v>
      </c>
      <c r="G4040" s="18">
        <v>0</v>
      </c>
      <c r="H4040" s="18">
        <v>0</v>
      </c>
    </row>
    <row r="4041" spans="2:8">
      <c r="B4041" s="14" t="s">
        <v>9984</v>
      </c>
      <c r="C4041" s="245" t="s">
        <v>4369</v>
      </c>
      <c r="D4041" s="15">
        <v>0</v>
      </c>
      <c r="E4041" s="15">
        <v>0</v>
      </c>
      <c r="F4041" s="15">
        <v>0</v>
      </c>
      <c r="G4041" s="15">
        <v>19</v>
      </c>
      <c r="H4041" s="15">
        <v>0</v>
      </c>
    </row>
    <row r="4042" spans="2:8">
      <c r="B4042" s="17" t="s">
        <v>9985</v>
      </c>
      <c r="C4042" s="246" t="s">
        <v>4370</v>
      </c>
      <c r="D4042" s="18">
        <v>0</v>
      </c>
      <c r="E4042" s="18">
        <v>0</v>
      </c>
      <c r="F4042" s="18">
        <v>0</v>
      </c>
      <c r="G4042" s="18">
        <v>0</v>
      </c>
      <c r="H4042" s="18">
        <v>0</v>
      </c>
    </row>
    <row r="4043" spans="2:8">
      <c r="B4043" s="14" t="s">
        <v>9986</v>
      </c>
      <c r="C4043" s="245" t="s">
        <v>4371</v>
      </c>
      <c r="D4043" s="15">
        <v>0</v>
      </c>
      <c r="E4043" s="15">
        <v>0</v>
      </c>
      <c r="F4043" s="15">
        <v>0</v>
      </c>
      <c r="G4043" s="15">
        <v>0</v>
      </c>
      <c r="H4043" s="15">
        <v>0</v>
      </c>
    </row>
    <row r="4044" spans="2:8">
      <c r="B4044" s="17" t="s">
        <v>9987</v>
      </c>
      <c r="C4044" s="246" t="s">
        <v>4372</v>
      </c>
      <c r="D4044" s="18">
        <v>0</v>
      </c>
      <c r="E4044" s="18">
        <v>0</v>
      </c>
      <c r="F4044" s="18">
        <v>0</v>
      </c>
      <c r="G4044" s="18">
        <v>0</v>
      </c>
      <c r="H4044" s="18">
        <v>0</v>
      </c>
    </row>
    <row r="4045" spans="2:8">
      <c r="B4045" s="14" t="s">
        <v>9988</v>
      </c>
      <c r="C4045" s="245" t="s">
        <v>4373</v>
      </c>
      <c r="D4045" s="15">
        <v>0</v>
      </c>
      <c r="E4045" s="15">
        <v>0</v>
      </c>
      <c r="F4045" s="15">
        <v>0</v>
      </c>
      <c r="G4045" s="15">
        <v>0</v>
      </c>
      <c r="H4045" s="15">
        <v>0</v>
      </c>
    </row>
    <row r="4046" spans="2:8">
      <c r="B4046" s="17" t="s">
        <v>9989</v>
      </c>
      <c r="C4046" s="246" t="s">
        <v>4374</v>
      </c>
      <c r="D4046" s="18">
        <v>0</v>
      </c>
      <c r="E4046" s="18">
        <v>0</v>
      </c>
      <c r="F4046" s="18">
        <v>0</v>
      </c>
      <c r="G4046" s="18">
        <v>0</v>
      </c>
      <c r="H4046" s="18">
        <v>0</v>
      </c>
    </row>
    <row r="4047" spans="2:8">
      <c r="B4047" s="14" t="s">
        <v>9990</v>
      </c>
      <c r="C4047" s="245" t="s">
        <v>4375</v>
      </c>
      <c r="D4047" s="15">
        <v>0</v>
      </c>
      <c r="E4047" s="15">
        <v>0</v>
      </c>
      <c r="F4047" s="15">
        <v>0</v>
      </c>
      <c r="G4047" s="15">
        <v>0</v>
      </c>
      <c r="H4047" s="15">
        <v>0</v>
      </c>
    </row>
    <row r="4048" spans="2:8">
      <c r="B4048" s="17" t="s">
        <v>9991</v>
      </c>
      <c r="C4048" s="246" t="s">
        <v>4376</v>
      </c>
      <c r="D4048" s="18">
        <v>0</v>
      </c>
      <c r="E4048" s="18">
        <v>0</v>
      </c>
      <c r="F4048" s="18">
        <v>0</v>
      </c>
      <c r="G4048" s="18">
        <v>0</v>
      </c>
      <c r="H4048" s="18">
        <v>0</v>
      </c>
    </row>
    <row r="4049" spans="2:8">
      <c r="B4049" s="14" t="s">
        <v>9992</v>
      </c>
      <c r="C4049" s="245" t="s">
        <v>4377</v>
      </c>
      <c r="D4049" s="15">
        <v>0</v>
      </c>
      <c r="E4049" s="15">
        <v>0</v>
      </c>
      <c r="F4049" s="15">
        <v>0</v>
      </c>
      <c r="G4049" s="15">
        <v>0</v>
      </c>
      <c r="H4049" s="15">
        <v>0</v>
      </c>
    </row>
    <row r="4050" spans="2:8">
      <c r="B4050" s="17" t="s">
        <v>9993</v>
      </c>
      <c r="C4050" s="246" t="s">
        <v>4378</v>
      </c>
      <c r="D4050" s="18">
        <v>0</v>
      </c>
      <c r="E4050" s="18">
        <v>0</v>
      </c>
      <c r="F4050" s="18">
        <v>0</v>
      </c>
      <c r="G4050" s="18">
        <v>0</v>
      </c>
      <c r="H4050" s="18">
        <v>0</v>
      </c>
    </row>
    <row r="4051" spans="2:8">
      <c r="B4051" s="14" t="s">
        <v>9994</v>
      </c>
      <c r="C4051" s="245" t="s">
        <v>4379</v>
      </c>
      <c r="D4051" s="15">
        <v>0</v>
      </c>
      <c r="E4051" s="15">
        <v>0</v>
      </c>
      <c r="F4051" s="15">
        <v>0</v>
      </c>
      <c r="G4051" s="15">
        <v>0</v>
      </c>
      <c r="H4051" s="15">
        <v>0</v>
      </c>
    </row>
    <row r="4052" spans="2:8">
      <c r="B4052" s="17" t="s">
        <v>9995</v>
      </c>
      <c r="C4052" s="246" t="s">
        <v>4380</v>
      </c>
      <c r="D4052" s="18">
        <v>0</v>
      </c>
      <c r="E4052" s="18">
        <v>0</v>
      </c>
      <c r="F4052" s="18">
        <v>0</v>
      </c>
      <c r="G4052" s="18">
        <v>0</v>
      </c>
      <c r="H4052" s="18">
        <v>0</v>
      </c>
    </row>
    <row r="4053" spans="2:8">
      <c r="B4053" s="14" t="s">
        <v>9996</v>
      </c>
      <c r="C4053" s="245" t="s">
        <v>4381</v>
      </c>
      <c r="D4053" s="15">
        <v>0</v>
      </c>
      <c r="E4053" s="15">
        <v>0</v>
      </c>
      <c r="F4053" s="15">
        <v>0</v>
      </c>
      <c r="G4053" s="15">
        <v>0</v>
      </c>
      <c r="H4053" s="15">
        <v>0</v>
      </c>
    </row>
    <row r="4054" spans="2:8">
      <c r="B4054" s="17" t="s">
        <v>9997</v>
      </c>
      <c r="C4054" s="246" t="s">
        <v>4382</v>
      </c>
      <c r="D4054" s="18">
        <v>0</v>
      </c>
      <c r="E4054" s="18">
        <v>0</v>
      </c>
      <c r="F4054" s="18">
        <v>0</v>
      </c>
      <c r="G4054" s="18">
        <v>0</v>
      </c>
      <c r="H4054" s="18">
        <v>0</v>
      </c>
    </row>
    <row r="4055" spans="2:8">
      <c r="B4055" s="14" t="s">
        <v>9998</v>
      </c>
      <c r="C4055" s="245" t="s">
        <v>4383</v>
      </c>
      <c r="D4055" s="15">
        <v>0</v>
      </c>
      <c r="E4055" s="15">
        <v>0</v>
      </c>
      <c r="F4055" s="15">
        <v>0</v>
      </c>
      <c r="G4055" s="15">
        <v>0</v>
      </c>
      <c r="H4055" s="15">
        <v>0</v>
      </c>
    </row>
    <row r="4056" spans="2:8">
      <c r="B4056" s="17" t="s">
        <v>9999</v>
      </c>
      <c r="C4056" s="246" t="s">
        <v>4384</v>
      </c>
      <c r="D4056" s="18">
        <v>0</v>
      </c>
      <c r="E4056" s="18">
        <v>0</v>
      </c>
      <c r="F4056" s="18">
        <v>0</v>
      </c>
      <c r="G4056" s="18">
        <v>0</v>
      </c>
      <c r="H4056" s="18">
        <v>0</v>
      </c>
    </row>
    <row r="4057" spans="2:8">
      <c r="B4057" s="14" t="s">
        <v>10000</v>
      </c>
      <c r="C4057" s="245" t="s">
        <v>4385</v>
      </c>
      <c r="D4057" s="15">
        <v>0</v>
      </c>
      <c r="E4057" s="15">
        <v>0</v>
      </c>
      <c r="F4057" s="15">
        <v>0</v>
      </c>
      <c r="G4057" s="15">
        <v>0</v>
      </c>
      <c r="H4057" s="15">
        <v>0</v>
      </c>
    </row>
    <row r="4058" spans="2:8">
      <c r="B4058" s="17" t="s">
        <v>10001</v>
      </c>
      <c r="C4058" s="246" t="s">
        <v>4386</v>
      </c>
      <c r="D4058" s="18">
        <v>0</v>
      </c>
      <c r="E4058" s="18">
        <v>0</v>
      </c>
      <c r="F4058" s="18">
        <v>0</v>
      </c>
      <c r="G4058" s="18">
        <v>0</v>
      </c>
      <c r="H4058" s="18">
        <v>0</v>
      </c>
    </row>
    <row r="4059" spans="2:8">
      <c r="B4059" s="14" t="s">
        <v>10002</v>
      </c>
      <c r="C4059" s="245" t="s">
        <v>4387</v>
      </c>
      <c r="D4059" s="15">
        <v>0</v>
      </c>
      <c r="E4059" s="15">
        <v>0</v>
      </c>
      <c r="F4059" s="15">
        <v>0</v>
      </c>
      <c r="G4059" s="15">
        <v>0</v>
      </c>
      <c r="H4059" s="15">
        <v>0</v>
      </c>
    </row>
    <row r="4060" spans="2:8">
      <c r="B4060" s="17" t="s">
        <v>10003</v>
      </c>
      <c r="C4060" s="246" t="s">
        <v>4388</v>
      </c>
      <c r="D4060" s="18">
        <v>0</v>
      </c>
      <c r="E4060" s="18">
        <v>0</v>
      </c>
      <c r="F4060" s="18">
        <v>0</v>
      </c>
      <c r="G4060" s="18">
        <v>0</v>
      </c>
      <c r="H4060" s="18">
        <v>0</v>
      </c>
    </row>
    <row r="4061" spans="2:8">
      <c r="B4061" s="14" t="s">
        <v>10004</v>
      </c>
      <c r="C4061" s="245" t="s">
        <v>4389</v>
      </c>
      <c r="D4061" s="15">
        <v>0</v>
      </c>
      <c r="E4061" s="15">
        <v>0</v>
      </c>
      <c r="F4061" s="15">
        <v>0</v>
      </c>
      <c r="G4061" s="15">
        <v>0</v>
      </c>
      <c r="H4061" s="15">
        <v>0</v>
      </c>
    </row>
    <row r="4062" spans="2:8">
      <c r="B4062" s="17" t="s">
        <v>10005</v>
      </c>
      <c r="C4062" s="246" t="s">
        <v>4390</v>
      </c>
      <c r="D4062" s="18">
        <v>0</v>
      </c>
      <c r="E4062" s="18">
        <v>0</v>
      </c>
      <c r="F4062" s="18">
        <v>0</v>
      </c>
      <c r="G4062" s="18">
        <v>0</v>
      </c>
      <c r="H4062" s="18">
        <v>0</v>
      </c>
    </row>
    <row r="4063" spans="2:8">
      <c r="B4063" s="14" t="s">
        <v>10006</v>
      </c>
      <c r="C4063" s="245" t="s">
        <v>4391</v>
      </c>
      <c r="D4063" s="15">
        <v>0</v>
      </c>
      <c r="E4063" s="15">
        <v>0</v>
      </c>
      <c r="F4063" s="15">
        <v>0</v>
      </c>
      <c r="G4063" s="15">
        <v>0</v>
      </c>
      <c r="H4063" s="15">
        <v>0</v>
      </c>
    </row>
    <row r="4064" spans="2:8">
      <c r="B4064" s="17" t="s">
        <v>10007</v>
      </c>
      <c r="C4064" s="246" t="s">
        <v>4392</v>
      </c>
      <c r="D4064" s="18">
        <v>0</v>
      </c>
      <c r="E4064" s="18">
        <v>0</v>
      </c>
      <c r="F4064" s="18">
        <v>0</v>
      </c>
      <c r="G4064" s="18">
        <v>0</v>
      </c>
      <c r="H4064" s="18">
        <v>0</v>
      </c>
    </row>
    <row r="4065" spans="2:8">
      <c r="B4065" s="14" t="s">
        <v>10008</v>
      </c>
      <c r="C4065" s="245" t="s">
        <v>4393</v>
      </c>
      <c r="D4065" s="15">
        <v>0</v>
      </c>
      <c r="E4065" s="15">
        <v>0</v>
      </c>
      <c r="F4065" s="15">
        <v>60</v>
      </c>
      <c r="G4065" s="15">
        <v>0</v>
      </c>
      <c r="H4065" s="15">
        <v>0</v>
      </c>
    </row>
    <row r="4066" spans="2:8">
      <c r="B4066" s="17" t="s">
        <v>10009</v>
      </c>
      <c r="C4066" s="246" t="s">
        <v>4394</v>
      </c>
      <c r="D4066" s="18">
        <v>0</v>
      </c>
      <c r="E4066" s="18">
        <v>0</v>
      </c>
      <c r="F4066" s="18">
        <v>0</v>
      </c>
      <c r="G4066" s="18">
        <v>0</v>
      </c>
      <c r="H4066" s="18">
        <v>0</v>
      </c>
    </row>
    <row r="4067" spans="2:8">
      <c r="B4067" s="14" t="s">
        <v>10010</v>
      </c>
      <c r="C4067" s="245" t="s">
        <v>4395</v>
      </c>
      <c r="D4067" s="15">
        <v>0</v>
      </c>
      <c r="E4067" s="15">
        <v>0</v>
      </c>
      <c r="F4067" s="15">
        <v>0</v>
      </c>
      <c r="G4067" s="15">
        <v>0</v>
      </c>
      <c r="H4067" s="15">
        <v>0</v>
      </c>
    </row>
    <row r="4068" spans="2:8">
      <c r="B4068" s="17" t="s">
        <v>10011</v>
      </c>
      <c r="C4068" s="246" t="s">
        <v>4396</v>
      </c>
      <c r="D4068" s="18">
        <v>0</v>
      </c>
      <c r="E4068" s="18">
        <v>0</v>
      </c>
      <c r="F4068" s="18">
        <v>0</v>
      </c>
      <c r="G4068" s="18">
        <v>0</v>
      </c>
      <c r="H4068" s="18">
        <v>0</v>
      </c>
    </row>
    <row r="4069" spans="2:8">
      <c r="B4069" s="14" t="s">
        <v>10012</v>
      </c>
      <c r="C4069" s="245" t="s">
        <v>4397</v>
      </c>
      <c r="D4069" s="15">
        <v>0</v>
      </c>
      <c r="E4069" s="15">
        <v>0</v>
      </c>
      <c r="F4069" s="15">
        <v>0</v>
      </c>
      <c r="G4069" s="15">
        <v>0</v>
      </c>
      <c r="H4069" s="15">
        <v>0</v>
      </c>
    </row>
    <row r="4070" spans="2:8">
      <c r="B4070" s="17" t="s">
        <v>10013</v>
      </c>
      <c r="C4070" s="246" t="s">
        <v>4398</v>
      </c>
      <c r="D4070" s="18">
        <v>0</v>
      </c>
      <c r="E4070" s="18">
        <v>0</v>
      </c>
      <c r="F4070" s="18">
        <v>0</v>
      </c>
      <c r="G4070" s="18">
        <v>0</v>
      </c>
      <c r="H4070" s="18">
        <v>0</v>
      </c>
    </row>
    <row r="4071" spans="2:8">
      <c r="B4071" s="14" t="s">
        <v>10014</v>
      </c>
      <c r="C4071" s="245" t="s">
        <v>4399</v>
      </c>
      <c r="D4071" s="15">
        <v>0</v>
      </c>
      <c r="E4071" s="15">
        <v>0</v>
      </c>
      <c r="F4071" s="15">
        <v>0</v>
      </c>
      <c r="G4071" s="15">
        <v>0</v>
      </c>
      <c r="H4071" s="15">
        <v>0</v>
      </c>
    </row>
    <row r="4072" spans="2:8">
      <c r="B4072" s="17" t="s">
        <v>10015</v>
      </c>
      <c r="C4072" s="246" t="s">
        <v>4400</v>
      </c>
      <c r="D4072" s="18">
        <v>0</v>
      </c>
      <c r="E4072" s="18">
        <v>0</v>
      </c>
      <c r="F4072" s="18">
        <v>0</v>
      </c>
      <c r="G4072" s="18">
        <v>0</v>
      </c>
      <c r="H4072" s="18">
        <v>0</v>
      </c>
    </row>
    <row r="4073" spans="2:8">
      <c r="B4073" s="14" t="s">
        <v>10016</v>
      </c>
      <c r="C4073" s="245" t="s">
        <v>4401</v>
      </c>
      <c r="D4073" s="15">
        <v>0</v>
      </c>
      <c r="E4073" s="15">
        <v>0</v>
      </c>
      <c r="F4073" s="15">
        <v>0</v>
      </c>
      <c r="G4073" s="15">
        <v>0</v>
      </c>
      <c r="H4073" s="15">
        <v>0</v>
      </c>
    </row>
    <row r="4074" spans="2:8">
      <c r="B4074" s="17" t="s">
        <v>10017</v>
      </c>
      <c r="C4074" s="246" t="s">
        <v>4402</v>
      </c>
      <c r="D4074" s="18">
        <v>0</v>
      </c>
      <c r="E4074" s="18">
        <v>0</v>
      </c>
      <c r="F4074" s="18">
        <v>0</v>
      </c>
      <c r="G4074" s="18">
        <v>0</v>
      </c>
      <c r="H4074" s="18">
        <v>0</v>
      </c>
    </row>
    <row r="4075" spans="2:8">
      <c r="B4075" s="14" t="s">
        <v>10018</v>
      </c>
      <c r="C4075" s="245" t="s">
        <v>4403</v>
      </c>
      <c r="D4075" s="15">
        <v>0</v>
      </c>
      <c r="E4075" s="15">
        <v>0</v>
      </c>
      <c r="F4075" s="15">
        <v>0</v>
      </c>
      <c r="G4075" s="15">
        <v>0</v>
      </c>
      <c r="H4075" s="15">
        <v>0</v>
      </c>
    </row>
    <row r="4076" spans="2:8">
      <c r="B4076" s="17" t="s">
        <v>10019</v>
      </c>
      <c r="C4076" s="246" t="s">
        <v>4404</v>
      </c>
      <c r="D4076" s="18">
        <v>0</v>
      </c>
      <c r="E4076" s="18">
        <v>25</v>
      </c>
      <c r="F4076" s="18">
        <v>0</v>
      </c>
      <c r="G4076" s="18">
        <v>0</v>
      </c>
      <c r="H4076" s="18">
        <v>0</v>
      </c>
    </row>
    <row r="4077" spans="2:8">
      <c r="B4077" s="14" t="s">
        <v>10020</v>
      </c>
      <c r="C4077" s="245" t="s">
        <v>4405</v>
      </c>
      <c r="D4077" s="15">
        <v>0</v>
      </c>
      <c r="E4077" s="15">
        <v>8</v>
      </c>
      <c r="F4077" s="15">
        <v>13</v>
      </c>
      <c r="G4077" s="15">
        <v>17</v>
      </c>
      <c r="H4077" s="15">
        <v>0</v>
      </c>
    </row>
    <row r="4078" spans="2:8">
      <c r="B4078" s="17" t="s">
        <v>10021</v>
      </c>
      <c r="C4078" s="246" t="s">
        <v>4406</v>
      </c>
      <c r="D4078" s="18">
        <v>0</v>
      </c>
      <c r="E4078" s="18">
        <v>2</v>
      </c>
      <c r="F4078" s="18">
        <v>0</v>
      </c>
      <c r="G4078" s="18">
        <v>0</v>
      </c>
      <c r="H4078" s="18">
        <v>0</v>
      </c>
    </row>
    <row r="4079" spans="2:8">
      <c r="B4079" s="14" t="s">
        <v>10022</v>
      </c>
      <c r="C4079" s="245" t="s">
        <v>4407</v>
      </c>
      <c r="D4079" s="15">
        <v>11</v>
      </c>
      <c r="E4079" s="15">
        <v>12</v>
      </c>
      <c r="F4079" s="15">
        <v>0</v>
      </c>
      <c r="G4079" s="15">
        <v>0</v>
      </c>
      <c r="H4079" s="15">
        <v>0</v>
      </c>
    </row>
    <row r="4080" spans="2:8">
      <c r="B4080" s="17" t="s">
        <v>10023</v>
      </c>
      <c r="C4080" s="246" t="s">
        <v>4408</v>
      </c>
      <c r="D4080" s="18">
        <v>0</v>
      </c>
      <c r="E4080" s="18">
        <v>0</v>
      </c>
      <c r="F4080" s="18">
        <v>0</v>
      </c>
      <c r="G4080" s="18">
        <v>0</v>
      </c>
      <c r="H4080" s="18">
        <v>0</v>
      </c>
    </row>
    <row r="4081" spans="2:8">
      <c r="B4081" s="14" t="s">
        <v>10024</v>
      </c>
      <c r="C4081" s="245" t="s">
        <v>4409</v>
      </c>
      <c r="D4081" s="15">
        <v>0</v>
      </c>
      <c r="E4081" s="15">
        <v>0</v>
      </c>
      <c r="F4081" s="15">
        <v>0</v>
      </c>
      <c r="G4081" s="15">
        <v>0</v>
      </c>
      <c r="H4081" s="15">
        <v>0</v>
      </c>
    </row>
    <row r="4082" spans="2:8">
      <c r="B4082" s="17" t="s">
        <v>10025</v>
      </c>
      <c r="C4082" s="246" t="s">
        <v>4410</v>
      </c>
      <c r="D4082" s="18">
        <v>0</v>
      </c>
      <c r="E4082" s="18">
        <v>0</v>
      </c>
      <c r="F4082" s="18">
        <v>0</v>
      </c>
      <c r="G4082" s="18">
        <v>0</v>
      </c>
      <c r="H4082" s="18">
        <v>0</v>
      </c>
    </row>
    <row r="4083" spans="2:8">
      <c r="B4083" s="14" t="s">
        <v>10026</v>
      </c>
      <c r="C4083" s="245" t="s">
        <v>4411</v>
      </c>
      <c r="D4083" s="15">
        <v>0</v>
      </c>
      <c r="E4083" s="15">
        <v>0</v>
      </c>
      <c r="F4083" s="15">
        <v>0</v>
      </c>
      <c r="G4083" s="15">
        <v>0</v>
      </c>
      <c r="H4083" s="15">
        <v>0</v>
      </c>
    </row>
    <row r="4084" spans="2:8">
      <c r="B4084" s="17" t="s">
        <v>10027</v>
      </c>
      <c r="C4084" s="246" t="s">
        <v>4412</v>
      </c>
      <c r="D4084" s="18">
        <v>0</v>
      </c>
      <c r="E4084" s="18">
        <v>0</v>
      </c>
      <c r="F4084" s="18">
        <v>0</v>
      </c>
      <c r="G4084" s="18">
        <v>0</v>
      </c>
      <c r="H4084" s="18">
        <v>0</v>
      </c>
    </row>
    <row r="4085" spans="2:8">
      <c r="B4085" s="14" t="s">
        <v>10028</v>
      </c>
      <c r="C4085" s="245" t="s">
        <v>4413</v>
      </c>
      <c r="D4085" s="15">
        <v>0</v>
      </c>
      <c r="E4085" s="15">
        <v>0</v>
      </c>
      <c r="F4085" s="15">
        <v>0</v>
      </c>
      <c r="G4085" s="15">
        <v>10</v>
      </c>
      <c r="H4085" s="15">
        <v>0</v>
      </c>
    </row>
    <row r="4086" spans="2:8">
      <c r="B4086" s="17" t="s">
        <v>10029</v>
      </c>
      <c r="C4086" s="246" t="s">
        <v>4414</v>
      </c>
      <c r="D4086" s="18">
        <v>0</v>
      </c>
      <c r="E4086" s="18">
        <v>0</v>
      </c>
      <c r="F4086" s="18">
        <v>0</v>
      </c>
      <c r="G4086" s="18">
        <v>0</v>
      </c>
      <c r="H4086" s="18">
        <v>0</v>
      </c>
    </row>
    <row r="4087" spans="2:8">
      <c r="B4087" s="14" t="s">
        <v>10030</v>
      </c>
      <c r="C4087" s="245" t="s">
        <v>2578</v>
      </c>
      <c r="D4087" s="15">
        <v>0</v>
      </c>
      <c r="E4087" s="15">
        <v>0</v>
      </c>
      <c r="F4087" s="15">
        <v>0</v>
      </c>
      <c r="G4087" s="15">
        <v>0</v>
      </c>
      <c r="H4087" s="15">
        <v>0</v>
      </c>
    </row>
    <row r="4088" spans="2:8">
      <c r="B4088" s="17" t="s">
        <v>10031</v>
      </c>
      <c r="C4088" s="246" t="s">
        <v>4415</v>
      </c>
      <c r="D4088" s="18">
        <v>0</v>
      </c>
      <c r="E4088" s="18">
        <v>0</v>
      </c>
      <c r="F4088" s="18">
        <v>0</v>
      </c>
      <c r="G4088" s="18">
        <v>0</v>
      </c>
      <c r="H4088" s="18">
        <v>0</v>
      </c>
    </row>
    <row r="4089" spans="2:8">
      <c r="B4089" s="14" t="s">
        <v>10032</v>
      </c>
      <c r="C4089" s="245" t="s">
        <v>4416</v>
      </c>
      <c r="D4089" s="15">
        <v>0</v>
      </c>
      <c r="E4089" s="15">
        <v>0</v>
      </c>
      <c r="F4089" s="15">
        <v>0</v>
      </c>
      <c r="G4089" s="15">
        <v>0</v>
      </c>
      <c r="H4089" s="15">
        <v>0</v>
      </c>
    </row>
    <row r="4090" spans="2:8">
      <c r="B4090" s="17" t="s">
        <v>10033</v>
      </c>
      <c r="C4090" s="246" t="s">
        <v>4417</v>
      </c>
      <c r="D4090" s="18">
        <v>0</v>
      </c>
      <c r="E4090" s="18">
        <v>0</v>
      </c>
      <c r="F4090" s="18">
        <v>0</v>
      </c>
      <c r="G4090" s="18">
        <v>0</v>
      </c>
      <c r="H4090" s="18">
        <v>0</v>
      </c>
    </row>
    <row r="4091" spans="2:8">
      <c r="B4091" s="14" t="s">
        <v>10034</v>
      </c>
      <c r="C4091" s="245" t="s">
        <v>4418</v>
      </c>
      <c r="D4091" s="15">
        <v>0</v>
      </c>
      <c r="E4091" s="15">
        <v>0</v>
      </c>
      <c r="F4091" s="15">
        <v>0</v>
      </c>
      <c r="G4091" s="15">
        <v>0</v>
      </c>
      <c r="H4091" s="15">
        <v>0</v>
      </c>
    </row>
    <row r="4092" spans="2:8">
      <c r="B4092" s="17" t="s">
        <v>10035</v>
      </c>
      <c r="C4092" s="246" t="s">
        <v>4419</v>
      </c>
      <c r="D4092" s="18">
        <v>0</v>
      </c>
      <c r="E4092" s="18">
        <v>0</v>
      </c>
      <c r="F4092" s="18">
        <v>0</v>
      </c>
      <c r="G4092" s="18">
        <v>0</v>
      </c>
      <c r="H4092" s="18">
        <v>0</v>
      </c>
    </row>
    <row r="4093" spans="2:8">
      <c r="B4093" s="14" t="s">
        <v>10036</v>
      </c>
      <c r="C4093" s="245" t="s">
        <v>4420</v>
      </c>
      <c r="D4093" s="15">
        <v>0</v>
      </c>
      <c r="E4093" s="15">
        <v>0</v>
      </c>
      <c r="F4093" s="15">
        <v>0</v>
      </c>
      <c r="G4093" s="15">
        <v>0</v>
      </c>
      <c r="H4093" s="15">
        <v>0</v>
      </c>
    </row>
    <row r="4094" spans="2:8">
      <c r="B4094" s="17" t="s">
        <v>10037</v>
      </c>
      <c r="C4094" s="246" t="s">
        <v>4421</v>
      </c>
      <c r="D4094" s="18">
        <v>0</v>
      </c>
      <c r="E4094" s="18">
        <v>0</v>
      </c>
      <c r="F4094" s="18">
        <v>0</v>
      </c>
      <c r="G4094" s="18">
        <v>0</v>
      </c>
      <c r="H4094" s="18">
        <v>0</v>
      </c>
    </row>
    <row r="4095" spans="2:8">
      <c r="B4095" s="14" t="s">
        <v>10038</v>
      </c>
      <c r="C4095" s="245" t="s">
        <v>4422</v>
      </c>
      <c r="D4095" s="15">
        <v>0</v>
      </c>
      <c r="E4095" s="15">
        <v>0</v>
      </c>
      <c r="F4095" s="15">
        <v>0</v>
      </c>
      <c r="G4095" s="15">
        <v>0</v>
      </c>
      <c r="H4095" s="15">
        <v>0</v>
      </c>
    </row>
    <row r="4096" spans="2:8">
      <c r="B4096" s="17" t="s">
        <v>10039</v>
      </c>
      <c r="C4096" s="246" t="s">
        <v>4423</v>
      </c>
      <c r="D4096" s="18">
        <v>0</v>
      </c>
      <c r="E4096" s="18">
        <v>0</v>
      </c>
      <c r="F4096" s="18">
        <v>0</v>
      </c>
      <c r="G4096" s="18">
        <v>0</v>
      </c>
      <c r="H4096" s="18">
        <v>0</v>
      </c>
    </row>
    <row r="4097" spans="2:8">
      <c r="B4097" s="14" t="s">
        <v>10040</v>
      </c>
      <c r="C4097" s="245" t="s">
        <v>4424</v>
      </c>
      <c r="D4097" s="15">
        <v>0</v>
      </c>
      <c r="E4097" s="15">
        <v>0</v>
      </c>
      <c r="F4097" s="15">
        <v>0</v>
      </c>
      <c r="G4097" s="15">
        <v>0</v>
      </c>
      <c r="H4097" s="15">
        <v>0</v>
      </c>
    </row>
    <row r="4098" spans="2:8">
      <c r="B4098" s="17" t="s">
        <v>10041</v>
      </c>
      <c r="C4098" s="246" t="s">
        <v>4425</v>
      </c>
      <c r="D4098" s="18">
        <v>0</v>
      </c>
      <c r="E4098" s="18">
        <v>0</v>
      </c>
      <c r="F4098" s="18">
        <v>0</v>
      </c>
      <c r="G4098" s="18">
        <v>0</v>
      </c>
      <c r="H4098" s="18">
        <v>0</v>
      </c>
    </row>
    <row r="4099" spans="2:8">
      <c r="B4099" s="14" t="s">
        <v>10042</v>
      </c>
      <c r="C4099" s="245" t="s">
        <v>4426</v>
      </c>
      <c r="D4099" s="15">
        <v>0</v>
      </c>
      <c r="E4099" s="15">
        <v>0</v>
      </c>
      <c r="F4099" s="15">
        <v>0</v>
      </c>
      <c r="G4099" s="15">
        <v>0</v>
      </c>
      <c r="H4099" s="15">
        <v>0</v>
      </c>
    </row>
    <row r="4100" spans="2:8">
      <c r="B4100" s="17" t="s">
        <v>10043</v>
      </c>
      <c r="C4100" s="246" t="s">
        <v>4427</v>
      </c>
      <c r="D4100" s="18">
        <v>0</v>
      </c>
      <c r="E4100" s="18">
        <v>0</v>
      </c>
      <c r="F4100" s="18">
        <v>0</v>
      </c>
      <c r="G4100" s="18">
        <v>0</v>
      </c>
      <c r="H4100" s="18">
        <v>0</v>
      </c>
    </row>
    <row r="4101" spans="2:8">
      <c r="B4101" s="14" t="s">
        <v>10044</v>
      </c>
      <c r="C4101" s="245" t="s">
        <v>4428</v>
      </c>
      <c r="D4101" s="15">
        <v>0</v>
      </c>
      <c r="E4101" s="15">
        <v>0</v>
      </c>
      <c r="F4101" s="15">
        <v>0</v>
      </c>
      <c r="G4101" s="15">
        <v>0</v>
      </c>
      <c r="H4101" s="15">
        <v>0</v>
      </c>
    </row>
    <row r="4102" spans="2:8">
      <c r="B4102" s="17" t="s">
        <v>10045</v>
      </c>
      <c r="C4102" s="246" t="s">
        <v>4429</v>
      </c>
      <c r="D4102" s="18">
        <v>0</v>
      </c>
      <c r="E4102" s="18">
        <v>0</v>
      </c>
      <c r="F4102" s="18">
        <v>0</v>
      </c>
      <c r="G4102" s="18">
        <v>0</v>
      </c>
      <c r="H4102" s="18">
        <v>0</v>
      </c>
    </row>
    <row r="4103" spans="2:8">
      <c r="B4103" s="14" t="s">
        <v>10046</v>
      </c>
      <c r="C4103" s="245" t="s">
        <v>4430</v>
      </c>
      <c r="D4103" s="15">
        <v>0</v>
      </c>
      <c r="E4103" s="15">
        <v>0</v>
      </c>
      <c r="F4103" s="15">
        <v>0</v>
      </c>
      <c r="G4103" s="15">
        <v>0</v>
      </c>
      <c r="H4103" s="15">
        <v>0</v>
      </c>
    </row>
    <row r="4104" spans="2:8">
      <c r="B4104" s="17" t="s">
        <v>10047</v>
      </c>
      <c r="C4104" s="246" t="s">
        <v>4431</v>
      </c>
      <c r="D4104" s="18">
        <v>0</v>
      </c>
      <c r="E4104" s="18">
        <v>0</v>
      </c>
      <c r="F4104" s="18">
        <v>0</v>
      </c>
      <c r="G4104" s="18">
        <v>0</v>
      </c>
      <c r="H4104" s="18">
        <v>0</v>
      </c>
    </row>
    <row r="4105" spans="2:8">
      <c r="B4105" s="14" t="s">
        <v>10048</v>
      </c>
      <c r="C4105" s="245" t="s">
        <v>4432</v>
      </c>
      <c r="D4105" s="15">
        <v>0</v>
      </c>
      <c r="E4105" s="15">
        <v>0</v>
      </c>
      <c r="F4105" s="15">
        <v>0</v>
      </c>
      <c r="G4105" s="15">
        <v>0</v>
      </c>
      <c r="H4105" s="15">
        <v>0</v>
      </c>
    </row>
    <row r="4106" spans="2:8">
      <c r="B4106" s="17" t="s">
        <v>10049</v>
      </c>
      <c r="C4106" s="246" t="s">
        <v>4433</v>
      </c>
      <c r="D4106" s="18">
        <v>0</v>
      </c>
      <c r="E4106" s="18">
        <v>0</v>
      </c>
      <c r="F4106" s="18">
        <v>0</v>
      </c>
      <c r="G4106" s="18">
        <v>0</v>
      </c>
      <c r="H4106" s="18">
        <v>0</v>
      </c>
    </row>
    <row r="4107" spans="2:8">
      <c r="B4107" s="14" t="s">
        <v>10050</v>
      </c>
      <c r="C4107" s="245" t="s">
        <v>4434</v>
      </c>
      <c r="D4107" s="15">
        <v>0</v>
      </c>
      <c r="E4107" s="15">
        <v>0</v>
      </c>
      <c r="F4107" s="15">
        <v>0</v>
      </c>
      <c r="G4107" s="15">
        <v>0</v>
      </c>
      <c r="H4107" s="15">
        <v>0</v>
      </c>
    </row>
    <row r="4108" spans="2:8">
      <c r="B4108" s="17" t="s">
        <v>10051</v>
      </c>
      <c r="C4108" s="246" t="s">
        <v>4435</v>
      </c>
      <c r="D4108" s="18">
        <v>0</v>
      </c>
      <c r="E4108" s="18">
        <v>0</v>
      </c>
      <c r="F4108" s="18">
        <v>0</v>
      </c>
      <c r="G4108" s="18">
        <v>0</v>
      </c>
      <c r="H4108" s="18">
        <v>0</v>
      </c>
    </row>
    <row r="4109" spans="2:8">
      <c r="B4109" s="14" t="s">
        <v>10052</v>
      </c>
      <c r="C4109" s="245" t="s">
        <v>4436</v>
      </c>
      <c r="D4109" s="15">
        <v>0</v>
      </c>
      <c r="E4109" s="15">
        <v>0</v>
      </c>
      <c r="F4109" s="15">
        <v>0</v>
      </c>
      <c r="G4109" s="15">
        <v>0</v>
      </c>
      <c r="H4109" s="15">
        <v>0</v>
      </c>
    </row>
    <row r="4110" spans="2:8">
      <c r="B4110" s="17" t="s">
        <v>10053</v>
      </c>
      <c r="C4110" s="246" t="s">
        <v>4437</v>
      </c>
      <c r="D4110" s="18">
        <v>0</v>
      </c>
      <c r="E4110" s="18">
        <v>0</v>
      </c>
      <c r="F4110" s="18">
        <v>0</v>
      </c>
      <c r="G4110" s="18">
        <v>0</v>
      </c>
      <c r="H4110" s="18">
        <v>0</v>
      </c>
    </row>
    <row r="4111" spans="2:8">
      <c r="B4111" s="14" t="s">
        <v>10054</v>
      </c>
      <c r="C4111" s="245" t="s">
        <v>4438</v>
      </c>
      <c r="D4111" s="15">
        <v>0</v>
      </c>
      <c r="E4111" s="15">
        <v>0</v>
      </c>
      <c r="F4111" s="15">
        <v>0</v>
      </c>
      <c r="G4111" s="15">
        <v>0</v>
      </c>
      <c r="H4111" s="15">
        <v>0</v>
      </c>
    </row>
    <row r="4112" spans="2:8">
      <c r="B4112" s="17" t="s">
        <v>10055</v>
      </c>
      <c r="C4112" s="246" t="s">
        <v>4439</v>
      </c>
      <c r="D4112" s="18">
        <v>0</v>
      </c>
      <c r="E4112" s="18">
        <v>0</v>
      </c>
      <c r="F4112" s="18">
        <v>0</v>
      </c>
      <c r="G4112" s="18">
        <v>0</v>
      </c>
      <c r="H4112" s="18">
        <v>0</v>
      </c>
    </row>
    <row r="4113" spans="2:8">
      <c r="B4113" s="14" t="s">
        <v>10056</v>
      </c>
      <c r="C4113" s="245" t="s">
        <v>4440</v>
      </c>
      <c r="D4113" s="15">
        <v>0</v>
      </c>
      <c r="E4113" s="15">
        <v>0</v>
      </c>
      <c r="F4113" s="15">
        <v>0</v>
      </c>
      <c r="G4113" s="15">
        <v>0</v>
      </c>
      <c r="H4113" s="15">
        <v>0</v>
      </c>
    </row>
    <row r="4114" spans="2:8">
      <c r="B4114" s="17" t="s">
        <v>10057</v>
      </c>
      <c r="C4114" s="246" t="s">
        <v>4441</v>
      </c>
      <c r="D4114" s="18">
        <v>0</v>
      </c>
      <c r="E4114" s="18">
        <v>0</v>
      </c>
      <c r="F4114" s="18">
        <v>0</v>
      </c>
      <c r="G4114" s="18">
        <v>0</v>
      </c>
      <c r="H4114" s="18">
        <v>0</v>
      </c>
    </row>
    <row r="4115" spans="2:8">
      <c r="B4115" s="14" t="s">
        <v>10058</v>
      </c>
      <c r="C4115" s="245" t="s">
        <v>4442</v>
      </c>
      <c r="D4115" s="15">
        <v>0</v>
      </c>
      <c r="E4115" s="15">
        <v>0</v>
      </c>
      <c r="F4115" s="15">
        <v>0</v>
      </c>
      <c r="G4115" s="15">
        <v>0</v>
      </c>
      <c r="H4115" s="15">
        <v>0</v>
      </c>
    </row>
    <row r="4116" spans="2:8">
      <c r="B4116" s="17" t="s">
        <v>10059</v>
      </c>
      <c r="C4116" s="246" t="s">
        <v>4443</v>
      </c>
      <c r="D4116" s="18">
        <v>0</v>
      </c>
      <c r="E4116" s="18">
        <v>0</v>
      </c>
      <c r="F4116" s="18">
        <v>0</v>
      </c>
      <c r="G4116" s="18">
        <v>0</v>
      </c>
      <c r="H4116" s="18">
        <v>0</v>
      </c>
    </row>
    <row r="4117" spans="2:8">
      <c r="B4117" s="14" t="s">
        <v>10060</v>
      </c>
      <c r="C4117" s="245" t="s">
        <v>4444</v>
      </c>
      <c r="D4117" s="15">
        <v>0</v>
      </c>
      <c r="E4117" s="15">
        <v>0</v>
      </c>
      <c r="F4117" s="15">
        <v>0</v>
      </c>
      <c r="G4117" s="15">
        <v>0</v>
      </c>
      <c r="H4117" s="15">
        <v>0</v>
      </c>
    </row>
    <row r="4118" spans="2:8">
      <c r="B4118" s="17" t="s">
        <v>10061</v>
      </c>
      <c r="C4118" s="246" t="s">
        <v>4445</v>
      </c>
      <c r="D4118" s="18">
        <v>0</v>
      </c>
      <c r="E4118" s="18">
        <v>0</v>
      </c>
      <c r="F4118" s="18">
        <v>0</v>
      </c>
      <c r="G4118" s="18">
        <v>0</v>
      </c>
      <c r="H4118" s="18">
        <v>0</v>
      </c>
    </row>
    <row r="4119" spans="2:8">
      <c r="B4119" s="14" t="s">
        <v>10062</v>
      </c>
      <c r="C4119" s="245" t="s">
        <v>4446</v>
      </c>
      <c r="D4119" s="15">
        <v>0</v>
      </c>
      <c r="E4119" s="15">
        <v>0</v>
      </c>
      <c r="F4119" s="15">
        <v>0</v>
      </c>
      <c r="G4119" s="15">
        <v>0</v>
      </c>
      <c r="H4119" s="15">
        <v>0</v>
      </c>
    </row>
    <row r="4120" spans="2:8">
      <c r="B4120" s="17" t="s">
        <v>10063</v>
      </c>
      <c r="C4120" s="246" t="s">
        <v>4447</v>
      </c>
      <c r="D4120" s="18">
        <v>0</v>
      </c>
      <c r="E4120" s="18">
        <v>0</v>
      </c>
      <c r="F4120" s="18">
        <v>0</v>
      </c>
      <c r="G4120" s="18">
        <v>0</v>
      </c>
      <c r="H4120" s="18">
        <v>0</v>
      </c>
    </row>
    <row r="4121" spans="2:8">
      <c r="B4121" s="14" t="s">
        <v>10064</v>
      </c>
      <c r="C4121" s="245" t="s">
        <v>4448</v>
      </c>
      <c r="D4121" s="15">
        <v>0</v>
      </c>
      <c r="E4121" s="15">
        <v>0</v>
      </c>
      <c r="F4121" s="15">
        <v>0</v>
      </c>
      <c r="G4121" s="15">
        <v>0</v>
      </c>
      <c r="H4121" s="15">
        <v>0</v>
      </c>
    </row>
    <row r="4122" spans="2:8">
      <c r="B4122" s="17" t="s">
        <v>10065</v>
      </c>
      <c r="C4122" s="246" t="s">
        <v>4449</v>
      </c>
      <c r="D4122" s="18">
        <v>0</v>
      </c>
      <c r="E4122" s="18">
        <v>0</v>
      </c>
      <c r="F4122" s="18">
        <v>0</v>
      </c>
      <c r="G4122" s="18">
        <v>0</v>
      </c>
      <c r="H4122" s="18">
        <v>0</v>
      </c>
    </row>
    <row r="4123" spans="2:8">
      <c r="B4123" s="14" t="s">
        <v>10066</v>
      </c>
      <c r="C4123" s="245" t="s">
        <v>4450</v>
      </c>
      <c r="D4123" s="15">
        <v>0</v>
      </c>
      <c r="E4123" s="15">
        <v>0</v>
      </c>
      <c r="F4123" s="15">
        <v>0</v>
      </c>
      <c r="G4123" s="15">
        <v>0</v>
      </c>
      <c r="H4123" s="15">
        <v>0</v>
      </c>
    </row>
    <row r="4124" spans="2:8">
      <c r="B4124" s="17" t="s">
        <v>10067</v>
      </c>
      <c r="C4124" s="246" t="s">
        <v>4451</v>
      </c>
      <c r="D4124" s="18">
        <v>0</v>
      </c>
      <c r="E4124" s="18">
        <v>0</v>
      </c>
      <c r="F4124" s="18">
        <v>0</v>
      </c>
      <c r="G4124" s="18">
        <v>0</v>
      </c>
      <c r="H4124" s="18">
        <v>0</v>
      </c>
    </row>
    <row r="4125" spans="2:8">
      <c r="B4125" s="14" t="s">
        <v>10068</v>
      </c>
      <c r="C4125" s="245" t="s">
        <v>4452</v>
      </c>
      <c r="D4125" s="15">
        <v>0</v>
      </c>
      <c r="E4125" s="15">
        <v>0</v>
      </c>
      <c r="F4125" s="15">
        <v>0</v>
      </c>
      <c r="G4125" s="15">
        <v>0</v>
      </c>
      <c r="H4125" s="15">
        <v>0</v>
      </c>
    </row>
    <row r="4126" spans="2:8">
      <c r="B4126" s="17" t="s">
        <v>10069</v>
      </c>
      <c r="C4126" s="246" t="s">
        <v>4453</v>
      </c>
      <c r="D4126" s="18">
        <v>0</v>
      </c>
      <c r="E4126" s="18">
        <v>0</v>
      </c>
      <c r="F4126" s="18">
        <v>0</v>
      </c>
      <c r="G4126" s="18">
        <v>0</v>
      </c>
      <c r="H4126" s="18">
        <v>0</v>
      </c>
    </row>
    <row r="4127" spans="2:8">
      <c r="B4127" s="14" t="s">
        <v>10070</v>
      </c>
      <c r="C4127" s="245" t="s">
        <v>4454</v>
      </c>
      <c r="D4127" s="15">
        <v>0</v>
      </c>
      <c r="E4127" s="15">
        <v>0</v>
      </c>
      <c r="F4127" s="15">
        <v>0</v>
      </c>
      <c r="G4127" s="15">
        <v>0</v>
      </c>
      <c r="H4127" s="15">
        <v>0</v>
      </c>
    </row>
    <row r="4128" spans="2:8">
      <c r="B4128" s="17" t="s">
        <v>10071</v>
      </c>
      <c r="C4128" s="246" t="s">
        <v>4455</v>
      </c>
      <c r="D4128" s="18">
        <v>0</v>
      </c>
      <c r="E4128" s="18">
        <v>0</v>
      </c>
      <c r="F4128" s="18">
        <v>0</v>
      </c>
      <c r="G4128" s="18">
        <v>0</v>
      </c>
      <c r="H4128" s="18">
        <v>0</v>
      </c>
    </row>
    <row r="4129" spans="2:8">
      <c r="B4129" s="14" t="s">
        <v>10072</v>
      </c>
      <c r="C4129" s="245" t="s">
        <v>4456</v>
      </c>
      <c r="D4129" s="15">
        <v>0</v>
      </c>
      <c r="E4129" s="15">
        <v>0</v>
      </c>
      <c r="F4129" s="15">
        <v>0</v>
      </c>
      <c r="G4129" s="15">
        <v>0</v>
      </c>
      <c r="H4129" s="15">
        <v>0</v>
      </c>
    </row>
    <row r="4130" spans="2:8">
      <c r="B4130" s="17" t="s">
        <v>10073</v>
      </c>
      <c r="C4130" s="246" t="s">
        <v>4457</v>
      </c>
      <c r="D4130" s="18">
        <v>0</v>
      </c>
      <c r="E4130" s="18">
        <v>0</v>
      </c>
      <c r="F4130" s="18">
        <v>0</v>
      </c>
      <c r="G4130" s="18">
        <v>0</v>
      </c>
      <c r="H4130" s="18">
        <v>0</v>
      </c>
    </row>
    <row r="4131" spans="2:8">
      <c r="B4131" s="14" t="s">
        <v>10074</v>
      </c>
      <c r="C4131" s="245" t="s">
        <v>4458</v>
      </c>
      <c r="D4131" s="15">
        <v>0</v>
      </c>
      <c r="E4131" s="15">
        <v>0</v>
      </c>
      <c r="F4131" s="15">
        <v>0</v>
      </c>
      <c r="G4131" s="15">
        <v>0</v>
      </c>
      <c r="H4131" s="15">
        <v>0</v>
      </c>
    </row>
    <row r="4132" spans="2:8">
      <c r="B4132" s="17" t="s">
        <v>10075</v>
      </c>
      <c r="C4132" s="246" t="s">
        <v>4459</v>
      </c>
      <c r="D4132" s="18">
        <v>0</v>
      </c>
      <c r="E4132" s="18">
        <v>0</v>
      </c>
      <c r="F4132" s="18">
        <v>0</v>
      </c>
      <c r="G4132" s="18">
        <v>0</v>
      </c>
      <c r="H4132" s="18">
        <v>0</v>
      </c>
    </row>
    <row r="4133" spans="2:8">
      <c r="B4133" s="14" t="s">
        <v>10076</v>
      </c>
      <c r="C4133" s="245" t="s">
        <v>4460</v>
      </c>
      <c r="D4133" s="15">
        <v>0</v>
      </c>
      <c r="E4133" s="15">
        <v>0</v>
      </c>
      <c r="F4133" s="15">
        <v>0</v>
      </c>
      <c r="G4133" s="15">
        <v>0</v>
      </c>
      <c r="H4133" s="15">
        <v>0</v>
      </c>
    </row>
    <row r="4134" spans="2:8">
      <c r="B4134" s="17" t="s">
        <v>10077</v>
      </c>
      <c r="C4134" s="246" t="s">
        <v>4461</v>
      </c>
      <c r="D4134" s="18">
        <v>0</v>
      </c>
      <c r="E4134" s="18">
        <v>0</v>
      </c>
      <c r="F4134" s="18">
        <v>0</v>
      </c>
      <c r="G4134" s="18">
        <v>0</v>
      </c>
      <c r="H4134" s="18">
        <v>0</v>
      </c>
    </row>
    <row r="4135" spans="2:8">
      <c r="B4135" s="14" t="s">
        <v>10078</v>
      </c>
      <c r="C4135" s="245" t="s">
        <v>4462</v>
      </c>
      <c r="D4135" s="15">
        <v>0</v>
      </c>
      <c r="E4135" s="15">
        <v>0</v>
      </c>
      <c r="F4135" s="15">
        <v>0</v>
      </c>
      <c r="G4135" s="15">
        <v>0</v>
      </c>
      <c r="H4135" s="15">
        <v>0</v>
      </c>
    </row>
    <row r="4136" spans="2:8">
      <c r="B4136" s="17" t="s">
        <v>10079</v>
      </c>
      <c r="C4136" s="246" t="s">
        <v>4463</v>
      </c>
      <c r="D4136" s="18">
        <v>0</v>
      </c>
      <c r="E4136" s="18">
        <v>0</v>
      </c>
      <c r="F4136" s="18">
        <v>0</v>
      </c>
      <c r="G4136" s="18">
        <v>0</v>
      </c>
      <c r="H4136" s="18">
        <v>0</v>
      </c>
    </row>
    <row r="4137" spans="2:8">
      <c r="B4137" s="14" t="s">
        <v>10080</v>
      </c>
      <c r="C4137" s="245" t="s">
        <v>4464</v>
      </c>
      <c r="D4137" s="15">
        <v>0</v>
      </c>
      <c r="E4137" s="15">
        <v>0</v>
      </c>
      <c r="F4137" s="15">
        <v>0</v>
      </c>
      <c r="G4137" s="15">
        <v>0</v>
      </c>
      <c r="H4137" s="15">
        <v>0</v>
      </c>
    </row>
    <row r="4138" spans="2:8">
      <c r="B4138" s="17" t="s">
        <v>10081</v>
      </c>
      <c r="C4138" s="246" t="s">
        <v>4465</v>
      </c>
      <c r="D4138" s="18">
        <v>0</v>
      </c>
      <c r="E4138" s="18">
        <v>1</v>
      </c>
      <c r="F4138" s="18">
        <v>8</v>
      </c>
      <c r="G4138" s="18">
        <v>3</v>
      </c>
      <c r="H4138" s="18">
        <v>0</v>
      </c>
    </row>
    <row r="4139" spans="2:8">
      <c r="B4139" s="14" t="s">
        <v>10082</v>
      </c>
      <c r="C4139" s="245" t="s">
        <v>1876</v>
      </c>
      <c r="D4139" s="15">
        <v>0</v>
      </c>
      <c r="E4139" s="15">
        <v>0</v>
      </c>
      <c r="F4139" s="15">
        <v>0</v>
      </c>
      <c r="G4139" s="15">
        <v>0</v>
      </c>
      <c r="H4139" s="15">
        <v>0</v>
      </c>
    </row>
    <row r="4140" spans="2:8">
      <c r="B4140" s="17" t="s">
        <v>10083</v>
      </c>
      <c r="C4140" s="246" t="s">
        <v>2530</v>
      </c>
      <c r="D4140" s="18">
        <v>0</v>
      </c>
      <c r="E4140" s="18">
        <v>0</v>
      </c>
      <c r="F4140" s="18">
        <v>0</v>
      </c>
      <c r="G4140" s="18">
        <v>0</v>
      </c>
      <c r="H4140" s="18">
        <v>0</v>
      </c>
    </row>
    <row r="4141" spans="2:8">
      <c r="B4141" s="14" t="s">
        <v>10084</v>
      </c>
      <c r="C4141" s="245" t="s">
        <v>4466</v>
      </c>
      <c r="D4141" s="15">
        <v>0</v>
      </c>
      <c r="E4141" s="15">
        <v>0</v>
      </c>
      <c r="F4141" s="15">
        <v>0</v>
      </c>
      <c r="G4141" s="15">
        <v>0</v>
      </c>
      <c r="H4141" s="15">
        <v>0</v>
      </c>
    </row>
    <row r="4142" spans="2:8">
      <c r="B4142" s="17" t="s">
        <v>10085</v>
      </c>
      <c r="C4142" s="246" t="s">
        <v>4467</v>
      </c>
      <c r="D4142" s="18">
        <v>0</v>
      </c>
      <c r="E4142" s="18">
        <v>0</v>
      </c>
      <c r="F4142" s="18">
        <v>0</v>
      </c>
      <c r="G4142" s="18">
        <v>0</v>
      </c>
      <c r="H4142" s="18">
        <v>0</v>
      </c>
    </row>
    <row r="4143" spans="2:8">
      <c r="B4143" s="14" t="s">
        <v>10086</v>
      </c>
      <c r="C4143" s="245" t="s">
        <v>4468</v>
      </c>
      <c r="D4143" s="15">
        <v>0</v>
      </c>
      <c r="E4143" s="15">
        <v>0</v>
      </c>
      <c r="F4143" s="15">
        <v>0</v>
      </c>
      <c r="G4143" s="15">
        <v>0</v>
      </c>
      <c r="H4143" s="15">
        <v>0</v>
      </c>
    </row>
    <row r="4144" spans="2:8">
      <c r="B4144" s="17" t="s">
        <v>10087</v>
      </c>
      <c r="C4144" s="246" t="s">
        <v>4469</v>
      </c>
      <c r="D4144" s="18">
        <v>0</v>
      </c>
      <c r="E4144" s="18">
        <v>0</v>
      </c>
      <c r="F4144" s="18">
        <v>0</v>
      </c>
      <c r="G4144" s="18">
        <v>0</v>
      </c>
      <c r="H4144" s="18">
        <v>0</v>
      </c>
    </row>
    <row r="4145" spans="2:8">
      <c r="B4145" s="14" t="s">
        <v>10088</v>
      </c>
      <c r="C4145" s="245" t="s">
        <v>4470</v>
      </c>
      <c r="D4145" s="15">
        <v>0</v>
      </c>
      <c r="E4145" s="15">
        <v>0</v>
      </c>
      <c r="F4145" s="15">
        <v>0</v>
      </c>
      <c r="G4145" s="15">
        <v>0</v>
      </c>
      <c r="H4145" s="15">
        <v>0</v>
      </c>
    </row>
    <row r="4146" spans="2:8">
      <c r="B4146" s="17" t="s">
        <v>10089</v>
      </c>
      <c r="C4146" s="246" t="s">
        <v>4471</v>
      </c>
      <c r="D4146" s="18">
        <v>0</v>
      </c>
      <c r="E4146" s="18">
        <v>0</v>
      </c>
      <c r="F4146" s="18">
        <v>0</v>
      </c>
      <c r="G4146" s="18">
        <v>0</v>
      </c>
      <c r="H4146" s="18">
        <v>0</v>
      </c>
    </row>
    <row r="4147" spans="2:8">
      <c r="B4147" s="14" t="s">
        <v>10090</v>
      </c>
      <c r="C4147" s="245" t="s">
        <v>4472</v>
      </c>
      <c r="D4147" s="15">
        <v>0</v>
      </c>
      <c r="E4147" s="15">
        <v>0</v>
      </c>
      <c r="F4147" s="15">
        <v>0</v>
      </c>
      <c r="G4147" s="15">
        <v>0</v>
      </c>
      <c r="H4147" s="15">
        <v>0</v>
      </c>
    </row>
    <row r="4148" spans="2:8">
      <c r="B4148" s="17" t="s">
        <v>10091</v>
      </c>
      <c r="C4148" s="246" t="s">
        <v>4473</v>
      </c>
      <c r="D4148" s="18">
        <v>0</v>
      </c>
      <c r="E4148" s="18">
        <v>0</v>
      </c>
      <c r="F4148" s="18">
        <v>0</v>
      </c>
      <c r="G4148" s="18">
        <v>0</v>
      </c>
      <c r="H4148" s="18">
        <v>0</v>
      </c>
    </row>
    <row r="4149" spans="2:8">
      <c r="B4149" s="14" t="s">
        <v>10092</v>
      </c>
      <c r="C4149" s="245" t="s">
        <v>3176</v>
      </c>
      <c r="D4149" s="15">
        <v>7</v>
      </c>
      <c r="E4149" s="15">
        <v>3</v>
      </c>
      <c r="F4149" s="15">
        <v>0</v>
      </c>
      <c r="G4149" s="15">
        <v>0</v>
      </c>
      <c r="H4149" s="15">
        <v>0</v>
      </c>
    </row>
    <row r="4150" spans="2:8">
      <c r="B4150" s="17" t="s">
        <v>10093</v>
      </c>
      <c r="C4150" s="246" t="s">
        <v>4474</v>
      </c>
      <c r="D4150" s="18">
        <v>0</v>
      </c>
      <c r="E4150" s="18">
        <v>0</v>
      </c>
      <c r="F4150" s="18">
        <v>0</v>
      </c>
      <c r="G4150" s="18">
        <v>0</v>
      </c>
      <c r="H4150" s="18">
        <v>0</v>
      </c>
    </row>
    <row r="4151" spans="2:8">
      <c r="B4151" s="14" t="s">
        <v>10094</v>
      </c>
      <c r="C4151" s="245" t="s">
        <v>4475</v>
      </c>
      <c r="D4151" s="15">
        <v>0</v>
      </c>
      <c r="E4151" s="15">
        <v>0</v>
      </c>
      <c r="F4151" s="15">
        <v>0</v>
      </c>
      <c r="G4151" s="15">
        <v>0</v>
      </c>
      <c r="H4151" s="15">
        <v>0</v>
      </c>
    </row>
    <row r="4152" spans="2:8">
      <c r="B4152" s="17" t="s">
        <v>10095</v>
      </c>
      <c r="C4152" s="246" t="s">
        <v>4476</v>
      </c>
      <c r="D4152" s="18">
        <v>0</v>
      </c>
      <c r="E4152" s="18">
        <v>0</v>
      </c>
      <c r="F4152" s="18">
        <v>0</v>
      </c>
      <c r="G4152" s="18">
        <v>0</v>
      </c>
      <c r="H4152" s="18">
        <v>0</v>
      </c>
    </row>
    <row r="4153" spans="2:8">
      <c r="B4153" s="14" t="s">
        <v>10096</v>
      </c>
      <c r="C4153" s="245" t="s">
        <v>4477</v>
      </c>
      <c r="D4153" s="15">
        <v>0</v>
      </c>
      <c r="E4153" s="15">
        <v>0</v>
      </c>
      <c r="F4153" s="15">
        <v>0</v>
      </c>
      <c r="G4153" s="15">
        <v>0</v>
      </c>
      <c r="H4153" s="15">
        <v>0</v>
      </c>
    </row>
    <row r="4154" spans="2:8">
      <c r="B4154" s="17" t="s">
        <v>10097</v>
      </c>
      <c r="C4154" s="246" t="s">
        <v>4478</v>
      </c>
      <c r="D4154" s="18">
        <v>4</v>
      </c>
      <c r="E4154" s="18">
        <v>4</v>
      </c>
      <c r="F4154" s="18">
        <v>3</v>
      </c>
      <c r="G4154" s="18">
        <v>0</v>
      </c>
      <c r="H4154" s="18">
        <v>0</v>
      </c>
    </row>
    <row r="4155" spans="2:8">
      <c r="B4155" s="14" t="s">
        <v>10098</v>
      </c>
      <c r="C4155" s="245" t="s">
        <v>4479</v>
      </c>
      <c r="D4155" s="15">
        <v>0</v>
      </c>
      <c r="E4155" s="15">
        <v>0</v>
      </c>
      <c r="F4155" s="15">
        <v>0</v>
      </c>
      <c r="G4155" s="15">
        <v>0</v>
      </c>
      <c r="H4155" s="15">
        <v>0</v>
      </c>
    </row>
    <row r="4156" spans="2:8">
      <c r="B4156" s="17" t="s">
        <v>10099</v>
      </c>
      <c r="C4156" s="246" t="s">
        <v>4480</v>
      </c>
      <c r="D4156" s="18">
        <v>0</v>
      </c>
      <c r="E4156" s="18">
        <v>0</v>
      </c>
      <c r="F4156" s="18">
        <v>0</v>
      </c>
      <c r="G4156" s="18">
        <v>0</v>
      </c>
      <c r="H4156" s="18">
        <v>0</v>
      </c>
    </row>
    <row r="4157" spans="2:8">
      <c r="B4157" s="14" t="s">
        <v>10100</v>
      </c>
      <c r="C4157" s="245" t="s">
        <v>4481</v>
      </c>
      <c r="D4157" s="15">
        <v>0</v>
      </c>
      <c r="E4157" s="15">
        <v>0</v>
      </c>
      <c r="F4157" s="15">
        <v>0</v>
      </c>
      <c r="G4157" s="15">
        <v>0</v>
      </c>
      <c r="H4157" s="15">
        <v>0</v>
      </c>
    </row>
    <row r="4158" spans="2:8">
      <c r="B4158" s="17" t="s">
        <v>10101</v>
      </c>
      <c r="C4158" s="246" t="s">
        <v>4482</v>
      </c>
      <c r="D4158" s="18">
        <v>0</v>
      </c>
      <c r="E4158" s="18">
        <v>0</v>
      </c>
      <c r="F4158" s="18">
        <v>0</v>
      </c>
      <c r="G4158" s="18">
        <v>0</v>
      </c>
      <c r="H4158" s="18">
        <v>0</v>
      </c>
    </row>
    <row r="4159" spans="2:8">
      <c r="B4159" s="14" t="s">
        <v>10102</v>
      </c>
      <c r="C4159" s="245" t="s">
        <v>4483</v>
      </c>
      <c r="D4159" s="15">
        <v>0</v>
      </c>
      <c r="E4159" s="15">
        <v>0</v>
      </c>
      <c r="F4159" s="15">
        <v>0</v>
      </c>
      <c r="G4159" s="15">
        <v>0</v>
      </c>
      <c r="H4159" s="15">
        <v>0</v>
      </c>
    </row>
    <row r="4160" spans="2:8">
      <c r="B4160" s="17" t="s">
        <v>10103</v>
      </c>
      <c r="C4160" s="246" t="s">
        <v>4484</v>
      </c>
      <c r="D4160" s="18">
        <v>0</v>
      </c>
      <c r="E4160" s="18">
        <v>0</v>
      </c>
      <c r="F4160" s="18">
        <v>0</v>
      </c>
      <c r="G4160" s="18">
        <v>0</v>
      </c>
      <c r="H4160" s="18">
        <v>0</v>
      </c>
    </row>
    <row r="4161" spans="2:8">
      <c r="B4161" s="14" t="s">
        <v>10104</v>
      </c>
      <c r="C4161" s="245" t="s">
        <v>4485</v>
      </c>
      <c r="D4161" s="15">
        <v>0</v>
      </c>
      <c r="E4161" s="15">
        <v>0</v>
      </c>
      <c r="F4161" s="15">
        <v>0</v>
      </c>
      <c r="G4161" s="15">
        <v>35</v>
      </c>
      <c r="H4161" s="15">
        <v>0</v>
      </c>
    </row>
    <row r="4162" spans="2:8">
      <c r="B4162" s="17" t="s">
        <v>10105</v>
      </c>
      <c r="C4162" s="246" t="s">
        <v>4486</v>
      </c>
      <c r="D4162" s="18">
        <v>0</v>
      </c>
      <c r="E4162" s="18">
        <v>0</v>
      </c>
      <c r="F4162" s="18">
        <v>0</v>
      </c>
      <c r="G4162" s="18">
        <v>0</v>
      </c>
      <c r="H4162" s="18">
        <v>0</v>
      </c>
    </row>
    <row r="4163" spans="2:8">
      <c r="B4163" s="14" t="s">
        <v>10106</v>
      </c>
      <c r="C4163" s="245" t="s">
        <v>4487</v>
      </c>
      <c r="D4163" s="15">
        <v>0</v>
      </c>
      <c r="E4163" s="15">
        <v>0</v>
      </c>
      <c r="F4163" s="15">
        <v>0</v>
      </c>
      <c r="G4163" s="15">
        <v>0</v>
      </c>
      <c r="H4163" s="15">
        <v>0</v>
      </c>
    </row>
    <row r="4164" spans="2:8">
      <c r="B4164" s="17" t="s">
        <v>10107</v>
      </c>
      <c r="C4164" s="246" t="s">
        <v>4488</v>
      </c>
      <c r="D4164" s="18">
        <v>0</v>
      </c>
      <c r="E4164" s="18">
        <v>0</v>
      </c>
      <c r="F4164" s="18">
        <v>0</v>
      </c>
      <c r="G4164" s="18">
        <v>0</v>
      </c>
      <c r="H4164" s="18">
        <v>0</v>
      </c>
    </row>
    <row r="4165" spans="2:8">
      <c r="B4165" s="14" t="s">
        <v>10108</v>
      </c>
      <c r="C4165" s="245" t="s">
        <v>4489</v>
      </c>
      <c r="D4165" s="15">
        <v>0</v>
      </c>
      <c r="E4165" s="15">
        <v>0</v>
      </c>
      <c r="F4165" s="15">
        <v>3</v>
      </c>
      <c r="G4165" s="15">
        <v>0</v>
      </c>
      <c r="H4165" s="15">
        <v>0</v>
      </c>
    </row>
    <row r="4166" spans="2:8">
      <c r="B4166" s="17" t="s">
        <v>10109</v>
      </c>
      <c r="C4166" s="246" t="s">
        <v>3195</v>
      </c>
      <c r="D4166" s="18">
        <v>0</v>
      </c>
      <c r="E4166" s="18">
        <v>0</v>
      </c>
      <c r="F4166" s="18">
        <v>0</v>
      </c>
      <c r="G4166" s="18">
        <v>0</v>
      </c>
      <c r="H4166" s="18">
        <v>0</v>
      </c>
    </row>
    <row r="4167" spans="2:8">
      <c r="B4167" s="14" t="s">
        <v>10110</v>
      </c>
      <c r="C4167" s="245" t="s">
        <v>4490</v>
      </c>
      <c r="D4167" s="15">
        <v>0</v>
      </c>
      <c r="E4167" s="15">
        <v>0</v>
      </c>
      <c r="F4167" s="15">
        <v>0</v>
      </c>
      <c r="G4167" s="15">
        <v>0</v>
      </c>
      <c r="H4167" s="15">
        <v>0</v>
      </c>
    </row>
    <row r="4168" spans="2:8">
      <c r="B4168" s="17" t="s">
        <v>10111</v>
      </c>
      <c r="C4168" s="246" t="s">
        <v>4491</v>
      </c>
      <c r="D4168" s="18">
        <v>0</v>
      </c>
      <c r="E4168" s="18">
        <v>0</v>
      </c>
      <c r="F4168" s="18">
        <v>0</v>
      </c>
      <c r="G4168" s="18">
        <v>0</v>
      </c>
      <c r="H4168" s="18">
        <v>0</v>
      </c>
    </row>
    <row r="4169" spans="2:8">
      <c r="B4169" s="14" t="s">
        <v>10112</v>
      </c>
      <c r="C4169" s="245" t="s">
        <v>4492</v>
      </c>
      <c r="D4169" s="15">
        <v>0</v>
      </c>
      <c r="E4169" s="15">
        <v>0</v>
      </c>
      <c r="F4169" s="15">
        <v>0</v>
      </c>
      <c r="G4169" s="15">
        <v>0</v>
      </c>
      <c r="H4169" s="15">
        <v>0</v>
      </c>
    </row>
    <row r="4170" spans="2:8">
      <c r="B4170" s="17" t="s">
        <v>10113</v>
      </c>
      <c r="C4170" s="246" t="s">
        <v>4493</v>
      </c>
      <c r="D4170" s="18">
        <v>0</v>
      </c>
      <c r="E4170" s="18">
        <v>0</v>
      </c>
      <c r="F4170" s="18">
        <v>0</v>
      </c>
      <c r="G4170" s="18">
        <v>0</v>
      </c>
      <c r="H4170" s="18">
        <v>0</v>
      </c>
    </row>
    <row r="4171" spans="2:8">
      <c r="B4171" s="14" t="s">
        <v>10114</v>
      </c>
      <c r="C4171" s="245" t="s">
        <v>4494</v>
      </c>
      <c r="D4171" s="15">
        <v>0</v>
      </c>
      <c r="E4171" s="15">
        <v>0</v>
      </c>
      <c r="F4171" s="15">
        <v>0</v>
      </c>
      <c r="G4171" s="15">
        <v>0</v>
      </c>
      <c r="H4171" s="15">
        <v>0</v>
      </c>
    </row>
    <row r="4172" spans="2:8">
      <c r="B4172" s="17" t="s">
        <v>10115</v>
      </c>
      <c r="C4172" s="246" t="s">
        <v>4495</v>
      </c>
      <c r="D4172" s="18">
        <v>0</v>
      </c>
      <c r="E4172" s="18">
        <v>0</v>
      </c>
      <c r="F4172" s="18">
        <v>0</v>
      </c>
      <c r="G4172" s="18">
        <v>0</v>
      </c>
      <c r="H4172" s="18">
        <v>0</v>
      </c>
    </row>
    <row r="4173" spans="2:8">
      <c r="B4173" s="14" t="s">
        <v>10116</v>
      </c>
      <c r="C4173" s="245" t="s">
        <v>4496</v>
      </c>
      <c r="D4173" s="15">
        <v>0</v>
      </c>
      <c r="E4173" s="15">
        <v>0</v>
      </c>
      <c r="F4173" s="15">
        <v>0</v>
      </c>
      <c r="G4173" s="15">
        <v>0</v>
      </c>
      <c r="H4173" s="15">
        <v>0</v>
      </c>
    </row>
    <row r="4174" spans="2:8">
      <c r="B4174" s="17" t="s">
        <v>10117</v>
      </c>
      <c r="C4174" s="246" t="s">
        <v>4497</v>
      </c>
      <c r="D4174" s="18">
        <v>0</v>
      </c>
      <c r="E4174" s="18">
        <v>0</v>
      </c>
      <c r="F4174" s="18">
        <v>0</v>
      </c>
      <c r="G4174" s="18">
        <v>0</v>
      </c>
      <c r="H4174" s="18">
        <v>0</v>
      </c>
    </row>
    <row r="4175" spans="2:8">
      <c r="B4175" s="14" t="s">
        <v>10118</v>
      </c>
      <c r="C4175" s="245" t="s">
        <v>4498</v>
      </c>
      <c r="D4175" s="15">
        <v>0</v>
      </c>
      <c r="E4175" s="15">
        <v>0</v>
      </c>
      <c r="F4175" s="15">
        <v>0</v>
      </c>
      <c r="G4175" s="15">
        <v>0</v>
      </c>
      <c r="H4175" s="15">
        <v>0</v>
      </c>
    </row>
    <row r="4176" spans="2:8">
      <c r="B4176" s="17" t="s">
        <v>10119</v>
      </c>
      <c r="C4176" s="246" t="s">
        <v>4499</v>
      </c>
      <c r="D4176" s="18">
        <v>0</v>
      </c>
      <c r="E4176" s="18">
        <v>0</v>
      </c>
      <c r="F4176" s="18">
        <v>0</v>
      </c>
      <c r="G4176" s="18">
        <v>0</v>
      </c>
      <c r="H4176" s="18">
        <v>0</v>
      </c>
    </row>
    <row r="4177" spans="2:8">
      <c r="B4177" s="14" t="s">
        <v>10120</v>
      </c>
      <c r="C4177" s="245" t="s">
        <v>4500</v>
      </c>
      <c r="D4177" s="15">
        <v>0</v>
      </c>
      <c r="E4177" s="15">
        <v>0</v>
      </c>
      <c r="F4177" s="15">
        <v>0</v>
      </c>
      <c r="G4177" s="15">
        <v>0</v>
      </c>
      <c r="H4177" s="15">
        <v>0</v>
      </c>
    </row>
    <row r="4178" spans="2:8">
      <c r="B4178" s="17" t="s">
        <v>10121</v>
      </c>
      <c r="C4178" s="246" t="s">
        <v>4501</v>
      </c>
      <c r="D4178" s="18">
        <v>0</v>
      </c>
      <c r="E4178" s="18">
        <v>0</v>
      </c>
      <c r="F4178" s="18">
        <v>0</v>
      </c>
      <c r="G4178" s="18">
        <v>0</v>
      </c>
      <c r="H4178" s="18">
        <v>0</v>
      </c>
    </row>
    <row r="4179" spans="2:8">
      <c r="B4179" s="14" t="s">
        <v>10122</v>
      </c>
      <c r="C4179" s="245" t="s">
        <v>4502</v>
      </c>
      <c r="D4179" s="15">
        <v>0</v>
      </c>
      <c r="E4179" s="15">
        <v>0</v>
      </c>
      <c r="F4179" s="15">
        <v>0</v>
      </c>
      <c r="G4179" s="15">
        <v>0</v>
      </c>
      <c r="H4179" s="15">
        <v>0</v>
      </c>
    </row>
    <row r="4180" spans="2:8">
      <c r="B4180" s="17" t="s">
        <v>10123</v>
      </c>
      <c r="C4180" s="246" t="s">
        <v>4503</v>
      </c>
      <c r="D4180" s="18">
        <v>0</v>
      </c>
      <c r="E4180" s="18">
        <v>0</v>
      </c>
      <c r="F4180" s="18">
        <v>0</v>
      </c>
      <c r="G4180" s="18">
        <v>0</v>
      </c>
      <c r="H4180" s="18">
        <v>0</v>
      </c>
    </row>
    <row r="4181" spans="2:8">
      <c r="B4181" s="14" t="s">
        <v>10124</v>
      </c>
      <c r="C4181" s="245" t="s">
        <v>4504</v>
      </c>
      <c r="D4181" s="15">
        <v>0</v>
      </c>
      <c r="E4181" s="15">
        <v>0</v>
      </c>
      <c r="F4181" s="15">
        <v>0</v>
      </c>
      <c r="G4181" s="15">
        <v>0</v>
      </c>
      <c r="H4181" s="15">
        <v>0</v>
      </c>
    </row>
    <row r="4182" spans="2:8">
      <c r="B4182" s="17" t="s">
        <v>10125</v>
      </c>
      <c r="C4182" s="246" t="s">
        <v>4505</v>
      </c>
      <c r="D4182" s="18">
        <v>0</v>
      </c>
      <c r="E4182" s="18">
        <v>0</v>
      </c>
      <c r="F4182" s="18">
        <v>0</v>
      </c>
      <c r="G4182" s="18">
        <v>0</v>
      </c>
      <c r="H4182" s="18">
        <v>0</v>
      </c>
    </row>
    <row r="4183" spans="2:8">
      <c r="B4183" s="14" t="s">
        <v>10126</v>
      </c>
      <c r="C4183" s="245" t="s">
        <v>4506</v>
      </c>
      <c r="D4183" s="15">
        <v>0</v>
      </c>
      <c r="E4183" s="15">
        <v>0</v>
      </c>
      <c r="F4183" s="15">
        <v>0</v>
      </c>
      <c r="G4183" s="15">
        <v>0</v>
      </c>
      <c r="H4183" s="15">
        <v>0</v>
      </c>
    </row>
    <row r="4184" spans="2:8">
      <c r="B4184" s="17" t="s">
        <v>10127</v>
      </c>
      <c r="C4184" s="246" t="s">
        <v>4507</v>
      </c>
      <c r="D4184" s="18">
        <v>0</v>
      </c>
      <c r="E4184" s="18">
        <v>0</v>
      </c>
      <c r="F4184" s="18">
        <v>0</v>
      </c>
      <c r="G4184" s="18">
        <v>0</v>
      </c>
      <c r="H4184" s="18">
        <v>0</v>
      </c>
    </row>
    <row r="4185" spans="2:8">
      <c r="B4185" s="14" t="s">
        <v>10128</v>
      </c>
      <c r="C4185" s="245" t="s">
        <v>4508</v>
      </c>
      <c r="D4185" s="15">
        <v>0</v>
      </c>
      <c r="E4185" s="15">
        <v>75</v>
      </c>
      <c r="F4185" s="15">
        <v>0</v>
      </c>
      <c r="G4185" s="15">
        <v>0</v>
      </c>
      <c r="H4185" s="15">
        <v>0</v>
      </c>
    </row>
    <row r="4186" spans="2:8">
      <c r="B4186" s="17" t="s">
        <v>10129</v>
      </c>
      <c r="C4186" s="246" t="s">
        <v>4509</v>
      </c>
      <c r="D4186" s="18">
        <v>0</v>
      </c>
      <c r="E4186" s="18">
        <v>0</v>
      </c>
      <c r="F4186" s="18">
        <v>0</v>
      </c>
      <c r="G4186" s="18">
        <v>0</v>
      </c>
      <c r="H4186" s="18">
        <v>0</v>
      </c>
    </row>
    <row r="4187" spans="2:8">
      <c r="B4187" s="14" t="s">
        <v>10130</v>
      </c>
      <c r="C4187" s="245" t="s">
        <v>4510</v>
      </c>
      <c r="D4187" s="15">
        <v>0</v>
      </c>
      <c r="E4187" s="15">
        <v>0</v>
      </c>
      <c r="F4187" s="15">
        <v>0</v>
      </c>
      <c r="G4187" s="15">
        <v>0</v>
      </c>
      <c r="H4187" s="15">
        <v>0</v>
      </c>
    </row>
    <row r="4188" spans="2:8">
      <c r="B4188" s="17" t="s">
        <v>10131</v>
      </c>
      <c r="C4188" s="246" t="s">
        <v>4511</v>
      </c>
      <c r="D4188" s="18">
        <v>0</v>
      </c>
      <c r="E4188" s="18">
        <v>0</v>
      </c>
      <c r="F4188" s="18">
        <v>0</v>
      </c>
      <c r="G4188" s="18">
        <v>0</v>
      </c>
      <c r="H4188" s="18">
        <v>0</v>
      </c>
    </row>
    <row r="4189" spans="2:8">
      <c r="B4189" s="14" t="s">
        <v>10132</v>
      </c>
      <c r="C4189" s="245" t="s">
        <v>4512</v>
      </c>
      <c r="D4189" s="15">
        <v>0</v>
      </c>
      <c r="E4189" s="15">
        <v>0</v>
      </c>
      <c r="F4189" s="15">
        <v>0</v>
      </c>
      <c r="G4189" s="15">
        <v>0</v>
      </c>
      <c r="H4189" s="15">
        <v>0</v>
      </c>
    </row>
    <row r="4190" spans="2:8">
      <c r="B4190" s="17" t="s">
        <v>10133</v>
      </c>
      <c r="C4190" s="246" t="s">
        <v>4513</v>
      </c>
      <c r="D4190" s="18">
        <v>0</v>
      </c>
      <c r="E4190" s="18">
        <v>0</v>
      </c>
      <c r="F4190" s="18">
        <v>0</v>
      </c>
      <c r="G4190" s="18">
        <v>0</v>
      </c>
      <c r="H4190" s="18">
        <v>0</v>
      </c>
    </row>
    <row r="4191" spans="2:8">
      <c r="B4191" s="14" t="s">
        <v>10134</v>
      </c>
      <c r="C4191" s="245" t="s">
        <v>4514</v>
      </c>
      <c r="D4191" s="15">
        <v>0</v>
      </c>
      <c r="E4191" s="15">
        <v>0</v>
      </c>
      <c r="F4191" s="15">
        <v>0</v>
      </c>
      <c r="G4191" s="15">
        <v>0</v>
      </c>
      <c r="H4191" s="15">
        <v>0</v>
      </c>
    </row>
    <row r="4192" spans="2:8">
      <c r="B4192" s="17" t="s">
        <v>10135</v>
      </c>
      <c r="C4192" s="246" t="s">
        <v>4515</v>
      </c>
      <c r="D4192" s="18">
        <v>0</v>
      </c>
      <c r="E4192" s="18">
        <v>0</v>
      </c>
      <c r="F4192" s="18">
        <v>0</v>
      </c>
      <c r="G4192" s="18">
        <v>0</v>
      </c>
      <c r="H4192" s="18">
        <v>0</v>
      </c>
    </row>
    <row r="4193" spans="2:8">
      <c r="B4193" s="14" t="s">
        <v>10136</v>
      </c>
      <c r="C4193" s="245" t="s">
        <v>4516</v>
      </c>
      <c r="D4193" s="15">
        <v>0</v>
      </c>
      <c r="E4193" s="15">
        <v>0</v>
      </c>
      <c r="F4193" s="15">
        <v>0</v>
      </c>
      <c r="G4193" s="15">
        <v>0</v>
      </c>
      <c r="H4193" s="15">
        <v>0</v>
      </c>
    </row>
    <row r="4194" spans="2:8">
      <c r="B4194" s="17" t="s">
        <v>10137</v>
      </c>
      <c r="C4194" s="246" t="s">
        <v>4517</v>
      </c>
      <c r="D4194" s="18">
        <v>0</v>
      </c>
      <c r="E4194" s="18">
        <v>0</v>
      </c>
      <c r="F4194" s="18">
        <v>0</v>
      </c>
      <c r="G4194" s="18">
        <v>0</v>
      </c>
      <c r="H4194" s="18">
        <v>0</v>
      </c>
    </row>
    <row r="4195" spans="2:8">
      <c r="B4195" s="14" t="s">
        <v>10138</v>
      </c>
      <c r="C4195" s="245" t="s">
        <v>4518</v>
      </c>
      <c r="D4195" s="15">
        <v>0</v>
      </c>
      <c r="E4195" s="15">
        <v>0</v>
      </c>
      <c r="F4195" s="15">
        <v>0</v>
      </c>
      <c r="G4195" s="15">
        <v>0</v>
      </c>
      <c r="H4195" s="15">
        <v>0</v>
      </c>
    </row>
    <row r="4196" spans="2:8">
      <c r="B4196" s="17" t="s">
        <v>10139</v>
      </c>
      <c r="C4196" s="246" t="s">
        <v>4519</v>
      </c>
      <c r="D4196" s="18">
        <v>0</v>
      </c>
      <c r="E4196" s="18">
        <v>0</v>
      </c>
      <c r="F4196" s="18">
        <v>0</v>
      </c>
      <c r="G4196" s="18">
        <v>0</v>
      </c>
      <c r="H4196" s="18">
        <v>0</v>
      </c>
    </row>
    <row r="4197" spans="2:8">
      <c r="B4197" s="14" t="s">
        <v>10140</v>
      </c>
      <c r="C4197" s="245" t="s">
        <v>4520</v>
      </c>
      <c r="D4197" s="15">
        <v>0</v>
      </c>
      <c r="E4197" s="15">
        <v>0</v>
      </c>
      <c r="F4197" s="15">
        <v>0</v>
      </c>
      <c r="G4197" s="15">
        <v>0</v>
      </c>
      <c r="H4197" s="15">
        <v>0</v>
      </c>
    </row>
    <row r="4198" spans="2:8">
      <c r="B4198" s="17" t="s">
        <v>10141</v>
      </c>
      <c r="C4198" s="246" t="s">
        <v>4521</v>
      </c>
      <c r="D4198" s="18">
        <v>0</v>
      </c>
      <c r="E4198" s="18">
        <v>0</v>
      </c>
      <c r="F4198" s="18">
        <v>0</v>
      </c>
      <c r="G4198" s="18">
        <v>0</v>
      </c>
      <c r="H4198" s="18">
        <v>0</v>
      </c>
    </row>
    <row r="4199" spans="2:8">
      <c r="B4199" s="14" t="s">
        <v>10142</v>
      </c>
      <c r="C4199" s="245" t="s">
        <v>4522</v>
      </c>
      <c r="D4199" s="15">
        <v>0</v>
      </c>
      <c r="E4199" s="15">
        <v>0</v>
      </c>
      <c r="F4199" s="15">
        <v>0</v>
      </c>
      <c r="G4199" s="15">
        <v>0</v>
      </c>
      <c r="H4199" s="15">
        <v>0</v>
      </c>
    </row>
    <row r="4200" spans="2:8">
      <c r="B4200" s="17" t="s">
        <v>10143</v>
      </c>
      <c r="C4200" s="246" t="s">
        <v>4523</v>
      </c>
      <c r="D4200" s="18">
        <v>0</v>
      </c>
      <c r="E4200" s="18">
        <v>0</v>
      </c>
      <c r="F4200" s="18">
        <v>0</v>
      </c>
      <c r="G4200" s="18">
        <v>0</v>
      </c>
      <c r="H4200" s="18">
        <v>0</v>
      </c>
    </row>
    <row r="4201" spans="2:8">
      <c r="B4201" s="14" t="s">
        <v>10144</v>
      </c>
      <c r="C4201" s="245" t="s">
        <v>4524</v>
      </c>
      <c r="D4201" s="15">
        <v>0</v>
      </c>
      <c r="E4201" s="15">
        <v>15</v>
      </c>
      <c r="F4201" s="15">
        <v>8</v>
      </c>
      <c r="G4201" s="15">
        <v>10</v>
      </c>
      <c r="H4201" s="15">
        <v>0</v>
      </c>
    </row>
    <row r="4202" spans="2:8">
      <c r="B4202" s="17" t="s">
        <v>10145</v>
      </c>
      <c r="C4202" s="246" t="s">
        <v>4525</v>
      </c>
      <c r="D4202" s="18">
        <v>0</v>
      </c>
      <c r="E4202" s="18">
        <v>0</v>
      </c>
      <c r="F4202" s="18">
        <v>0</v>
      </c>
      <c r="G4202" s="18">
        <v>0</v>
      </c>
      <c r="H4202" s="18">
        <v>0</v>
      </c>
    </row>
    <row r="4203" spans="2:8">
      <c r="B4203" s="14" t="s">
        <v>10146</v>
      </c>
      <c r="C4203" s="245" t="s">
        <v>4526</v>
      </c>
      <c r="D4203" s="15">
        <v>0</v>
      </c>
      <c r="E4203" s="15">
        <v>0</v>
      </c>
      <c r="F4203" s="15">
        <v>0</v>
      </c>
      <c r="G4203" s="15">
        <v>0</v>
      </c>
      <c r="H4203" s="15">
        <v>0</v>
      </c>
    </row>
    <row r="4204" spans="2:8">
      <c r="B4204" s="17" t="s">
        <v>10147</v>
      </c>
      <c r="C4204" s="246" t="s">
        <v>1967</v>
      </c>
      <c r="D4204" s="18">
        <v>0</v>
      </c>
      <c r="E4204" s="18">
        <v>0</v>
      </c>
      <c r="F4204" s="18">
        <v>0</v>
      </c>
      <c r="G4204" s="18">
        <v>10</v>
      </c>
      <c r="H4204" s="18">
        <v>0</v>
      </c>
    </row>
    <row r="4205" spans="2:8">
      <c r="B4205" s="14" t="s">
        <v>10148</v>
      </c>
      <c r="C4205" s="245" t="s">
        <v>4527</v>
      </c>
      <c r="D4205" s="15">
        <v>0</v>
      </c>
      <c r="E4205" s="15">
        <v>0</v>
      </c>
      <c r="F4205" s="15">
        <v>0</v>
      </c>
      <c r="G4205" s="15">
        <v>0</v>
      </c>
      <c r="H4205" s="15">
        <v>0</v>
      </c>
    </row>
    <row r="4206" spans="2:8">
      <c r="B4206" s="17" t="s">
        <v>10149</v>
      </c>
      <c r="C4206" s="246" t="s">
        <v>4528</v>
      </c>
      <c r="D4206" s="18">
        <v>0</v>
      </c>
      <c r="E4206" s="18">
        <v>0</v>
      </c>
      <c r="F4206" s="18">
        <v>14</v>
      </c>
      <c r="G4206" s="18">
        <v>444</v>
      </c>
      <c r="H4206" s="18">
        <v>0</v>
      </c>
    </row>
    <row r="4207" spans="2:8">
      <c r="B4207" s="14" t="s">
        <v>10150</v>
      </c>
      <c r="C4207" s="245" t="s">
        <v>4529</v>
      </c>
      <c r="D4207" s="15">
        <v>0</v>
      </c>
      <c r="E4207" s="15">
        <v>0</v>
      </c>
      <c r="F4207" s="15">
        <v>0</v>
      </c>
      <c r="G4207" s="15">
        <v>0</v>
      </c>
      <c r="H4207" s="15">
        <v>0</v>
      </c>
    </row>
    <row r="4208" spans="2:8">
      <c r="B4208" s="17" t="s">
        <v>10151</v>
      </c>
      <c r="C4208" s="246" t="s">
        <v>4530</v>
      </c>
      <c r="D4208" s="18">
        <v>0</v>
      </c>
      <c r="E4208" s="18">
        <v>0</v>
      </c>
      <c r="F4208" s="18">
        <v>0</v>
      </c>
      <c r="G4208" s="18">
        <v>0</v>
      </c>
      <c r="H4208" s="18">
        <v>0</v>
      </c>
    </row>
    <row r="4209" spans="2:8">
      <c r="B4209" s="14" t="s">
        <v>10152</v>
      </c>
      <c r="C4209" s="245" t="s">
        <v>4531</v>
      </c>
      <c r="D4209" s="15">
        <v>0</v>
      </c>
      <c r="E4209" s="15">
        <v>0</v>
      </c>
      <c r="F4209" s="15">
        <v>0</v>
      </c>
      <c r="G4209" s="15">
        <v>0</v>
      </c>
      <c r="H4209" s="15">
        <v>0</v>
      </c>
    </row>
    <row r="4210" spans="2:8">
      <c r="B4210" s="17" t="s">
        <v>10153</v>
      </c>
      <c r="C4210" s="246" t="s">
        <v>4532</v>
      </c>
      <c r="D4210" s="18">
        <v>0</v>
      </c>
      <c r="E4210" s="18">
        <v>0</v>
      </c>
      <c r="F4210" s="18">
        <v>0</v>
      </c>
      <c r="G4210" s="18">
        <v>0</v>
      </c>
      <c r="H4210" s="18">
        <v>0</v>
      </c>
    </row>
    <row r="4211" spans="2:8">
      <c r="B4211" s="14" t="s">
        <v>10154</v>
      </c>
      <c r="C4211" s="245" t="s">
        <v>4533</v>
      </c>
      <c r="D4211" s="15">
        <v>0</v>
      </c>
      <c r="E4211" s="15">
        <v>0</v>
      </c>
      <c r="F4211" s="15">
        <v>0</v>
      </c>
      <c r="G4211" s="15">
        <v>0</v>
      </c>
      <c r="H4211" s="15">
        <v>0</v>
      </c>
    </row>
    <row r="4212" spans="2:8">
      <c r="B4212" s="17" t="s">
        <v>10155</v>
      </c>
      <c r="C4212" s="246" t="s">
        <v>4534</v>
      </c>
      <c r="D4212" s="18">
        <v>0</v>
      </c>
      <c r="E4212" s="18">
        <v>36</v>
      </c>
      <c r="F4212" s="18">
        <v>0</v>
      </c>
      <c r="G4212" s="18">
        <v>0</v>
      </c>
      <c r="H4212" s="18">
        <v>0</v>
      </c>
    </row>
    <row r="4213" spans="2:8">
      <c r="B4213" s="14" t="s">
        <v>10156</v>
      </c>
      <c r="C4213" s="245" t="s">
        <v>4535</v>
      </c>
      <c r="D4213" s="15">
        <v>3</v>
      </c>
      <c r="E4213" s="15">
        <v>0</v>
      </c>
      <c r="F4213" s="15">
        <v>0</v>
      </c>
      <c r="G4213" s="15">
        <v>3</v>
      </c>
      <c r="H4213" s="15">
        <v>0</v>
      </c>
    </row>
    <row r="4214" spans="2:8">
      <c r="B4214" s="17" t="s">
        <v>10157</v>
      </c>
      <c r="C4214" s="246" t="s">
        <v>4536</v>
      </c>
      <c r="D4214" s="18">
        <v>36</v>
      </c>
      <c r="E4214" s="18">
        <v>0</v>
      </c>
      <c r="F4214" s="18">
        <v>0</v>
      </c>
      <c r="G4214" s="18">
        <v>23</v>
      </c>
      <c r="H4214" s="18">
        <v>0</v>
      </c>
    </row>
    <row r="4215" spans="2:8">
      <c r="B4215" s="14" t="s">
        <v>10158</v>
      </c>
      <c r="C4215" s="245" t="s">
        <v>4537</v>
      </c>
      <c r="D4215" s="15">
        <v>0</v>
      </c>
      <c r="E4215" s="15">
        <v>0</v>
      </c>
      <c r="F4215" s="15">
        <v>0</v>
      </c>
      <c r="G4215" s="15">
        <v>0</v>
      </c>
      <c r="H4215" s="15">
        <v>0</v>
      </c>
    </row>
    <row r="4216" spans="2:8">
      <c r="B4216" s="17" t="s">
        <v>10159</v>
      </c>
      <c r="C4216" s="246" t="s">
        <v>4538</v>
      </c>
      <c r="D4216" s="18">
        <v>0</v>
      </c>
      <c r="E4216" s="18">
        <v>0</v>
      </c>
      <c r="F4216" s="18">
        <v>0</v>
      </c>
      <c r="G4216" s="18">
        <v>0</v>
      </c>
      <c r="H4216" s="18">
        <v>0</v>
      </c>
    </row>
    <row r="4217" spans="2:8">
      <c r="B4217" s="14" t="s">
        <v>10160</v>
      </c>
      <c r="C4217" s="245" t="s">
        <v>4539</v>
      </c>
      <c r="D4217" s="15">
        <v>0</v>
      </c>
      <c r="E4217" s="15">
        <v>0</v>
      </c>
      <c r="F4217" s="15">
        <v>0</v>
      </c>
      <c r="G4217" s="15">
        <v>0</v>
      </c>
      <c r="H4217" s="15">
        <v>0</v>
      </c>
    </row>
    <row r="4218" spans="2:8">
      <c r="B4218" s="17" t="s">
        <v>10161</v>
      </c>
      <c r="C4218" s="246" t="s">
        <v>4540</v>
      </c>
      <c r="D4218" s="18">
        <v>0</v>
      </c>
      <c r="E4218" s="18">
        <v>0</v>
      </c>
      <c r="F4218" s="18">
        <v>0</v>
      </c>
      <c r="G4218" s="18">
        <v>0</v>
      </c>
      <c r="H4218" s="18">
        <v>0</v>
      </c>
    </row>
    <row r="4219" spans="2:8">
      <c r="B4219" s="14" t="s">
        <v>10162</v>
      </c>
      <c r="C4219" s="245" t="s">
        <v>2459</v>
      </c>
      <c r="D4219" s="15">
        <v>0</v>
      </c>
      <c r="E4219" s="15">
        <v>0</v>
      </c>
      <c r="F4219" s="15">
        <v>0</v>
      </c>
      <c r="G4219" s="15">
        <v>0</v>
      </c>
      <c r="H4219" s="15">
        <v>0</v>
      </c>
    </row>
    <row r="4220" spans="2:8">
      <c r="B4220" s="17" t="s">
        <v>10163</v>
      </c>
      <c r="C4220" s="246" t="s">
        <v>4541</v>
      </c>
      <c r="D4220" s="18">
        <v>0</v>
      </c>
      <c r="E4220" s="18">
        <v>0</v>
      </c>
      <c r="F4220" s="18">
        <v>0</v>
      </c>
      <c r="G4220" s="18">
        <v>0</v>
      </c>
      <c r="H4220" s="18">
        <v>0</v>
      </c>
    </row>
    <row r="4221" spans="2:8">
      <c r="B4221" s="14" t="s">
        <v>10164</v>
      </c>
      <c r="C4221" s="245" t="s">
        <v>1941</v>
      </c>
      <c r="D4221" s="15">
        <v>0</v>
      </c>
      <c r="E4221" s="15">
        <v>0</v>
      </c>
      <c r="F4221" s="15">
        <v>0</v>
      </c>
      <c r="G4221" s="15">
        <v>0</v>
      </c>
      <c r="H4221" s="15">
        <v>0</v>
      </c>
    </row>
    <row r="4222" spans="2:8">
      <c r="B4222" s="17" t="s">
        <v>10165</v>
      </c>
      <c r="C4222" s="246" t="s">
        <v>4542</v>
      </c>
      <c r="D4222" s="18">
        <v>0</v>
      </c>
      <c r="E4222" s="18">
        <v>0</v>
      </c>
      <c r="F4222" s="18">
        <v>0</v>
      </c>
      <c r="G4222" s="18">
        <v>0</v>
      </c>
      <c r="H4222" s="18">
        <v>0</v>
      </c>
    </row>
    <row r="4223" spans="2:8">
      <c r="B4223" s="14" t="s">
        <v>10166</v>
      </c>
      <c r="C4223" s="245" t="s">
        <v>4543</v>
      </c>
      <c r="D4223" s="15">
        <v>0</v>
      </c>
      <c r="E4223" s="15">
        <v>0</v>
      </c>
      <c r="F4223" s="15">
        <v>0</v>
      </c>
      <c r="G4223" s="15">
        <v>0</v>
      </c>
      <c r="H4223" s="15">
        <v>0</v>
      </c>
    </row>
    <row r="4224" spans="2:8">
      <c r="B4224" s="17" t="s">
        <v>10167</v>
      </c>
      <c r="C4224" s="246" t="s">
        <v>4544</v>
      </c>
      <c r="D4224" s="18">
        <v>17</v>
      </c>
      <c r="E4224" s="18">
        <v>0</v>
      </c>
      <c r="F4224" s="18">
        <v>0</v>
      </c>
      <c r="G4224" s="18">
        <v>0</v>
      </c>
      <c r="H4224" s="18">
        <v>0</v>
      </c>
    </row>
    <row r="4225" spans="2:8">
      <c r="B4225" s="14" t="s">
        <v>10168</v>
      </c>
      <c r="C4225" s="245" t="s">
        <v>4545</v>
      </c>
      <c r="D4225" s="15">
        <v>0</v>
      </c>
      <c r="E4225" s="15">
        <v>0</v>
      </c>
      <c r="F4225" s="15">
        <v>0</v>
      </c>
      <c r="G4225" s="15">
        <v>0</v>
      </c>
      <c r="H4225" s="15">
        <v>0</v>
      </c>
    </row>
    <row r="4226" spans="2:8">
      <c r="B4226" s="17" t="s">
        <v>10169</v>
      </c>
      <c r="C4226" s="246" t="s">
        <v>4546</v>
      </c>
      <c r="D4226" s="18">
        <v>0</v>
      </c>
      <c r="E4226" s="18">
        <v>0</v>
      </c>
      <c r="F4226" s="18">
        <v>0</v>
      </c>
      <c r="G4226" s="18">
        <v>0</v>
      </c>
      <c r="H4226" s="18">
        <v>0</v>
      </c>
    </row>
    <row r="4227" spans="2:8">
      <c r="B4227" s="14" t="s">
        <v>10170</v>
      </c>
      <c r="C4227" s="245" t="s">
        <v>4547</v>
      </c>
      <c r="D4227" s="15">
        <v>0</v>
      </c>
      <c r="E4227" s="15">
        <v>0</v>
      </c>
      <c r="F4227" s="15">
        <v>0</v>
      </c>
      <c r="G4227" s="15">
        <v>0</v>
      </c>
      <c r="H4227" s="15">
        <v>0</v>
      </c>
    </row>
    <row r="4228" spans="2:8">
      <c r="B4228" s="17" t="s">
        <v>10171</v>
      </c>
      <c r="C4228" s="246" t="s">
        <v>3564</v>
      </c>
      <c r="D4228" s="18">
        <v>0</v>
      </c>
      <c r="E4228" s="18">
        <v>0</v>
      </c>
      <c r="F4228" s="18">
        <v>0</v>
      </c>
      <c r="G4228" s="18">
        <v>0</v>
      </c>
      <c r="H4228" s="18">
        <v>0</v>
      </c>
    </row>
    <row r="4229" spans="2:8">
      <c r="B4229" s="14" t="s">
        <v>10172</v>
      </c>
      <c r="C4229" s="245" t="s">
        <v>4548</v>
      </c>
      <c r="D4229" s="15">
        <v>0</v>
      </c>
      <c r="E4229" s="15">
        <v>0</v>
      </c>
      <c r="F4229" s="15">
        <v>0</v>
      </c>
      <c r="G4229" s="15">
        <v>0</v>
      </c>
      <c r="H4229" s="15">
        <v>0</v>
      </c>
    </row>
    <row r="4230" spans="2:8">
      <c r="B4230" s="17" t="s">
        <v>10173</v>
      </c>
      <c r="C4230" s="246" t="s">
        <v>4549</v>
      </c>
      <c r="D4230" s="18">
        <v>3</v>
      </c>
      <c r="E4230" s="18">
        <v>0</v>
      </c>
      <c r="F4230" s="18">
        <v>0</v>
      </c>
      <c r="G4230" s="18">
        <v>0</v>
      </c>
      <c r="H4230" s="18">
        <v>0</v>
      </c>
    </row>
    <row r="4231" spans="2:8">
      <c r="B4231" s="14" t="s">
        <v>10174</v>
      </c>
      <c r="C4231" s="245" t="s">
        <v>4550</v>
      </c>
      <c r="D4231" s="15">
        <v>0</v>
      </c>
      <c r="E4231" s="15">
        <v>4</v>
      </c>
      <c r="F4231" s="15">
        <v>0</v>
      </c>
      <c r="G4231" s="15">
        <v>6</v>
      </c>
      <c r="H4231" s="15">
        <v>0</v>
      </c>
    </row>
    <row r="4232" spans="2:8">
      <c r="B4232" s="17" t="s">
        <v>10175</v>
      </c>
      <c r="C4232" s="246" t="s">
        <v>4551</v>
      </c>
      <c r="D4232" s="18">
        <v>0</v>
      </c>
      <c r="E4232" s="18">
        <v>0</v>
      </c>
      <c r="F4232" s="18">
        <v>0</v>
      </c>
      <c r="G4232" s="18">
        <v>0</v>
      </c>
      <c r="H4232" s="18">
        <v>0</v>
      </c>
    </row>
    <row r="4233" spans="2:8">
      <c r="B4233" s="14" t="s">
        <v>10176</v>
      </c>
      <c r="C4233" s="245" t="s">
        <v>4552</v>
      </c>
      <c r="D4233" s="15">
        <v>0</v>
      </c>
      <c r="E4233" s="15">
        <v>0</v>
      </c>
      <c r="F4233" s="15">
        <v>0</v>
      </c>
      <c r="G4233" s="15">
        <v>0</v>
      </c>
      <c r="H4233" s="15">
        <v>0</v>
      </c>
    </row>
    <row r="4234" spans="2:8">
      <c r="B4234" s="17" t="s">
        <v>10177</v>
      </c>
      <c r="C4234" s="246" t="s">
        <v>4553</v>
      </c>
      <c r="D4234" s="18">
        <v>0</v>
      </c>
      <c r="E4234" s="18">
        <v>0</v>
      </c>
      <c r="F4234" s="18">
        <v>0</v>
      </c>
      <c r="G4234" s="18">
        <v>0</v>
      </c>
      <c r="H4234" s="18">
        <v>0</v>
      </c>
    </row>
    <row r="4235" spans="2:8">
      <c r="B4235" s="14" t="s">
        <v>10178</v>
      </c>
      <c r="C4235" s="245" t="s">
        <v>3225</v>
      </c>
      <c r="D4235" s="15">
        <v>0</v>
      </c>
      <c r="E4235" s="15">
        <v>0</v>
      </c>
      <c r="F4235" s="15">
        <v>0</v>
      </c>
      <c r="G4235" s="15">
        <v>0</v>
      </c>
      <c r="H4235" s="15">
        <v>0</v>
      </c>
    </row>
    <row r="4236" spans="2:8">
      <c r="B4236" s="17" t="s">
        <v>10179</v>
      </c>
      <c r="C4236" s="246" t="s">
        <v>3229</v>
      </c>
      <c r="D4236" s="18">
        <v>0</v>
      </c>
      <c r="E4236" s="18">
        <v>0</v>
      </c>
      <c r="F4236" s="18">
        <v>0</v>
      </c>
      <c r="G4236" s="18">
        <v>0</v>
      </c>
      <c r="H4236" s="18">
        <v>0</v>
      </c>
    </row>
    <row r="4237" spans="2:8">
      <c r="B4237" s="14" t="s">
        <v>10180</v>
      </c>
      <c r="C4237" s="245" t="s">
        <v>4554</v>
      </c>
      <c r="D4237" s="15">
        <v>0</v>
      </c>
      <c r="E4237" s="15">
        <v>0</v>
      </c>
      <c r="F4237" s="15">
        <v>0</v>
      </c>
      <c r="G4237" s="15">
        <v>0</v>
      </c>
      <c r="H4237" s="15">
        <v>0</v>
      </c>
    </row>
    <row r="4238" spans="2:8">
      <c r="B4238" s="17" t="s">
        <v>10181</v>
      </c>
      <c r="C4238" s="246" t="s">
        <v>4555</v>
      </c>
      <c r="D4238" s="18">
        <v>0</v>
      </c>
      <c r="E4238" s="18">
        <v>0</v>
      </c>
      <c r="F4238" s="18">
        <v>0</v>
      </c>
      <c r="G4238" s="18">
        <v>0</v>
      </c>
      <c r="H4238" s="18">
        <v>0</v>
      </c>
    </row>
    <row r="4239" spans="2:8">
      <c r="B4239" s="14" t="s">
        <v>10182</v>
      </c>
      <c r="C4239" s="245" t="s">
        <v>4556</v>
      </c>
      <c r="D4239" s="15">
        <v>0</v>
      </c>
      <c r="E4239" s="15">
        <v>0</v>
      </c>
      <c r="F4239" s="15">
        <v>0</v>
      </c>
      <c r="G4239" s="15">
        <v>0</v>
      </c>
      <c r="H4239" s="15">
        <v>0</v>
      </c>
    </row>
    <row r="4240" spans="2:8">
      <c r="B4240" s="17" t="s">
        <v>10183</v>
      </c>
      <c r="C4240" s="246" t="s">
        <v>1887</v>
      </c>
      <c r="D4240" s="18">
        <v>0</v>
      </c>
      <c r="E4240" s="18">
        <v>0</v>
      </c>
      <c r="F4240" s="18">
        <v>0</v>
      </c>
      <c r="G4240" s="18">
        <v>0</v>
      </c>
      <c r="H4240" s="18">
        <v>0</v>
      </c>
    </row>
    <row r="4241" spans="2:8">
      <c r="B4241" s="14" t="s">
        <v>10184</v>
      </c>
      <c r="C4241" s="245" t="s">
        <v>4557</v>
      </c>
      <c r="D4241" s="15">
        <v>0</v>
      </c>
      <c r="E4241" s="15">
        <v>0</v>
      </c>
      <c r="F4241" s="15">
        <v>0</v>
      </c>
      <c r="G4241" s="15">
        <v>0</v>
      </c>
      <c r="H4241" s="15">
        <v>0</v>
      </c>
    </row>
    <row r="4242" spans="2:8">
      <c r="B4242" s="17" t="s">
        <v>10185</v>
      </c>
      <c r="C4242" s="246" t="s">
        <v>4558</v>
      </c>
      <c r="D4242" s="18">
        <v>0</v>
      </c>
      <c r="E4242" s="18">
        <v>0</v>
      </c>
      <c r="F4242" s="18">
        <v>0</v>
      </c>
      <c r="G4242" s="18">
        <v>0</v>
      </c>
      <c r="H4242" s="18">
        <v>0</v>
      </c>
    </row>
    <row r="4243" spans="2:8">
      <c r="B4243" s="14" t="s">
        <v>10186</v>
      </c>
      <c r="C4243" s="245" t="s">
        <v>4559</v>
      </c>
      <c r="D4243" s="15">
        <v>0</v>
      </c>
      <c r="E4243" s="15">
        <v>0</v>
      </c>
      <c r="F4243" s="15">
        <v>0</v>
      </c>
      <c r="G4243" s="15">
        <v>0</v>
      </c>
      <c r="H4243" s="15">
        <v>0</v>
      </c>
    </row>
    <row r="4244" spans="2:8">
      <c r="B4244" s="17" t="s">
        <v>10187</v>
      </c>
      <c r="C4244" s="246" t="s">
        <v>4560</v>
      </c>
      <c r="D4244" s="18">
        <v>0</v>
      </c>
      <c r="E4244" s="18">
        <v>0</v>
      </c>
      <c r="F4244" s="18">
        <v>0</v>
      </c>
      <c r="G4244" s="18">
        <v>0</v>
      </c>
      <c r="H4244" s="18">
        <v>0</v>
      </c>
    </row>
    <row r="4245" spans="2:8">
      <c r="B4245" s="14" t="s">
        <v>10188</v>
      </c>
      <c r="C4245" s="245" t="s">
        <v>4561</v>
      </c>
      <c r="D4245" s="15">
        <v>0</v>
      </c>
      <c r="E4245" s="15">
        <v>0</v>
      </c>
      <c r="F4245" s="15">
        <v>0</v>
      </c>
      <c r="G4245" s="15">
        <v>41</v>
      </c>
      <c r="H4245" s="15">
        <v>0</v>
      </c>
    </row>
    <row r="4246" spans="2:8">
      <c r="B4246" s="17" t="s">
        <v>10189</v>
      </c>
      <c r="C4246" s="246" t="s">
        <v>1891</v>
      </c>
      <c r="D4246" s="18">
        <v>0</v>
      </c>
      <c r="E4246" s="18">
        <v>0</v>
      </c>
      <c r="F4246" s="18">
        <v>0</v>
      </c>
      <c r="G4246" s="18">
        <v>0</v>
      </c>
      <c r="H4246" s="18">
        <v>0</v>
      </c>
    </row>
    <row r="4247" spans="2:8">
      <c r="B4247" s="14" t="s">
        <v>10190</v>
      </c>
      <c r="C4247" s="245" t="s">
        <v>4562</v>
      </c>
      <c r="D4247" s="15">
        <v>0</v>
      </c>
      <c r="E4247" s="15">
        <v>0</v>
      </c>
      <c r="F4247" s="15">
        <v>0</v>
      </c>
      <c r="G4247" s="15">
        <v>17</v>
      </c>
      <c r="H4247" s="15">
        <v>0</v>
      </c>
    </row>
    <row r="4248" spans="2:8">
      <c r="B4248" s="17" t="s">
        <v>10191</v>
      </c>
      <c r="C4248" s="246" t="s">
        <v>4563</v>
      </c>
      <c r="D4248" s="18">
        <v>0</v>
      </c>
      <c r="E4248" s="18">
        <v>0</v>
      </c>
      <c r="F4248" s="18">
        <v>0</v>
      </c>
      <c r="G4248" s="18">
        <v>0</v>
      </c>
      <c r="H4248" s="18">
        <v>0</v>
      </c>
    </row>
    <row r="4249" spans="2:8">
      <c r="B4249" s="14" t="s">
        <v>10192</v>
      </c>
      <c r="C4249" s="245" t="s">
        <v>3205</v>
      </c>
      <c r="D4249" s="15">
        <v>0</v>
      </c>
      <c r="E4249" s="15">
        <v>0</v>
      </c>
      <c r="F4249" s="15">
        <v>0</v>
      </c>
      <c r="G4249" s="15">
        <v>0</v>
      </c>
      <c r="H4249" s="15">
        <v>0</v>
      </c>
    </row>
    <row r="4250" spans="2:8">
      <c r="B4250" s="17" t="s">
        <v>10193</v>
      </c>
      <c r="C4250" s="246" t="s">
        <v>4564</v>
      </c>
      <c r="D4250" s="18">
        <v>0</v>
      </c>
      <c r="E4250" s="18">
        <v>0</v>
      </c>
      <c r="F4250" s="18">
        <v>0</v>
      </c>
      <c r="G4250" s="18">
        <v>0</v>
      </c>
      <c r="H4250" s="18">
        <v>0</v>
      </c>
    </row>
    <row r="4251" spans="2:8">
      <c r="B4251" s="14" t="s">
        <v>10194</v>
      </c>
      <c r="C4251" s="245" t="s">
        <v>4565</v>
      </c>
      <c r="D4251" s="15">
        <v>0</v>
      </c>
      <c r="E4251" s="15">
        <v>0</v>
      </c>
      <c r="F4251" s="15">
        <v>0</v>
      </c>
      <c r="G4251" s="15">
        <v>0</v>
      </c>
      <c r="H4251" s="15">
        <v>0</v>
      </c>
    </row>
    <row r="4252" spans="2:8">
      <c r="B4252" s="17" t="s">
        <v>10195</v>
      </c>
      <c r="C4252" s="246" t="s">
        <v>4566</v>
      </c>
      <c r="D4252" s="18">
        <v>0</v>
      </c>
      <c r="E4252" s="18">
        <v>0</v>
      </c>
      <c r="F4252" s="18">
        <v>0</v>
      </c>
      <c r="G4252" s="18">
        <v>0</v>
      </c>
      <c r="H4252" s="18">
        <v>0</v>
      </c>
    </row>
    <row r="4253" spans="2:8">
      <c r="B4253" s="14" t="s">
        <v>10196</v>
      </c>
      <c r="C4253" s="245" t="s">
        <v>4567</v>
      </c>
      <c r="D4253" s="15">
        <v>0</v>
      </c>
      <c r="E4253" s="15">
        <v>0</v>
      </c>
      <c r="F4253" s="15">
        <v>0</v>
      </c>
      <c r="G4253" s="15">
        <v>0</v>
      </c>
      <c r="H4253" s="15">
        <v>0</v>
      </c>
    </row>
    <row r="4254" spans="2:8">
      <c r="B4254" s="17" t="s">
        <v>10197</v>
      </c>
      <c r="C4254" s="246" t="s">
        <v>4568</v>
      </c>
      <c r="D4254" s="18">
        <v>0</v>
      </c>
      <c r="E4254" s="18">
        <v>0</v>
      </c>
      <c r="F4254" s="18">
        <v>0</v>
      </c>
      <c r="G4254" s="18">
        <v>0</v>
      </c>
      <c r="H4254" s="18">
        <v>0</v>
      </c>
    </row>
    <row r="4255" spans="2:8">
      <c r="B4255" s="14" t="s">
        <v>10198</v>
      </c>
      <c r="C4255" s="245" t="s">
        <v>4569</v>
      </c>
      <c r="D4255" s="15">
        <v>0</v>
      </c>
      <c r="E4255" s="15">
        <v>0</v>
      </c>
      <c r="F4255" s="15">
        <v>0</v>
      </c>
      <c r="G4255" s="15">
        <v>0</v>
      </c>
      <c r="H4255" s="15">
        <v>0</v>
      </c>
    </row>
    <row r="4256" spans="2:8">
      <c r="B4256" s="17" t="s">
        <v>10199</v>
      </c>
      <c r="C4256" s="246" t="s">
        <v>4570</v>
      </c>
      <c r="D4256" s="18">
        <v>0</v>
      </c>
      <c r="E4256" s="18">
        <v>0</v>
      </c>
      <c r="F4256" s="18">
        <v>0</v>
      </c>
      <c r="G4256" s="18">
        <v>0</v>
      </c>
      <c r="H4256" s="18">
        <v>0</v>
      </c>
    </row>
    <row r="4257" spans="2:8">
      <c r="B4257" s="14" t="s">
        <v>10200</v>
      </c>
      <c r="C4257" s="245" t="s">
        <v>4571</v>
      </c>
      <c r="D4257" s="15">
        <v>0</v>
      </c>
      <c r="E4257" s="15">
        <v>0</v>
      </c>
      <c r="F4257" s="15">
        <v>0</v>
      </c>
      <c r="G4257" s="15">
        <v>0</v>
      </c>
      <c r="H4257" s="15">
        <v>0</v>
      </c>
    </row>
    <row r="4258" spans="2:8">
      <c r="B4258" s="17" t="s">
        <v>10201</v>
      </c>
      <c r="C4258" s="246" t="s">
        <v>4572</v>
      </c>
      <c r="D4258" s="18">
        <v>0</v>
      </c>
      <c r="E4258" s="18">
        <v>0</v>
      </c>
      <c r="F4258" s="18">
        <v>0</v>
      </c>
      <c r="G4258" s="18">
        <v>0</v>
      </c>
      <c r="H4258" s="18">
        <v>0</v>
      </c>
    </row>
    <row r="4259" spans="2:8">
      <c r="B4259" s="14" t="s">
        <v>10202</v>
      </c>
      <c r="C4259" s="245" t="s">
        <v>4573</v>
      </c>
      <c r="D4259" s="15">
        <v>0</v>
      </c>
      <c r="E4259" s="15">
        <v>0</v>
      </c>
      <c r="F4259" s="15">
        <v>0</v>
      </c>
      <c r="G4259" s="15">
        <v>2</v>
      </c>
      <c r="H4259" s="15">
        <v>0</v>
      </c>
    </row>
    <row r="4260" spans="2:8">
      <c r="B4260" s="17" t="s">
        <v>10203</v>
      </c>
      <c r="C4260" s="246" t="s">
        <v>4574</v>
      </c>
      <c r="D4260" s="18">
        <v>0</v>
      </c>
      <c r="E4260" s="18">
        <v>0</v>
      </c>
      <c r="F4260" s="18">
        <v>0</v>
      </c>
      <c r="G4260" s="18">
        <v>0</v>
      </c>
      <c r="H4260" s="18">
        <v>0</v>
      </c>
    </row>
    <row r="4261" spans="2:8">
      <c r="B4261" s="14" t="s">
        <v>10204</v>
      </c>
      <c r="C4261" s="245" t="s">
        <v>4575</v>
      </c>
      <c r="D4261" s="15">
        <v>0</v>
      </c>
      <c r="E4261" s="15">
        <v>0</v>
      </c>
      <c r="F4261" s="15">
        <v>0</v>
      </c>
      <c r="G4261" s="15">
        <v>0</v>
      </c>
      <c r="H4261" s="15">
        <v>0</v>
      </c>
    </row>
    <row r="4262" spans="2:8">
      <c r="B4262" s="17" t="s">
        <v>10205</v>
      </c>
      <c r="C4262" s="246" t="s">
        <v>4576</v>
      </c>
      <c r="D4262" s="18">
        <v>0</v>
      </c>
      <c r="E4262" s="18">
        <v>0</v>
      </c>
      <c r="F4262" s="18">
        <v>0</v>
      </c>
      <c r="G4262" s="18">
        <v>0</v>
      </c>
      <c r="H4262" s="18">
        <v>0</v>
      </c>
    </row>
    <row r="4263" spans="2:8">
      <c r="B4263" s="14" t="s">
        <v>10206</v>
      </c>
      <c r="C4263" s="245" t="s">
        <v>4577</v>
      </c>
      <c r="D4263" s="15">
        <v>0</v>
      </c>
      <c r="E4263" s="15">
        <v>0</v>
      </c>
      <c r="F4263" s="15">
        <v>0</v>
      </c>
      <c r="G4263" s="15">
        <v>0</v>
      </c>
      <c r="H4263" s="15">
        <v>0</v>
      </c>
    </row>
    <row r="4264" spans="2:8">
      <c r="B4264" s="17" t="s">
        <v>10207</v>
      </c>
      <c r="C4264" s="246" t="s">
        <v>1641</v>
      </c>
      <c r="D4264" s="18">
        <v>0</v>
      </c>
      <c r="E4264" s="18">
        <v>0</v>
      </c>
      <c r="F4264" s="18">
        <v>0</v>
      </c>
      <c r="G4264" s="18">
        <v>0</v>
      </c>
      <c r="H4264" s="18">
        <v>0</v>
      </c>
    </row>
    <row r="4265" spans="2:8">
      <c r="B4265" s="14" t="s">
        <v>10208</v>
      </c>
      <c r="C4265" s="245" t="s">
        <v>4578</v>
      </c>
      <c r="D4265" s="15">
        <v>0</v>
      </c>
      <c r="E4265" s="15">
        <v>0</v>
      </c>
      <c r="F4265" s="15">
        <v>0</v>
      </c>
      <c r="G4265" s="15">
        <v>0</v>
      </c>
      <c r="H4265" s="15">
        <v>0</v>
      </c>
    </row>
    <row r="4266" spans="2:8">
      <c r="B4266" s="17" t="s">
        <v>10209</v>
      </c>
      <c r="C4266" s="246" t="s">
        <v>4579</v>
      </c>
      <c r="D4266" s="18">
        <v>0</v>
      </c>
      <c r="E4266" s="18">
        <v>0</v>
      </c>
      <c r="F4266" s="18">
        <v>0</v>
      </c>
      <c r="G4266" s="18">
        <v>0</v>
      </c>
      <c r="H4266" s="18">
        <v>0</v>
      </c>
    </row>
    <row r="4267" spans="2:8">
      <c r="B4267" s="14" t="s">
        <v>10210</v>
      </c>
      <c r="C4267" s="245" t="s">
        <v>4580</v>
      </c>
      <c r="D4267" s="15">
        <v>0</v>
      </c>
      <c r="E4267" s="15">
        <v>0</v>
      </c>
      <c r="F4267" s="15">
        <v>0</v>
      </c>
      <c r="G4267" s="15">
        <v>0</v>
      </c>
      <c r="H4267" s="15">
        <v>0</v>
      </c>
    </row>
    <row r="4268" spans="2:8">
      <c r="B4268" s="17" t="s">
        <v>10211</v>
      </c>
      <c r="C4268" s="246" t="s">
        <v>4581</v>
      </c>
      <c r="D4268" s="18">
        <v>0</v>
      </c>
      <c r="E4268" s="18">
        <v>0</v>
      </c>
      <c r="F4268" s="18">
        <v>0</v>
      </c>
      <c r="G4268" s="18">
        <v>0</v>
      </c>
      <c r="H4268" s="18">
        <v>0</v>
      </c>
    </row>
    <row r="4269" spans="2:8">
      <c r="B4269" s="14" t="s">
        <v>10212</v>
      </c>
      <c r="C4269" s="245" t="s">
        <v>4582</v>
      </c>
      <c r="D4269" s="15">
        <v>0</v>
      </c>
      <c r="E4269" s="15">
        <v>0</v>
      </c>
      <c r="F4269" s="15">
        <v>0</v>
      </c>
      <c r="G4269" s="15">
        <v>0</v>
      </c>
      <c r="H4269" s="15">
        <v>0</v>
      </c>
    </row>
    <row r="4270" spans="2:8">
      <c r="B4270" s="17" t="s">
        <v>10213</v>
      </c>
      <c r="C4270" s="246" t="s">
        <v>4583</v>
      </c>
      <c r="D4270" s="18">
        <v>0</v>
      </c>
      <c r="E4270" s="18">
        <v>0</v>
      </c>
      <c r="F4270" s="18">
        <v>0</v>
      </c>
      <c r="G4270" s="18">
        <v>0</v>
      </c>
      <c r="H4270" s="18">
        <v>0</v>
      </c>
    </row>
    <row r="4271" spans="2:8">
      <c r="B4271" s="14" t="s">
        <v>10214</v>
      </c>
      <c r="C4271" s="245" t="s">
        <v>4584</v>
      </c>
      <c r="D4271" s="15">
        <v>0</v>
      </c>
      <c r="E4271" s="15">
        <v>0</v>
      </c>
      <c r="F4271" s="15">
        <v>0</v>
      </c>
      <c r="G4271" s="15">
        <v>3</v>
      </c>
      <c r="H4271" s="15">
        <v>0</v>
      </c>
    </row>
    <row r="4272" spans="2:8">
      <c r="B4272" s="17" t="s">
        <v>10215</v>
      </c>
      <c r="C4272" s="246" t="s">
        <v>4585</v>
      </c>
      <c r="D4272" s="18">
        <v>0</v>
      </c>
      <c r="E4272" s="18">
        <v>0</v>
      </c>
      <c r="F4272" s="18">
        <v>0</v>
      </c>
      <c r="G4272" s="18">
        <v>0</v>
      </c>
      <c r="H4272" s="18">
        <v>0</v>
      </c>
    </row>
    <row r="4273" spans="2:8">
      <c r="B4273" s="14" t="s">
        <v>10216</v>
      </c>
      <c r="C4273" s="245" t="s">
        <v>4586</v>
      </c>
      <c r="D4273" s="15">
        <v>471</v>
      </c>
      <c r="E4273" s="15">
        <v>376</v>
      </c>
      <c r="F4273" s="15">
        <v>305</v>
      </c>
      <c r="G4273" s="15">
        <v>210</v>
      </c>
      <c r="H4273" s="15">
        <v>0</v>
      </c>
    </row>
    <row r="4274" spans="2:8">
      <c r="B4274" s="17" t="s">
        <v>10217</v>
      </c>
      <c r="C4274" s="246" t="s">
        <v>4587</v>
      </c>
      <c r="D4274" s="18">
        <v>0</v>
      </c>
      <c r="E4274" s="18">
        <v>0</v>
      </c>
      <c r="F4274" s="18">
        <v>0</v>
      </c>
      <c r="G4274" s="18">
        <v>0</v>
      </c>
      <c r="H4274" s="18">
        <v>0</v>
      </c>
    </row>
    <row r="4275" spans="2:8">
      <c r="B4275" s="14" t="s">
        <v>10218</v>
      </c>
      <c r="C4275" s="245" t="s">
        <v>4588</v>
      </c>
      <c r="D4275" s="15">
        <v>0</v>
      </c>
      <c r="E4275" s="15">
        <v>0</v>
      </c>
      <c r="F4275" s="15">
        <v>0</v>
      </c>
      <c r="G4275" s="15">
        <v>0</v>
      </c>
      <c r="H4275" s="15">
        <v>0</v>
      </c>
    </row>
    <row r="4276" spans="2:8">
      <c r="B4276" s="17" t="s">
        <v>10219</v>
      </c>
      <c r="C4276" s="246" t="s">
        <v>4589</v>
      </c>
      <c r="D4276" s="18">
        <v>0</v>
      </c>
      <c r="E4276" s="18">
        <v>0</v>
      </c>
      <c r="F4276" s="18">
        <v>0</v>
      </c>
      <c r="G4276" s="18">
        <v>0</v>
      </c>
      <c r="H4276" s="18">
        <v>0</v>
      </c>
    </row>
    <row r="4277" spans="2:8">
      <c r="B4277" s="14" t="s">
        <v>10220</v>
      </c>
      <c r="C4277" s="245" t="s">
        <v>4590</v>
      </c>
      <c r="D4277" s="15">
        <v>0</v>
      </c>
      <c r="E4277" s="15">
        <v>0</v>
      </c>
      <c r="F4277" s="15">
        <v>0</v>
      </c>
      <c r="G4277" s="15">
        <v>0</v>
      </c>
      <c r="H4277" s="15">
        <v>0</v>
      </c>
    </row>
    <row r="4278" spans="2:8">
      <c r="B4278" s="17" t="s">
        <v>10221</v>
      </c>
      <c r="C4278" s="246" t="s">
        <v>4591</v>
      </c>
      <c r="D4278" s="18">
        <v>0</v>
      </c>
      <c r="E4278" s="18">
        <v>0</v>
      </c>
      <c r="F4278" s="18">
        <v>0</v>
      </c>
      <c r="G4278" s="18">
        <v>0</v>
      </c>
      <c r="H4278" s="18">
        <v>0</v>
      </c>
    </row>
    <row r="4279" spans="2:8">
      <c r="B4279" s="14" t="s">
        <v>10222</v>
      </c>
      <c r="C4279" s="245" t="s">
        <v>4592</v>
      </c>
      <c r="D4279" s="15">
        <v>0</v>
      </c>
      <c r="E4279" s="15">
        <v>0</v>
      </c>
      <c r="F4279" s="15">
        <v>0</v>
      </c>
      <c r="G4279" s="15">
        <v>0</v>
      </c>
      <c r="H4279" s="15">
        <v>0</v>
      </c>
    </row>
    <row r="4280" spans="2:8">
      <c r="B4280" s="17" t="s">
        <v>10223</v>
      </c>
      <c r="C4280" s="246" t="s">
        <v>4593</v>
      </c>
      <c r="D4280" s="18">
        <v>0</v>
      </c>
      <c r="E4280" s="18">
        <v>0</v>
      </c>
      <c r="F4280" s="18">
        <v>0</v>
      </c>
      <c r="G4280" s="18">
        <v>0</v>
      </c>
      <c r="H4280" s="18">
        <v>0</v>
      </c>
    </row>
    <row r="4281" spans="2:8">
      <c r="B4281" s="14" t="s">
        <v>10224</v>
      </c>
      <c r="C4281" s="245" t="s">
        <v>4594</v>
      </c>
      <c r="D4281" s="15">
        <v>0</v>
      </c>
      <c r="E4281" s="15">
        <v>0</v>
      </c>
      <c r="F4281" s="15">
        <v>0</v>
      </c>
      <c r="G4281" s="15">
        <v>0</v>
      </c>
      <c r="H4281" s="15">
        <v>0</v>
      </c>
    </row>
    <row r="4282" spans="2:8">
      <c r="B4282" s="17" t="s">
        <v>10225</v>
      </c>
      <c r="C4282" s="246" t="s">
        <v>4595</v>
      </c>
      <c r="D4282" s="18">
        <v>0</v>
      </c>
      <c r="E4282" s="18">
        <v>0</v>
      </c>
      <c r="F4282" s="18">
        <v>0</v>
      </c>
      <c r="G4282" s="18">
        <v>0</v>
      </c>
      <c r="H4282" s="18">
        <v>0</v>
      </c>
    </row>
    <row r="4283" spans="2:8">
      <c r="B4283" s="14" t="s">
        <v>10226</v>
      </c>
      <c r="C4283" s="245" t="s">
        <v>4596</v>
      </c>
      <c r="D4283" s="15">
        <v>0</v>
      </c>
      <c r="E4283" s="15">
        <v>0</v>
      </c>
      <c r="F4283" s="15">
        <v>0</v>
      </c>
      <c r="G4283" s="15">
        <v>0</v>
      </c>
      <c r="H4283" s="15">
        <v>0</v>
      </c>
    </row>
    <row r="4284" spans="2:8">
      <c r="B4284" s="17" t="s">
        <v>10227</v>
      </c>
      <c r="C4284" s="246" t="s">
        <v>4597</v>
      </c>
      <c r="D4284" s="18">
        <v>0</v>
      </c>
      <c r="E4284" s="18">
        <v>0</v>
      </c>
      <c r="F4284" s="18">
        <v>0</v>
      </c>
      <c r="G4284" s="18">
        <v>0</v>
      </c>
      <c r="H4284" s="18">
        <v>0</v>
      </c>
    </row>
    <row r="4285" spans="2:8">
      <c r="B4285" s="14" t="s">
        <v>10228</v>
      </c>
      <c r="C4285" s="245" t="s">
        <v>4598</v>
      </c>
      <c r="D4285" s="15">
        <v>0</v>
      </c>
      <c r="E4285" s="15">
        <v>0</v>
      </c>
      <c r="F4285" s="15">
        <v>0</v>
      </c>
      <c r="G4285" s="15">
        <v>0</v>
      </c>
      <c r="H4285" s="15">
        <v>0</v>
      </c>
    </row>
    <row r="4286" spans="2:8">
      <c r="B4286" s="17" t="s">
        <v>10229</v>
      </c>
      <c r="C4286" s="246" t="s">
        <v>4599</v>
      </c>
      <c r="D4286" s="18">
        <v>0</v>
      </c>
      <c r="E4286" s="18">
        <v>0</v>
      </c>
      <c r="F4286" s="18">
        <v>0</v>
      </c>
      <c r="G4286" s="18">
        <v>0</v>
      </c>
      <c r="H4286" s="18">
        <v>0</v>
      </c>
    </row>
    <row r="4287" spans="2:8">
      <c r="B4287" s="14" t="s">
        <v>10230</v>
      </c>
      <c r="C4287" s="245" t="s">
        <v>4600</v>
      </c>
      <c r="D4287" s="15">
        <v>0</v>
      </c>
      <c r="E4287" s="15">
        <v>0</v>
      </c>
      <c r="F4287" s="15">
        <v>0</v>
      </c>
      <c r="G4287" s="15">
        <v>0</v>
      </c>
      <c r="H4287" s="15">
        <v>0</v>
      </c>
    </row>
    <row r="4288" spans="2:8">
      <c r="B4288" s="17" t="s">
        <v>10231</v>
      </c>
      <c r="C4288" s="246" t="s">
        <v>4601</v>
      </c>
      <c r="D4288" s="18">
        <v>0</v>
      </c>
      <c r="E4288" s="18">
        <v>0</v>
      </c>
      <c r="F4288" s="18">
        <v>0</v>
      </c>
      <c r="G4288" s="18">
        <v>0</v>
      </c>
      <c r="H4288" s="18">
        <v>0</v>
      </c>
    </row>
    <row r="4289" spans="2:8">
      <c r="B4289" s="14" t="s">
        <v>10232</v>
      </c>
      <c r="C4289" s="245" t="s">
        <v>4602</v>
      </c>
      <c r="D4289" s="15">
        <v>0</v>
      </c>
      <c r="E4289" s="15">
        <v>0</v>
      </c>
      <c r="F4289" s="15">
        <v>0</v>
      </c>
      <c r="G4289" s="15">
        <v>0</v>
      </c>
      <c r="H4289" s="15">
        <v>0</v>
      </c>
    </row>
    <row r="4290" spans="2:8">
      <c r="B4290" s="17" t="s">
        <v>10233</v>
      </c>
      <c r="C4290" s="246" t="s">
        <v>4603</v>
      </c>
      <c r="D4290" s="18">
        <v>0</v>
      </c>
      <c r="E4290" s="18">
        <v>0</v>
      </c>
      <c r="F4290" s="18">
        <v>0</v>
      </c>
      <c r="G4290" s="18">
        <v>0</v>
      </c>
      <c r="H4290" s="18">
        <v>0</v>
      </c>
    </row>
    <row r="4291" spans="2:8">
      <c r="B4291" s="14" t="s">
        <v>10234</v>
      </c>
      <c r="C4291" s="245" t="s">
        <v>4604</v>
      </c>
      <c r="D4291" s="15">
        <v>0</v>
      </c>
      <c r="E4291" s="15">
        <v>0</v>
      </c>
      <c r="F4291" s="15">
        <v>0</v>
      </c>
      <c r="G4291" s="15">
        <v>0</v>
      </c>
      <c r="H4291" s="15">
        <v>0</v>
      </c>
    </row>
    <row r="4292" spans="2:8">
      <c r="B4292" s="17" t="s">
        <v>10235</v>
      </c>
      <c r="C4292" s="246" t="s">
        <v>4605</v>
      </c>
      <c r="D4292" s="18">
        <v>0</v>
      </c>
      <c r="E4292" s="18">
        <v>0</v>
      </c>
      <c r="F4292" s="18">
        <v>0</v>
      </c>
      <c r="G4292" s="18">
        <v>0</v>
      </c>
      <c r="H4292" s="18">
        <v>0</v>
      </c>
    </row>
    <row r="4293" spans="2:8">
      <c r="B4293" s="14" t="s">
        <v>10236</v>
      </c>
      <c r="C4293" s="245" t="s">
        <v>4606</v>
      </c>
      <c r="D4293" s="15">
        <v>0</v>
      </c>
      <c r="E4293" s="15">
        <v>0</v>
      </c>
      <c r="F4293" s="15">
        <v>0</v>
      </c>
      <c r="G4293" s="15">
        <v>0</v>
      </c>
      <c r="H4293" s="15">
        <v>0</v>
      </c>
    </row>
    <row r="4294" spans="2:8">
      <c r="B4294" s="17" t="s">
        <v>10237</v>
      </c>
      <c r="C4294" s="246" t="s">
        <v>4607</v>
      </c>
      <c r="D4294" s="18">
        <v>0</v>
      </c>
      <c r="E4294" s="18">
        <v>0</v>
      </c>
      <c r="F4294" s="18">
        <v>0</v>
      </c>
      <c r="G4294" s="18">
        <v>0</v>
      </c>
      <c r="H4294" s="18">
        <v>0</v>
      </c>
    </row>
    <row r="4295" spans="2:8">
      <c r="B4295" s="14" t="s">
        <v>10238</v>
      </c>
      <c r="C4295" s="245" t="s">
        <v>4608</v>
      </c>
      <c r="D4295" s="15">
        <v>0</v>
      </c>
      <c r="E4295" s="15">
        <v>0</v>
      </c>
      <c r="F4295" s="15">
        <v>0</v>
      </c>
      <c r="G4295" s="15">
        <v>0</v>
      </c>
      <c r="H4295" s="15">
        <v>0</v>
      </c>
    </row>
    <row r="4296" spans="2:8">
      <c r="B4296" s="17" t="s">
        <v>10239</v>
      </c>
      <c r="C4296" s="246" t="s">
        <v>4609</v>
      </c>
      <c r="D4296" s="18">
        <v>0</v>
      </c>
      <c r="E4296" s="18">
        <v>0</v>
      </c>
      <c r="F4296" s="18">
        <v>0</v>
      </c>
      <c r="G4296" s="18">
        <v>0</v>
      </c>
      <c r="H4296" s="18">
        <v>0</v>
      </c>
    </row>
    <row r="4297" spans="2:8">
      <c r="B4297" s="14" t="s">
        <v>10240</v>
      </c>
      <c r="C4297" s="245" t="s">
        <v>4610</v>
      </c>
      <c r="D4297" s="15">
        <v>0</v>
      </c>
      <c r="E4297" s="15">
        <v>0</v>
      </c>
      <c r="F4297" s="15">
        <v>0</v>
      </c>
      <c r="G4297" s="15">
        <v>0</v>
      </c>
      <c r="H4297" s="15">
        <v>0</v>
      </c>
    </row>
    <row r="4298" spans="2:8">
      <c r="B4298" s="17" t="s">
        <v>10241</v>
      </c>
      <c r="C4298" s="246" t="s">
        <v>4611</v>
      </c>
      <c r="D4298" s="18">
        <v>0</v>
      </c>
      <c r="E4298" s="18">
        <v>0</v>
      </c>
      <c r="F4298" s="18">
        <v>0</v>
      </c>
      <c r="G4298" s="18">
        <v>0</v>
      </c>
      <c r="H4298" s="18">
        <v>0</v>
      </c>
    </row>
    <row r="4299" spans="2:8">
      <c r="B4299" s="14" t="s">
        <v>10242</v>
      </c>
      <c r="C4299" s="245" t="s">
        <v>4612</v>
      </c>
      <c r="D4299" s="15">
        <v>0</v>
      </c>
      <c r="E4299" s="15">
        <v>0</v>
      </c>
      <c r="F4299" s="15">
        <v>0</v>
      </c>
      <c r="G4299" s="15">
        <v>0</v>
      </c>
      <c r="H4299" s="15">
        <v>0</v>
      </c>
    </row>
    <row r="4300" spans="2:8">
      <c r="B4300" s="17" t="s">
        <v>10243</v>
      </c>
      <c r="C4300" s="246" t="s">
        <v>4613</v>
      </c>
      <c r="D4300" s="18">
        <v>0</v>
      </c>
      <c r="E4300" s="18">
        <v>0</v>
      </c>
      <c r="F4300" s="18">
        <v>0</v>
      </c>
      <c r="G4300" s="18">
        <v>0</v>
      </c>
      <c r="H4300" s="18">
        <v>0</v>
      </c>
    </row>
    <row r="4301" spans="2:8">
      <c r="B4301" s="14" t="s">
        <v>10244</v>
      </c>
      <c r="C4301" s="245" t="s">
        <v>4614</v>
      </c>
      <c r="D4301" s="15">
        <v>0</v>
      </c>
      <c r="E4301" s="15">
        <v>0</v>
      </c>
      <c r="F4301" s="15">
        <v>0</v>
      </c>
      <c r="G4301" s="15">
        <v>0</v>
      </c>
      <c r="H4301" s="15">
        <v>0</v>
      </c>
    </row>
    <row r="4302" spans="2:8">
      <c r="B4302" s="17" t="s">
        <v>10245</v>
      </c>
      <c r="C4302" s="246" t="s">
        <v>4615</v>
      </c>
      <c r="D4302" s="18">
        <v>37</v>
      </c>
      <c r="E4302" s="18">
        <v>0</v>
      </c>
      <c r="F4302" s="18">
        <v>0</v>
      </c>
      <c r="G4302" s="18">
        <v>0</v>
      </c>
      <c r="H4302" s="18">
        <v>0</v>
      </c>
    </row>
    <row r="4303" spans="2:8">
      <c r="B4303" s="14" t="s">
        <v>10246</v>
      </c>
      <c r="C4303" s="245" t="s">
        <v>4616</v>
      </c>
      <c r="D4303" s="15">
        <v>0</v>
      </c>
      <c r="E4303" s="15">
        <v>0</v>
      </c>
      <c r="F4303" s="15">
        <v>0</v>
      </c>
      <c r="G4303" s="15">
        <v>0</v>
      </c>
      <c r="H4303" s="15">
        <v>0</v>
      </c>
    </row>
    <row r="4304" spans="2:8">
      <c r="B4304" s="17" t="s">
        <v>10247</v>
      </c>
      <c r="C4304" s="246" t="s">
        <v>4617</v>
      </c>
      <c r="D4304" s="18">
        <v>0</v>
      </c>
      <c r="E4304" s="18">
        <v>0</v>
      </c>
      <c r="F4304" s="18">
        <v>0</v>
      </c>
      <c r="G4304" s="18">
        <v>0</v>
      </c>
      <c r="H4304" s="18">
        <v>0</v>
      </c>
    </row>
    <row r="4305" spans="2:8">
      <c r="B4305" s="14" t="s">
        <v>10248</v>
      </c>
      <c r="C4305" s="245" t="s">
        <v>4618</v>
      </c>
      <c r="D4305" s="15">
        <v>0</v>
      </c>
      <c r="E4305" s="15">
        <v>0</v>
      </c>
      <c r="F4305" s="15">
        <v>0</v>
      </c>
      <c r="G4305" s="15">
        <v>0</v>
      </c>
      <c r="H4305" s="15">
        <v>0</v>
      </c>
    </row>
    <row r="4306" spans="2:8">
      <c r="B4306" s="17" t="s">
        <v>10249</v>
      </c>
      <c r="C4306" s="246" t="s">
        <v>4619</v>
      </c>
      <c r="D4306" s="18">
        <v>0</v>
      </c>
      <c r="E4306" s="18">
        <v>0</v>
      </c>
      <c r="F4306" s="18">
        <v>0</v>
      </c>
      <c r="G4306" s="18">
        <v>0</v>
      </c>
      <c r="H4306" s="18">
        <v>0</v>
      </c>
    </row>
    <row r="4307" spans="2:8">
      <c r="B4307" s="14" t="s">
        <v>10250</v>
      </c>
      <c r="C4307" s="245" t="s">
        <v>4620</v>
      </c>
      <c r="D4307" s="15">
        <v>0</v>
      </c>
      <c r="E4307" s="15">
        <v>0</v>
      </c>
      <c r="F4307" s="15">
        <v>0</v>
      </c>
      <c r="G4307" s="15">
        <v>0</v>
      </c>
      <c r="H4307" s="15">
        <v>0</v>
      </c>
    </row>
    <row r="4308" spans="2:8">
      <c r="B4308" s="17" t="s">
        <v>10251</v>
      </c>
      <c r="C4308" s="246" t="s">
        <v>4621</v>
      </c>
      <c r="D4308" s="18">
        <v>0</v>
      </c>
      <c r="E4308" s="18">
        <v>124</v>
      </c>
      <c r="F4308" s="18">
        <v>0</v>
      </c>
      <c r="G4308" s="18">
        <v>0</v>
      </c>
      <c r="H4308" s="18">
        <v>0</v>
      </c>
    </row>
    <row r="4309" spans="2:8">
      <c r="B4309" s="14" t="s">
        <v>10252</v>
      </c>
      <c r="C4309" s="245" t="s">
        <v>4622</v>
      </c>
      <c r="D4309" s="15">
        <v>0</v>
      </c>
      <c r="E4309" s="15">
        <v>0</v>
      </c>
      <c r="F4309" s="15">
        <v>0</v>
      </c>
      <c r="G4309" s="15">
        <v>0</v>
      </c>
      <c r="H4309" s="15">
        <v>0</v>
      </c>
    </row>
    <row r="4310" spans="2:8">
      <c r="B4310" s="17" t="s">
        <v>10253</v>
      </c>
      <c r="C4310" s="246" t="s">
        <v>4623</v>
      </c>
      <c r="D4310" s="18">
        <v>0</v>
      </c>
      <c r="E4310" s="18">
        <v>0</v>
      </c>
      <c r="F4310" s="18">
        <v>0</v>
      </c>
      <c r="G4310" s="18">
        <v>0</v>
      </c>
      <c r="H4310" s="18">
        <v>0</v>
      </c>
    </row>
    <row r="4311" spans="2:8">
      <c r="B4311" s="14" t="s">
        <v>10254</v>
      </c>
      <c r="C4311" s="245" t="s">
        <v>4624</v>
      </c>
      <c r="D4311" s="15">
        <v>0</v>
      </c>
      <c r="E4311" s="15">
        <v>0</v>
      </c>
      <c r="F4311" s="15">
        <v>0</v>
      </c>
      <c r="G4311" s="15">
        <v>0</v>
      </c>
      <c r="H4311" s="15">
        <v>0</v>
      </c>
    </row>
    <row r="4312" spans="2:8">
      <c r="B4312" s="17" t="s">
        <v>10255</v>
      </c>
      <c r="C4312" s="246" t="s">
        <v>4625</v>
      </c>
      <c r="D4312" s="18">
        <v>0</v>
      </c>
      <c r="E4312" s="18">
        <v>0</v>
      </c>
      <c r="F4312" s="18">
        <v>0</v>
      </c>
      <c r="G4312" s="18">
        <v>0</v>
      </c>
      <c r="H4312" s="18">
        <v>0</v>
      </c>
    </row>
    <row r="4313" spans="2:8">
      <c r="B4313" s="14" t="s">
        <v>10256</v>
      </c>
      <c r="C4313" s="245" t="s">
        <v>4626</v>
      </c>
      <c r="D4313" s="15">
        <v>0</v>
      </c>
      <c r="E4313" s="15">
        <v>0</v>
      </c>
      <c r="F4313" s="15">
        <v>0</v>
      </c>
      <c r="G4313" s="15">
        <v>0</v>
      </c>
      <c r="H4313" s="15">
        <v>0</v>
      </c>
    </row>
    <row r="4314" spans="2:8">
      <c r="B4314" s="17" t="s">
        <v>10257</v>
      </c>
      <c r="C4314" s="246" t="s">
        <v>4627</v>
      </c>
      <c r="D4314" s="18">
        <v>0</v>
      </c>
      <c r="E4314" s="18">
        <v>0</v>
      </c>
      <c r="F4314" s="18">
        <v>0</v>
      </c>
      <c r="G4314" s="18">
        <v>0</v>
      </c>
      <c r="H4314" s="18">
        <v>0</v>
      </c>
    </row>
    <row r="4315" spans="2:8">
      <c r="B4315" s="14" t="s">
        <v>10258</v>
      </c>
      <c r="C4315" s="245" t="s">
        <v>4628</v>
      </c>
      <c r="D4315" s="15">
        <v>0</v>
      </c>
      <c r="E4315" s="15">
        <v>0</v>
      </c>
      <c r="F4315" s="15">
        <v>0</v>
      </c>
      <c r="G4315" s="15">
        <v>0</v>
      </c>
      <c r="H4315" s="15">
        <v>0</v>
      </c>
    </row>
    <row r="4316" spans="2:8">
      <c r="B4316" s="17" t="s">
        <v>10259</v>
      </c>
      <c r="C4316" s="246" t="s">
        <v>4629</v>
      </c>
      <c r="D4316" s="18">
        <v>0</v>
      </c>
      <c r="E4316" s="18">
        <v>0</v>
      </c>
      <c r="F4316" s="18">
        <v>0</v>
      </c>
      <c r="G4316" s="18">
        <v>0</v>
      </c>
      <c r="H4316" s="18">
        <v>0</v>
      </c>
    </row>
    <row r="4317" spans="2:8">
      <c r="B4317" s="14" t="s">
        <v>10260</v>
      </c>
      <c r="C4317" s="245" t="s">
        <v>4630</v>
      </c>
      <c r="D4317" s="15">
        <v>0</v>
      </c>
      <c r="E4317" s="15">
        <v>0</v>
      </c>
      <c r="F4317" s="15">
        <v>0</v>
      </c>
      <c r="G4317" s="15">
        <v>0</v>
      </c>
      <c r="H4317" s="15">
        <v>0</v>
      </c>
    </row>
    <row r="4318" spans="2:8">
      <c r="B4318" s="17" t="s">
        <v>10261</v>
      </c>
      <c r="C4318" s="246" t="s">
        <v>4631</v>
      </c>
      <c r="D4318" s="18">
        <v>0</v>
      </c>
      <c r="E4318" s="18">
        <v>0</v>
      </c>
      <c r="F4318" s="18">
        <v>0</v>
      </c>
      <c r="G4318" s="18">
        <v>104</v>
      </c>
      <c r="H4318" s="18">
        <v>0</v>
      </c>
    </row>
    <row r="4319" spans="2:8">
      <c r="B4319" s="14" t="s">
        <v>10262</v>
      </c>
      <c r="C4319" s="245" t="s">
        <v>4368</v>
      </c>
      <c r="D4319" s="15">
        <v>0</v>
      </c>
      <c r="E4319" s="15">
        <v>0</v>
      </c>
      <c r="F4319" s="15">
        <v>0</v>
      </c>
      <c r="G4319" s="15">
        <v>0</v>
      </c>
      <c r="H4319" s="15">
        <v>0</v>
      </c>
    </row>
    <row r="4320" spans="2:8">
      <c r="B4320" s="17" t="s">
        <v>10263</v>
      </c>
      <c r="C4320" s="246" t="s">
        <v>4632</v>
      </c>
      <c r="D4320" s="18">
        <v>0</v>
      </c>
      <c r="E4320" s="18">
        <v>0</v>
      </c>
      <c r="F4320" s="18">
        <v>0</v>
      </c>
      <c r="G4320" s="18">
        <v>0</v>
      </c>
      <c r="H4320" s="18">
        <v>0</v>
      </c>
    </row>
    <row r="4321" spans="2:8">
      <c r="B4321" s="14" t="s">
        <v>10264</v>
      </c>
      <c r="C4321" s="245" t="s">
        <v>4633</v>
      </c>
      <c r="D4321" s="15">
        <v>0</v>
      </c>
      <c r="E4321" s="15">
        <v>0</v>
      </c>
      <c r="F4321" s="15">
        <v>0</v>
      </c>
      <c r="G4321" s="15">
        <v>0</v>
      </c>
      <c r="H4321" s="15">
        <v>0</v>
      </c>
    </row>
    <row r="4322" spans="2:8">
      <c r="B4322" s="17" t="s">
        <v>10265</v>
      </c>
      <c r="C4322" s="246" t="s">
        <v>4634</v>
      </c>
      <c r="D4322" s="18">
        <v>0</v>
      </c>
      <c r="E4322" s="18">
        <v>0</v>
      </c>
      <c r="F4322" s="18">
        <v>0</v>
      </c>
      <c r="G4322" s="18">
        <v>0</v>
      </c>
      <c r="H4322" s="18">
        <v>0</v>
      </c>
    </row>
    <row r="4323" spans="2:8">
      <c r="B4323" s="14" t="s">
        <v>10266</v>
      </c>
      <c r="C4323" s="245" t="s">
        <v>4635</v>
      </c>
      <c r="D4323" s="15">
        <v>0</v>
      </c>
      <c r="E4323" s="15">
        <v>0</v>
      </c>
      <c r="F4323" s="15">
        <v>51</v>
      </c>
      <c r="G4323" s="15">
        <v>4</v>
      </c>
      <c r="H4323" s="15">
        <v>0</v>
      </c>
    </row>
    <row r="4324" spans="2:8">
      <c r="B4324" s="17" t="s">
        <v>10267</v>
      </c>
      <c r="C4324" s="246" t="s">
        <v>4636</v>
      </c>
      <c r="D4324" s="18">
        <v>11</v>
      </c>
      <c r="E4324" s="18">
        <v>10</v>
      </c>
      <c r="F4324" s="18">
        <v>3</v>
      </c>
      <c r="G4324" s="18">
        <v>4</v>
      </c>
      <c r="H4324" s="18">
        <v>0</v>
      </c>
    </row>
    <row r="4325" spans="2:8">
      <c r="B4325" s="14" t="s">
        <v>10268</v>
      </c>
      <c r="C4325" s="245" t="s">
        <v>4637</v>
      </c>
      <c r="D4325" s="15">
        <v>0</v>
      </c>
      <c r="E4325" s="15">
        <v>0</v>
      </c>
      <c r="F4325" s="15">
        <v>0</v>
      </c>
      <c r="G4325" s="15">
        <v>0</v>
      </c>
      <c r="H4325" s="15">
        <v>0</v>
      </c>
    </row>
    <row r="4326" spans="2:8">
      <c r="B4326" s="17" t="s">
        <v>10269</v>
      </c>
      <c r="C4326" s="246" t="s">
        <v>4638</v>
      </c>
      <c r="D4326" s="18">
        <v>0</v>
      </c>
      <c r="E4326" s="18">
        <v>0</v>
      </c>
      <c r="F4326" s="18">
        <v>0</v>
      </c>
      <c r="G4326" s="18">
        <v>0</v>
      </c>
      <c r="H4326" s="18">
        <v>0</v>
      </c>
    </row>
    <row r="4327" spans="2:8">
      <c r="B4327" s="14" t="s">
        <v>10270</v>
      </c>
      <c r="C4327" s="245" t="s">
        <v>4639</v>
      </c>
      <c r="D4327" s="15">
        <v>0</v>
      </c>
      <c r="E4327" s="15">
        <v>0</v>
      </c>
      <c r="F4327" s="15">
        <v>0</v>
      </c>
      <c r="G4327" s="15">
        <v>0</v>
      </c>
      <c r="H4327" s="15">
        <v>0</v>
      </c>
    </row>
    <row r="4328" spans="2:8">
      <c r="B4328" s="17" t="s">
        <v>10271</v>
      </c>
      <c r="C4328" s="246" t="s">
        <v>4640</v>
      </c>
      <c r="D4328" s="18">
        <v>32</v>
      </c>
      <c r="E4328" s="18">
        <v>0</v>
      </c>
      <c r="F4328" s="18">
        <v>0</v>
      </c>
      <c r="G4328" s="18">
        <v>0</v>
      </c>
      <c r="H4328" s="18">
        <v>0</v>
      </c>
    </row>
    <row r="4329" spans="2:8">
      <c r="B4329" s="14" t="s">
        <v>10272</v>
      </c>
      <c r="C4329" s="245" t="s">
        <v>4641</v>
      </c>
      <c r="D4329" s="15">
        <v>0</v>
      </c>
      <c r="E4329" s="15">
        <v>139</v>
      </c>
      <c r="F4329" s="15">
        <v>0</v>
      </c>
      <c r="G4329" s="15">
        <v>0</v>
      </c>
      <c r="H4329" s="15">
        <v>0</v>
      </c>
    </row>
    <row r="4330" spans="2:8">
      <c r="B4330" s="17" t="s">
        <v>10273</v>
      </c>
      <c r="C4330" s="246" t="s">
        <v>4642</v>
      </c>
      <c r="D4330" s="18">
        <v>0</v>
      </c>
      <c r="E4330" s="18">
        <v>0</v>
      </c>
      <c r="F4330" s="18">
        <v>0</v>
      </c>
      <c r="G4330" s="18">
        <v>0</v>
      </c>
      <c r="H4330" s="18">
        <v>0</v>
      </c>
    </row>
    <row r="4331" spans="2:8">
      <c r="B4331" s="14" t="s">
        <v>10274</v>
      </c>
      <c r="C4331" s="245" t="s">
        <v>4643</v>
      </c>
      <c r="D4331" s="15">
        <v>0</v>
      </c>
      <c r="E4331" s="15">
        <v>0</v>
      </c>
      <c r="F4331" s="15">
        <v>0</v>
      </c>
      <c r="G4331" s="15">
        <v>0</v>
      </c>
      <c r="H4331" s="15">
        <v>0</v>
      </c>
    </row>
    <row r="4332" spans="2:8">
      <c r="B4332" s="17" t="s">
        <v>10275</v>
      </c>
      <c r="C4332" s="246" t="s">
        <v>4644</v>
      </c>
      <c r="D4332" s="18">
        <v>0</v>
      </c>
      <c r="E4332" s="18">
        <v>0</v>
      </c>
      <c r="F4332" s="18">
        <v>0</v>
      </c>
      <c r="G4332" s="18">
        <v>0</v>
      </c>
      <c r="H4332" s="18">
        <v>0</v>
      </c>
    </row>
    <row r="4333" spans="2:8">
      <c r="B4333" s="14" t="s">
        <v>10276</v>
      </c>
      <c r="C4333" s="245" t="s">
        <v>2674</v>
      </c>
      <c r="D4333" s="15">
        <v>0</v>
      </c>
      <c r="E4333" s="15">
        <v>0</v>
      </c>
      <c r="F4333" s="15">
        <v>0</v>
      </c>
      <c r="G4333" s="15">
        <v>0</v>
      </c>
      <c r="H4333" s="15">
        <v>0</v>
      </c>
    </row>
    <row r="4334" spans="2:8">
      <c r="B4334" s="17" t="s">
        <v>10277</v>
      </c>
      <c r="C4334" s="246" t="s">
        <v>2674</v>
      </c>
      <c r="D4334" s="18">
        <v>0</v>
      </c>
      <c r="E4334" s="18">
        <v>0</v>
      </c>
      <c r="F4334" s="18">
        <v>0</v>
      </c>
      <c r="G4334" s="18">
        <v>0</v>
      </c>
      <c r="H4334" s="18">
        <v>0</v>
      </c>
    </row>
    <row r="4335" spans="2:8">
      <c r="B4335" s="14" t="s">
        <v>10278</v>
      </c>
      <c r="C4335" s="245" t="s">
        <v>2078</v>
      </c>
      <c r="D4335" s="15">
        <v>0</v>
      </c>
      <c r="E4335" s="15">
        <v>0</v>
      </c>
      <c r="F4335" s="15">
        <v>0</v>
      </c>
      <c r="G4335" s="15">
        <v>0</v>
      </c>
      <c r="H4335" s="15">
        <v>0</v>
      </c>
    </row>
    <row r="4336" spans="2:8">
      <c r="B4336" s="17" t="s">
        <v>10279</v>
      </c>
      <c r="C4336" s="246" t="s">
        <v>4645</v>
      </c>
      <c r="D4336" s="18">
        <v>0</v>
      </c>
      <c r="E4336" s="18">
        <v>0</v>
      </c>
      <c r="F4336" s="18">
        <v>0</v>
      </c>
      <c r="G4336" s="18">
        <v>0</v>
      </c>
      <c r="H4336" s="18">
        <v>0</v>
      </c>
    </row>
    <row r="4337" spans="2:8">
      <c r="B4337" s="14" t="s">
        <v>10280</v>
      </c>
      <c r="C4337" s="245" t="s">
        <v>4646</v>
      </c>
      <c r="D4337" s="15">
        <v>0</v>
      </c>
      <c r="E4337" s="15">
        <v>0</v>
      </c>
      <c r="F4337" s="15">
        <v>0</v>
      </c>
      <c r="G4337" s="15">
        <v>0</v>
      </c>
      <c r="H4337" s="15">
        <v>0</v>
      </c>
    </row>
    <row r="4338" spans="2:8">
      <c r="B4338" s="17" t="s">
        <v>10281</v>
      </c>
      <c r="C4338" s="246" t="s">
        <v>4647</v>
      </c>
      <c r="D4338" s="18">
        <v>0</v>
      </c>
      <c r="E4338" s="18">
        <v>0</v>
      </c>
      <c r="F4338" s="18">
        <v>0</v>
      </c>
      <c r="G4338" s="18">
        <v>0</v>
      </c>
      <c r="H4338" s="18">
        <v>0</v>
      </c>
    </row>
    <row r="4339" spans="2:8">
      <c r="B4339" s="14" t="s">
        <v>10282</v>
      </c>
      <c r="C4339" s="245" t="s">
        <v>4648</v>
      </c>
      <c r="D4339" s="15">
        <v>0</v>
      </c>
      <c r="E4339" s="15">
        <v>0</v>
      </c>
      <c r="F4339" s="15">
        <v>0</v>
      </c>
      <c r="G4339" s="15">
        <v>0</v>
      </c>
      <c r="H4339" s="15">
        <v>0</v>
      </c>
    </row>
    <row r="4340" spans="2:8">
      <c r="B4340" s="17" t="s">
        <v>10283</v>
      </c>
      <c r="C4340" s="246" t="s">
        <v>4649</v>
      </c>
      <c r="D4340" s="18">
        <v>0</v>
      </c>
      <c r="E4340" s="18">
        <v>0</v>
      </c>
      <c r="F4340" s="18">
        <v>0</v>
      </c>
      <c r="G4340" s="18">
        <v>0</v>
      </c>
      <c r="H4340" s="18">
        <v>0</v>
      </c>
    </row>
    <row r="4341" spans="2:8">
      <c r="B4341" s="14" t="s">
        <v>10284</v>
      </c>
      <c r="C4341" s="245" t="s">
        <v>4650</v>
      </c>
      <c r="D4341" s="15">
        <v>0</v>
      </c>
      <c r="E4341" s="15">
        <v>0</v>
      </c>
      <c r="F4341" s="15">
        <v>0</v>
      </c>
      <c r="G4341" s="15">
        <v>0</v>
      </c>
      <c r="H4341" s="15">
        <v>0</v>
      </c>
    </row>
    <row r="4342" spans="2:8">
      <c r="B4342" s="17" t="s">
        <v>10285</v>
      </c>
      <c r="C4342" s="246" t="s">
        <v>4651</v>
      </c>
      <c r="D4342" s="18">
        <v>0</v>
      </c>
      <c r="E4342" s="18">
        <v>0</v>
      </c>
      <c r="F4342" s="18">
        <v>0</v>
      </c>
      <c r="G4342" s="18">
        <v>0</v>
      </c>
      <c r="H4342" s="18">
        <v>0</v>
      </c>
    </row>
    <row r="4343" spans="2:8">
      <c r="B4343" s="14" t="s">
        <v>10286</v>
      </c>
      <c r="C4343" s="245" t="s">
        <v>4652</v>
      </c>
      <c r="D4343" s="15">
        <v>0</v>
      </c>
      <c r="E4343" s="15">
        <v>0</v>
      </c>
      <c r="F4343" s="15">
        <v>0</v>
      </c>
      <c r="G4343" s="15">
        <v>0</v>
      </c>
      <c r="H4343" s="15">
        <v>0</v>
      </c>
    </row>
    <row r="4344" spans="2:8">
      <c r="B4344" s="17" t="s">
        <v>10287</v>
      </c>
      <c r="C4344" s="246" t="s">
        <v>4653</v>
      </c>
      <c r="D4344" s="18">
        <v>0</v>
      </c>
      <c r="E4344" s="18">
        <v>0</v>
      </c>
      <c r="F4344" s="18">
        <v>0</v>
      </c>
      <c r="G4344" s="18">
        <v>0</v>
      </c>
      <c r="H4344" s="18">
        <v>0</v>
      </c>
    </row>
    <row r="4345" spans="2:8">
      <c r="B4345" s="14" t="s">
        <v>10288</v>
      </c>
      <c r="C4345" s="245" t="s">
        <v>4654</v>
      </c>
      <c r="D4345" s="15">
        <v>0</v>
      </c>
      <c r="E4345" s="15">
        <v>0</v>
      </c>
      <c r="F4345" s="15">
        <v>0</v>
      </c>
      <c r="G4345" s="15">
        <v>0</v>
      </c>
      <c r="H4345" s="15">
        <v>0</v>
      </c>
    </row>
    <row r="4346" spans="2:8">
      <c r="B4346" s="17" t="s">
        <v>10289</v>
      </c>
      <c r="C4346" s="246" t="s">
        <v>4655</v>
      </c>
      <c r="D4346" s="18">
        <v>0</v>
      </c>
      <c r="E4346" s="18">
        <v>0</v>
      </c>
      <c r="F4346" s="18">
        <v>0</v>
      </c>
      <c r="G4346" s="18">
        <v>0</v>
      </c>
      <c r="H4346" s="18">
        <v>0</v>
      </c>
    </row>
    <row r="4347" spans="2:8">
      <c r="B4347" s="14" t="s">
        <v>10290</v>
      </c>
      <c r="C4347" s="245" t="s">
        <v>4656</v>
      </c>
      <c r="D4347" s="15">
        <v>0</v>
      </c>
      <c r="E4347" s="15">
        <v>0</v>
      </c>
      <c r="F4347" s="15">
        <v>0</v>
      </c>
      <c r="G4347" s="15">
        <v>0</v>
      </c>
      <c r="H4347" s="15">
        <v>0</v>
      </c>
    </row>
    <row r="4348" spans="2:8">
      <c r="B4348" s="17" t="s">
        <v>10291</v>
      </c>
      <c r="C4348" s="246" t="s">
        <v>4657</v>
      </c>
      <c r="D4348" s="18">
        <v>0</v>
      </c>
      <c r="E4348" s="18">
        <v>0</v>
      </c>
      <c r="F4348" s="18">
        <v>0</v>
      </c>
      <c r="G4348" s="18">
        <v>0</v>
      </c>
      <c r="H4348" s="18">
        <v>0</v>
      </c>
    </row>
    <row r="4349" spans="2:8">
      <c r="B4349" s="14" t="s">
        <v>10292</v>
      </c>
      <c r="C4349" s="245" t="s">
        <v>4658</v>
      </c>
      <c r="D4349" s="15">
        <v>0</v>
      </c>
      <c r="E4349" s="15">
        <v>0</v>
      </c>
      <c r="F4349" s="15">
        <v>0</v>
      </c>
      <c r="G4349" s="15">
        <v>0</v>
      </c>
      <c r="H4349" s="15">
        <v>0</v>
      </c>
    </row>
    <row r="4350" spans="2:8">
      <c r="B4350" s="17" t="s">
        <v>10293</v>
      </c>
      <c r="C4350" s="246" t="s">
        <v>4659</v>
      </c>
      <c r="D4350" s="18">
        <v>0</v>
      </c>
      <c r="E4350" s="18">
        <v>0</v>
      </c>
      <c r="F4350" s="18">
        <v>0</v>
      </c>
      <c r="G4350" s="18">
        <v>0</v>
      </c>
      <c r="H4350" s="18">
        <v>0</v>
      </c>
    </row>
    <row r="4351" spans="2:8">
      <c r="B4351" s="14" t="s">
        <v>10294</v>
      </c>
      <c r="C4351" s="245" t="s">
        <v>4660</v>
      </c>
      <c r="D4351" s="15">
        <v>0</v>
      </c>
      <c r="E4351" s="15">
        <v>0</v>
      </c>
      <c r="F4351" s="15">
        <v>0</v>
      </c>
      <c r="G4351" s="15">
        <v>0</v>
      </c>
      <c r="H4351" s="15">
        <v>0</v>
      </c>
    </row>
    <row r="4352" spans="2:8">
      <c r="B4352" s="17" t="s">
        <v>10295</v>
      </c>
      <c r="C4352" s="246" t="s">
        <v>4661</v>
      </c>
      <c r="D4352" s="18">
        <v>0</v>
      </c>
      <c r="E4352" s="18">
        <v>0</v>
      </c>
      <c r="F4352" s="18">
        <v>0</v>
      </c>
      <c r="G4352" s="18">
        <v>0</v>
      </c>
      <c r="H4352" s="18">
        <v>0</v>
      </c>
    </row>
    <row r="4353" spans="2:8">
      <c r="B4353" s="14" t="s">
        <v>10296</v>
      </c>
      <c r="C4353" s="245" t="s">
        <v>4662</v>
      </c>
      <c r="D4353" s="15">
        <v>0</v>
      </c>
      <c r="E4353" s="15">
        <v>0</v>
      </c>
      <c r="F4353" s="15">
        <v>0</v>
      </c>
      <c r="G4353" s="15">
        <v>0</v>
      </c>
      <c r="H4353" s="15">
        <v>0</v>
      </c>
    </row>
    <row r="4354" spans="2:8">
      <c r="B4354" s="17" t="s">
        <v>10297</v>
      </c>
      <c r="C4354" s="246" t="s">
        <v>4663</v>
      </c>
      <c r="D4354" s="18">
        <v>0</v>
      </c>
      <c r="E4354" s="18">
        <v>0</v>
      </c>
      <c r="F4354" s="18">
        <v>0</v>
      </c>
      <c r="G4354" s="18">
        <v>0</v>
      </c>
      <c r="H4354" s="18">
        <v>0</v>
      </c>
    </row>
    <row r="4355" spans="2:8">
      <c r="B4355" s="14" t="s">
        <v>10298</v>
      </c>
      <c r="C4355" s="245" t="s">
        <v>4664</v>
      </c>
      <c r="D4355" s="15">
        <v>0</v>
      </c>
      <c r="E4355" s="15">
        <v>0</v>
      </c>
      <c r="F4355" s="15">
        <v>0</v>
      </c>
      <c r="G4355" s="15">
        <v>0</v>
      </c>
      <c r="H4355" s="15">
        <v>0</v>
      </c>
    </row>
    <row r="4356" spans="2:8">
      <c r="B4356" s="17" t="s">
        <v>10299</v>
      </c>
      <c r="C4356" s="246" t="s">
        <v>4665</v>
      </c>
      <c r="D4356" s="18">
        <v>0</v>
      </c>
      <c r="E4356" s="18">
        <v>0</v>
      </c>
      <c r="F4356" s="18">
        <v>0</v>
      </c>
      <c r="G4356" s="18">
        <v>0</v>
      </c>
      <c r="H4356" s="18">
        <v>0</v>
      </c>
    </row>
    <row r="4357" spans="2:8">
      <c r="B4357" s="14" t="s">
        <v>10300</v>
      </c>
      <c r="C4357" s="245" t="s">
        <v>4666</v>
      </c>
      <c r="D4357" s="15">
        <v>0</v>
      </c>
      <c r="E4357" s="15">
        <v>0</v>
      </c>
      <c r="F4357" s="15">
        <v>0</v>
      </c>
      <c r="G4357" s="15">
        <v>0</v>
      </c>
      <c r="H4357" s="15">
        <v>0</v>
      </c>
    </row>
    <row r="4358" spans="2:8">
      <c r="B4358" s="17" t="s">
        <v>10301</v>
      </c>
      <c r="C4358" s="246" t="s">
        <v>4667</v>
      </c>
      <c r="D4358" s="18">
        <v>0</v>
      </c>
      <c r="E4358" s="18">
        <v>0</v>
      </c>
      <c r="F4358" s="18">
        <v>0</v>
      </c>
      <c r="G4358" s="18">
        <v>0</v>
      </c>
      <c r="H4358" s="18">
        <v>0</v>
      </c>
    </row>
    <row r="4359" spans="2:8">
      <c r="B4359" s="14" t="s">
        <v>10302</v>
      </c>
      <c r="C4359" s="245" t="s">
        <v>4668</v>
      </c>
      <c r="D4359" s="15">
        <v>0</v>
      </c>
      <c r="E4359" s="15">
        <v>0</v>
      </c>
      <c r="F4359" s="15">
        <v>0</v>
      </c>
      <c r="G4359" s="15">
        <v>0</v>
      </c>
      <c r="H4359" s="15">
        <v>0</v>
      </c>
    </row>
    <row r="4360" spans="2:8">
      <c r="B4360" s="17" t="s">
        <v>10303</v>
      </c>
      <c r="C4360" s="246" t="s">
        <v>4669</v>
      </c>
      <c r="D4360" s="18">
        <v>0</v>
      </c>
      <c r="E4360" s="18">
        <v>0</v>
      </c>
      <c r="F4360" s="18">
        <v>0</v>
      </c>
      <c r="G4360" s="18">
        <v>0</v>
      </c>
      <c r="H4360" s="18">
        <v>0</v>
      </c>
    </row>
    <row r="4361" spans="2:8">
      <c r="B4361" s="14" t="s">
        <v>10304</v>
      </c>
      <c r="C4361" s="245" t="s">
        <v>4670</v>
      </c>
      <c r="D4361" s="15">
        <v>0</v>
      </c>
      <c r="E4361" s="15">
        <v>0</v>
      </c>
      <c r="F4361" s="15">
        <v>0</v>
      </c>
      <c r="G4361" s="15">
        <v>0</v>
      </c>
      <c r="H4361" s="15">
        <v>0</v>
      </c>
    </row>
    <row r="4362" spans="2:8">
      <c r="B4362" s="17" t="s">
        <v>10305</v>
      </c>
      <c r="C4362" s="246" t="s">
        <v>4671</v>
      </c>
      <c r="D4362" s="18">
        <v>0</v>
      </c>
      <c r="E4362" s="18">
        <v>0</v>
      </c>
      <c r="F4362" s="18">
        <v>0</v>
      </c>
      <c r="G4362" s="18">
        <v>0</v>
      </c>
      <c r="H4362" s="18">
        <v>0</v>
      </c>
    </row>
    <row r="4363" spans="2:8">
      <c r="B4363" s="14" t="s">
        <v>10306</v>
      </c>
      <c r="C4363" s="245" t="s">
        <v>4672</v>
      </c>
      <c r="D4363" s="15">
        <v>0</v>
      </c>
      <c r="E4363" s="15">
        <v>0</v>
      </c>
      <c r="F4363" s="15">
        <v>0</v>
      </c>
      <c r="G4363" s="15">
        <v>0</v>
      </c>
      <c r="H4363" s="15">
        <v>0</v>
      </c>
    </row>
    <row r="4364" spans="2:8">
      <c r="B4364" s="17" t="s">
        <v>10307</v>
      </c>
      <c r="C4364" s="246" t="s">
        <v>4673</v>
      </c>
      <c r="D4364" s="18">
        <v>0</v>
      </c>
      <c r="E4364" s="18">
        <v>0</v>
      </c>
      <c r="F4364" s="18">
        <v>0</v>
      </c>
      <c r="G4364" s="18">
        <v>0</v>
      </c>
      <c r="H4364" s="18">
        <v>0</v>
      </c>
    </row>
    <row r="4365" spans="2:8">
      <c r="B4365" s="14" t="s">
        <v>10308</v>
      </c>
      <c r="C4365" s="245" t="s">
        <v>4674</v>
      </c>
      <c r="D4365" s="15">
        <v>0</v>
      </c>
      <c r="E4365" s="15">
        <v>0</v>
      </c>
      <c r="F4365" s="15">
        <v>0</v>
      </c>
      <c r="G4365" s="15">
        <v>0</v>
      </c>
      <c r="H4365" s="15">
        <v>0</v>
      </c>
    </row>
    <row r="4366" spans="2:8">
      <c r="B4366" s="17" t="s">
        <v>10309</v>
      </c>
      <c r="C4366" s="246" t="s">
        <v>4675</v>
      </c>
      <c r="D4366" s="18">
        <v>0</v>
      </c>
      <c r="E4366" s="18">
        <v>0</v>
      </c>
      <c r="F4366" s="18">
        <v>0</v>
      </c>
      <c r="G4366" s="18">
        <v>0</v>
      </c>
      <c r="H4366" s="18">
        <v>0</v>
      </c>
    </row>
    <row r="4367" spans="2:8">
      <c r="B4367" s="14" t="s">
        <v>10310</v>
      </c>
      <c r="C4367" s="245" t="s">
        <v>4676</v>
      </c>
      <c r="D4367" s="15">
        <v>0</v>
      </c>
      <c r="E4367" s="15">
        <v>0</v>
      </c>
      <c r="F4367" s="15">
        <v>0</v>
      </c>
      <c r="G4367" s="15">
        <v>0</v>
      </c>
      <c r="H4367" s="15">
        <v>0</v>
      </c>
    </row>
    <row r="4368" spans="2:8">
      <c r="B4368" s="17" t="s">
        <v>10311</v>
      </c>
      <c r="C4368" s="246" t="s">
        <v>4677</v>
      </c>
      <c r="D4368" s="18">
        <v>0</v>
      </c>
      <c r="E4368" s="18">
        <v>0</v>
      </c>
      <c r="F4368" s="18">
        <v>0</v>
      </c>
      <c r="G4368" s="18">
        <v>0</v>
      </c>
      <c r="H4368" s="18">
        <v>0</v>
      </c>
    </row>
    <row r="4369" spans="2:8">
      <c r="B4369" s="14" t="s">
        <v>10312</v>
      </c>
      <c r="C4369" s="245" t="s">
        <v>4678</v>
      </c>
      <c r="D4369" s="15">
        <v>0</v>
      </c>
      <c r="E4369" s="15">
        <v>0</v>
      </c>
      <c r="F4369" s="15">
        <v>0</v>
      </c>
      <c r="G4369" s="15">
        <v>0</v>
      </c>
      <c r="H4369" s="15">
        <v>0</v>
      </c>
    </row>
    <row r="4370" spans="2:8">
      <c r="B4370" s="17" t="s">
        <v>10313</v>
      </c>
      <c r="C4370" s="246" t="s">
        <v>4679</v>
      </c>
      <c r="D4370" s="18">
        <v>0</v>
      </c>
      <c r="E4370" s="18">
        <v>0</v>
      </c>
      <c r="F4370" s="18">
        <v>0</v>
      </c>
      <c r="G4370" s="18">
        <v>0</v>
      </c>
      <c r="H4370" s="18">
        <v>0</v>
      </c>
    </row>
    <row r="4371" spans="2:8">
      <c r="B4371" s="14" t="s">
        <v>10314</v>
      </c>
      <c r="C4371" s="245" t="s">
        <v>4680</v>
      </c>
      <c r="D4371" s="15">
        <v>0</v>
      </c>
      <c r="E4371" s="15">
        <v>0</v>
      </c>
      <c r="F4371" s="15">
        <v>0</v>
      </c>
      <c r="G4371" s="15">
        <v>0</v>
      </c>
      <c r="H4371" s="15">
        <v>0</v>
      </c>
    </row>
    <row r="4372" spans="2:8">
      <c r="B4372" s="17" t="s">
        <v>10315</v>
      </c>
      <c r="C4372" s="246" t="s">
        <v>4681</v>
      </c>
      <c r="D4372" s="18">
        <v>0</v>
      </c>
      <c r="E4372" s="18">
        <v>0</v>
      </c>
      <c r="F4372" s="18">
        <v>0</v>
      </c>
      <c r="G4372" s="18">
        <v>0</v>
      </c>
      <c r="H4372" s="18">
        <v>0</v>
      </c>
    </row>
    <row r="4373" spans="2:8">
      <c r="B4373" s="14" t="s">
        <v>10316</v>
      </c>
      <c r="C4373" s="245" t="s">
        <v>4682</v>
      </c>
      <c r="D4373" s="15">
        <v>0</v>
      </c>
      <c r="E4373" s="15">
        <v>0</v>
      </c>
      <c r="F4373" s="15">
        <v>0</v>
      </c>
      <c r="G4373" s="15">
        <v>0</v>
      </c>
      <c r="H4373" s="15">
        <v>0</v>
      </c>
    </row>
    <row r="4374" spans="2:8">
      <c r="B4374" s="17" t="s">
        <v>10317</v>
      </c>
      <c r="C4374" s="246" t="s">
        <v>2706</v>
      </c>
      <c r="D4374" s="18">
        <v>0</v>
      </c>
      <c r="E4374" s="18">
        <v>0</v>
      </c>
      <c r="F4374" s="18">
        <v>0</v>
      </c>
      <c r="G4374" s="18">
        <v>0</v>
      </c>
      <c r="H4374" s="18">
        <v>0</v>
      </c>
    </row>
    <row r="4375" spans="2:8">
      <c r="B4375" s="14" t="s">
        <v>10318</v>
      </c>
      <c r="C4375" s="245" t="s">
        <v>4683</v>
      </c>
      <c r="D4375" s="15">
        <v>0</v>
      </c>
      <c r="E4375" s="15">
        <v>0</v>
      </c>
      <c r="F4375" s="15">
        <v>0</v>
      </c>
      <c r="G4375" s="15">
        <v>0</v>
      </c>
      <c r="H4375" s="15">
        <v>0</v>
      </c>
    </row>
    <row r="4376" spans="2:8">
      <c r="B4376" s="17" t="s">
        <v>10319</v>
      </c>
      <c r="C4376" s="246" t="s">
        <v>4684</v>
      </c>
      <c r="D4376" s="18">
        <v>0</v>
      </c>
      <c r="E4376" s="18">
        <v>0</v>
      </c>
      <c r="F4376" s="18">
        <v>0</v>
      </c>
      <c r="G4376" s="18">
        <v>0</v>
      </c>
      <c r="H4376" s="18">
        <v>0</v>
      </c>
    </row>
    <row r="4377" spans="2:8">
      <c r="B4377" s="14" t="s">
        <v>10320</v>
      </c>
      <c r="C4377" s="245" t="s">
        <v>4685</v>
      </c>
      <c r="D4377" s="15">
        <v>0</v>
      </c>
      <c r="E4377" s="15">
        <v>0</v>
      </c>
      <c r="F4377" s="15">
        <v>0</v>
      </c>
      <c r="G4377" s="15">
        <v>0</v>
      </c>
      <c r="H4377" s="15">
        <v>0</v>
      </c>
    </row>
    <row r="4378" spans="2:8">
      <c r="B4378" s="17" t="s">
        <v>10321</v>
      </c>
      <c r="C4378" s="246" t="s">
        <v>4686</v>
      </c>
      <c r="D4378" s="18">
        <v>0</v>
      </c>
      <c r="E4378" s="18">
        <v>0</v>
      </c>
      <c r="F4378" s="18">
        <v>0</v>
      </c>
      <c r="G4378" s="18">
        <v>0</v>
      </c>
      <c r="H4378" s="18">
        <v>0</v>
      </c>
    </row>
    <row r="4379" spans="2:8">
      <c r="B4379" s="14" t="s">
        <v>10322</v>
      </c>
      <c r="C4379" s="245" t="s">
        <v>4687</v>
      </c>
      <c r="D4379" s="15">
        <v>0</v>
      </c>
      <c r="E4379" s="15">
        <v>0</v>
      </c>
      <c r="F4379" s="15">
        <v>89</v>
      </c>
      <c r="G4379" s="15">
        <v>0</v>
      </c>
      <c r="H4379" s="15">
        <v>0</v>
      </c>
    </row>
    <row r="4380" spans="2:8">
      <c r="B4380" s="17" t="s">
        <v>10323</v>
      </c>
      <c r="C4380" s="246" t="s">
        <v>4688</v>
      </c>
      <c r="D4380" s="18">
        <v>0</v>
      </c>
      <c r="E4380" s="18">
        <v>7</v>
      </c>
      <c r="F4380" s="18">
        <v>0</v>
      </c>
      <c r="G4380" s="18">
        <v>13</v>
      </c>
      <c r="H4380" s="18">
        <v>0</v>
      </c>
    </row>
    <row r="4381" spans="2:8">
      <c r="B4381" s="14" t="s">
        <v>10324</v>
      </c>
      <c r="C4381" s="245" t="s">
        <v>4689</v>
      </c>
      <c r="D4381" s="15">
        <v>0</v>
      </c>
      <c r="E4381" s="15">
        <v>0</v>
      </c>
      <c r="F4381" s="15">
        <v>0</v>
      </c>
      <c r="G4381" s="15">
        <v>0</v>
      </c>
      <c r="H4381" s="15">
        <v>0</v>
      </c>
    </row>
    <row r="4382" spans="2:8">
      <c r="B4382" s="17" t="s">
        <v>10325</v>
      </c>
      <c r="C4382" s="246" t="s">
        <v>4690</v>
      </c>
      <c r="D4382" s="18">
        <v>0</v>
      </c>
      <c r="E4382" s="18">
        <v>0</v>
      </c>
      <c r="F4382" s="18">
        <v>0</v>
      </c>
      <c r="G4382" s="18">
        <v>0</v>
      </c>
      <c r="H4382" s="18">
        <v>0</v>
      </c>
    </row>
    <row r="4383" spans="2:8">
      <c r="B4383" s="14" t="s">
        <v>10326</v>
      </c>
      <c r="C4383" s="245" t="s">
        <v>4691</v>
      </c>
      <c r="D4383" s="15">
        <v>0</v>
      </c>
      <c r="E4383" s="15">
        <v>0</v>
      </c>
      <c r="F4383" s="15">
        <v>0</v>
      </c>
      <c r="G4383" s="15">
        <v>0</v>
      </c>
      <c r="H4383" s="15">
        <v>0</v>
      </c>
    </row>
    <row r="4384" spans="2:8">
      <c r="B4384" s="17" t="s">
        <v>10327</v>
      </c>
      <c r="C4384" s="246" t="s">
        <v>4692</v>
      </c>
      <c r="D4384" s="18">
        <v>0</v>
      </c>
      <c r="E4384" s="18">
        <v>0</v>
      </c>
      <c r="F4384" s="18">
        <v>0</v>
      </c>
      <c r="G4384" s="18">
        <v>0</v>
      </c>
      <c r="H4384" s="18">
        <v>0</v>
      </c>
    </row>
    <row r="4385" spans="2:8">
      <c r="B4385" s="14" t="s">
        <v>10328</v>
      </c>
      <c r="C4385" s="245" t="s">
        <v>4693</v>
      </c>
      <c r="D4385" s="15">
        <v>0</v>
      </c>
      <c r="E4385" s="15">
        <v>0</v>
      </c>
      <c r="F4385" s="15">
        <v>0</v>
      </c>
      <c r="G4385" s="15">
        <v>0</v>
      </c>
      <c r="H4385" s="15">
        <v>0</v>
      </c>
    </row>
    <row r="4386" spans="2:8">
      <c r="B4386" s="17" t="s">
        <v>10329</v>
      </c>
      <c r="C4386" s="246" t="s">
        <v>4694</v>
      </c>
      <c r="D4386" s="18">
        <v>0</v>
      </c>
      <c r="E4386" s="18">
        <v>0</v>
      </c>
      <c r="F4386" s="18">
        <v>0</v>
      </c>
      <c r="G4386" s="18">
        <v>0</v>
      </c>
      <c r="H4386" s="18">
        <v>0</v>
      </c>
    </row>
    <row r="4387" spans="2:8">
      <c r="B4387" s="14" t="s">
        <v>10330</v>
      </c>
      <c r="C4387" s="245" t="s">
        <v>4695</v>
      </c>
      <c r="D4387" s="15">
        <v>0</v>
      </c>
      <c r="E4387" s="15">
        <v>0</v>
      </c>
      <c r="F4387" s="15">
        <v>0</v>
      </c>
      <c r="G4387" s="15">
        <v>0</v>
      </c>
      <c r="H4387" s="15">
        <v>0</v>
      </c>
    </row>
    <row r="4388" spans="2:8">
      <c r="B4388" s="17" t="s">
        <v>10331</v>
      </c>
      <c r="C4388" s="246" t="s">
        <v>4696</v>
      </c>
      <c r="D4388" s="18">
        <v>0</v>
      </c>
      <c r="E4388" s="18">
        <v>0</v>
      </c>
      <c r="F4388" s="18">
        <v>0</v>
      </c>
      <c r="G4388" s="18">
        <v>0</v>
      </c>
      <c r="H4388" s="18">
        <v>0</v>
      </c>
    </row>
    <row r="4389" spans="2:8">
      <c r="B4389" s="14" t="s">
        <v>10332</v>
      </c>
      <c r="C4389" s="245" t="s">
        <v>4697</v>
      </c>
      <c r="D4389" s="15">
        <v>0</v>
      </c>
      <c r="E4389" s="15">
        <v>0</v>
      </c>
      <c r="F4389" s="15">
        <v>0</v>
      </c>
      <c r="G4389" s="15">
        <v>0</v>
      </c>
      <c r="H4389" s="15">
        <v>0</v>
      </c>
    </row>
    <row r="4390" spans="2:8">
      <c r="B4390" s="17" t="s">
        <v>10333</v>
      </c>
      <c r="C4390" s="246" t="s">
        <v>4698</v>
      </c>
      <c r="D4390" s="18">
        <v>0</v>
      </c>
      <c r="E4390" s="18">
        <v>0</v>
      </c>
      <c r="F4390" s="18">
        <v>0</v>
      </c>
      <c r="G4390" s="18">
        <v>0</v>
      </c>
      <c r="H4390" s="18">
        <v>0</v>
      </c>
    </row>
    <row r="4391" spans="2:8">
      <c r="B4391" s="14" t="s">
        <v>10334</v>
      </c>
      <c r="C4391" s="245" t="s">
        <v>4699</v>
      </c>
      <c r="D4391" s="15">
        <v>0</v>
      </c>
      <c r="E4391" s="15">
        <v>0</v>
      </c>
      <c r="F4391" s="15">
        <v>0</v>
      </c>
      <c r="G4391" s="15">
        <v>0</v>
      </c>
      <c r="H4391" s="15">
        <v>0</v>
      </c>
    </row>
    <row r="4392" spans="2:8">
      <c r="B4392" s="17" t="s">
        <v>10335</v>
      </c>
      <c r="C4392" s="246" t="s">
        <v>4700</v>
      </c>
      <c r="D4392" s="18">
        <v>0</v>
      </c>
      <c r="E4392" s="18">
        <v>0</v>
      </c>
      <c r="F4392" s="18">
        <v>0</v>
      </c>
      <c r="G4392" s="18">
        <v>0</v>
      </c>
      <c r="H4392" s="18">
        <v>0</v>
      </c>
    </row>
    <row r="4393" spans="2:8">
      <c r="B4393" s="14" t="s">
        <v>10336</v>
      </c>
      <c r="C4393" s="245" t="s">
        <v>4701</v>
      </c>
      <c r="D4393" s="15">
        <v>0</v>
      </c>
      <c r="E4393" s="15">
        <v>0</v>
      </c>
      <c r="F4393" s="15">
        <v>0</v>
      </c>
      <c r="G4393" s="15">
        <v>0</v>
      </c>
      <c r="H4393" s="15">
        <v>0</v>
      </c>
    </row>
    <row r="4394" spans="2:8">
      <c r="B4394" s="17" t="s">
        <v>10337</v>
      </c>
      <c r="C4394" s="246" t="s">
        <v>4702</v>
      </c>
      <c r="D4394" s="18">
        <v>0</v>
      </c>
      <c r="E4394" s="18">
        <v>0</v>
      </c>
      <c r="F4394" s="18">
        <v>0</v>
      </c>
      <c r="G4394" s="18">
        <v>0</v>
      </c>
      <c r="H4394" s="18">
        <v>0</v>
      </c>
    </row>
    <row r="4395" spans="2:8">
      <c r="B4395" s="14" t="s">
        <v>10338</v>
      </c>
      <c r="C4395" s="245" t="s">
        <v>4703</v>
      </c>
      <c r="D4395" s="15">
        <v>0</v>
      </c>
      <c r="E4395" s="15">
        <v>0</v>
      </c>
      <c r="F4395" s="15">
        <v>6</v>
      </c>
      <c r="G4395" s="15">
        <v>0</v>
      </c>
      <c r="H4395" s="15">
        <v>0</v>
      </c>
    </row>
    <row r="4396" spans="2:8">
      <c r="B4396" s="17" t="s">
        <v>10339</v>
      </c>
      <c r="C4396" s="246" t="s">
        <v>2200</v>
      </c>
      <c r="D4396" s="18">
        <v>0</v>
      </c>
      <c r="E4396" s="18">
        <v>0</v>
      </c>
      <c r="F4396" s="18">
        <v>0</v>
      </c>
      <c r="G4396" s="18">
        <v>0</v>
      </c>
      <c r="H4396" s="18">
        <v>0</v>
      </c>
    </row>
    <row r="4397" spans="2:8">
      <c r="B4397" s="14" t="s">
        <v>10340</v>
      </c>
      <c r="C4397" s="245" t="s">
        <v>1396</v>
      </c>
      <c r="D4397" s="15">
        <v>0</v>
      </c>
      <c r="E4397" s="15">
        <v>0</v>
      </c>
      <c r="F4397" s="15">
        <v>0</v>
      </c>
      <c r="G4397" s="15">
        <v>0</v>
      </c>
      <c r="H4397" s="15">
        <v>0</v>
      </c>
    </row>
    <row r="4398" spans="2:8">
      <c r="B4398" s="17" t="s">
        <v>10341</v>
      </c>
      <c r="C4398" s="246" t="s">
        <v>4704</v>
      </c>
      <c r="D4398" s="18">
        <v>0</v>
      </c>
      <c r="E4398" s="18">
        <v>0</v>
      </c>
      <c r="F4398" s="18">
        <v>0</v>
      </c>
      <c r="G4398" s="18">
        <v>0</v>
      </c>
      <c r="H4398" s="18">
        <v>0</v>
      </c>
    </row>
    <row r="4399" spans="2:8">
      <c r="B4399" s="14" t="s">
        <v>10342</v>
      </c>
      <c r="C4399" s="245" t="s">
        <v>2203</v>
      </c>
      <c r="D4399" s="15">
        <v>0</v>
      </c>
      <c r="E4399" s="15">
        <v>0</v>
      </c>
      <c r="F4399" s="15">
        <v>0</v>
      </c>
      <c r="G4399" s="15">
        <v>0</v>
      </c>
      <c r="H4399" s="15">
        <v>0</v>
      </c>
    </row>
    <row r="4400" spans="2:8">
      <c r="B4400" s="17" t="s">
        <v>10343</v>
      </c>
      <c r="C4400" s="246" t="s">
        <v>4705</v>
      </c>
      <c r="D4400" s="18">
        <v>40</v>
      </c>
      <c r="E4400" s="18">
        <v>0</v>
      </c>
      <c r="F4400" s="18">
        <v>0</v>
      </c>
      <c r="G4400" s="18">
        <v>0</v>
      </c>
      <c r="H4400" s="18">
        <v>0</v>
      </c>
    </row>
    <row r="4401" spans="2:8">
      <c r="B4401" s="14" t="s">
        <v>10344</v>
      </c>
      <c r="C4401" s="245" t="s">
        <v>4706</v>
      </c>
      <c r="D4401" s="15">
        <v>0</v>
      </c>
      <c r="E4401" s="15">
        <v>0</v>
      </c>
      <c r="F4401" s="15">
        <v>0</v>
      </c>
      <c r="G4401" s="15">
        <v>0</v>
      </c>
      <c r="H4401" s="15">
        <v>0</v>
      </c>
    </row>
    <row r="4402" spans="2:8">
      <c r="B4402" s="17" t="s">
        <v>10345</v>
      </c>
      <c r="C4402" s="246" t="s">
        <v>1648</v>
      </c>
      <c r="D4402" s="18">
        <v>0</v>
      </c>
      <c r="E4402" s="18">
        <v>0</v>
      </c>
      <c r="F4402" s="18">
        <v>0</v>
      </c>
      <c r="G4402" s="18">
        <v>0</v>
      </c>
      <c r="H4402" s="18">
        <v>0</v>
      </c>
    </row>
    <row r="4403" spans="2:8">
      <c r="B4403" s="14" t="s">
        <v>10346</v>
      </c>
      <c r="C4403" s="245" t="s">
        <v>4707</v>
      </c>
      <c r="D4403" s="15">
        <v>0</v>
      </c>
      <c r="E4403" s="15">
        <v>0</v>
      </c>
      <c r="F4403" s="15">
        <v>0</v>
      </c>
      <c r="G4403" s="15">
        <v>23</v>
      </c>
      <c r="H4403" s="15">
        <v>0</v>
      </c>
    </row>
    <row r="4404" spans="2:8">
      <c r="B4404" s="17" t="s">
        <v>10347</v>
      </c>
      <c r="C4404" s="246" t="s">
        <v>4708</v>
      </c>
      <c r="D4404" s="18">
        <v>0</v>
      </c>
      <c r="E4404" s="18">
        <v>0</v>
      </c>
      <c r="F4404" s="18">
        <v>0</v>
      </c>
      <c r="G4404" s="18">
        <v>2</v>
      </c>
      <c r="H4404" s="18">
        <v>0</v>
      </c>
    </row>
    <row r="4405" spans="2:8">
      <c r="B4405" s="14" t="s">
        <v>10348</v>
      </c>
      <c r="C4405" s="245" t="s">
        <v>4709</v>
      </c>
      <c r="D4405" s="15">
        <v>143</v>
      </c>
      <c r="E4405" s="15">
        <v>194</v>
      </c>
      <c r="F4405" s="15">
        <v>190</v>
      </c>
      <c r="G4405" s="15">
        <v>0</v>
      </c>
      <c r="H4405" s="15">
        <v>0</v>
      </c>
    </row>
    <row r="4406" spans="2:8">
      <c r="B4406" s="17" t="s">
        <v>10349</v>
      </c>
      <c r="C4406" s="246" t="s">
        <v>4710</v>
      </c>
      <c r="D4406" s="18">
        <v>19</v>
      </c>
      <c r="E4406" s="18">
        <v>10</v>
      </c>
      <c r="F4406" s="18">
        <v>0</v>
      </c>
      <c r="G4406" s="18">
        <v>0</v>
      </c>
      <c r="H4406" s="18">
        <v>0</v>
      </c>
    </row>
    <row r="4407" spans="2:8">
      <c r="B4407" s="14" t="s">
        <v>10350</v>
      </c>
      <c r="C4407" s="245" t="s">
        <v>4711</v>
      </c>
      <c r="D4407" s="15">
        <v>0</v>
      </c>
      <c r="E4407" s="15">
        <v>0</v>
      </c>
      <c r="F4407" s="15">
        <v>0</v>
      </c>
      <c r="G4407" s="15">
        <v>0</v>
      </c>
      <c r="H4407" s="15">
        <v>0</v>
      </c>
    </row>
    <row r="4408" spans="2:8">
      <c r="B4408" s="17" t="s">
        <v>10351</v>
      </c>
      <c r="C4408" s="246" t="s">
        <v>4712</v>
      </c>
      <c r="D4408" s="18">
        <v>0</v>
      </c>
      <c r="E4408" s="18">
        <v>0</v>
      </c>
      <c r="F4408" s="18">
        <v>0</v>
      </c>
      <c r="G4408" s="18">
        <v>0</v>
      </c>
      <c r="H4408" s="18">
        <v>0</v>
      </c>
    </row>
    <row r="4409" spans="2:8">
      <c r="B4409" s="14" t="s">
        <v>10352</v>
      </c>
      <c r="C4409" s="245" t="s">
        <v>2137</v>
      </c>
      <c r="D4409" s="15">
        <v>0</v>
      </c>
      <c r="E4409" s="15">
        <v>0</v>
      </c>
      <c r="F4409" s="15">
        <v>0</v>
      </c>
      <c r="G4409" s="15">
        <v>0</v>
      </c>
      <c r="H4409" s="15">
        <v>0</v>
      </c>
    </row>
    <row r="4410" spans="2:8">
      <c r="B4410" s="17" t="s">
        <v>10353</v>
      </c>
      <c r="C4410" s="246" t="s">
        <v>4713</v>
      </c>
      <c r="D4410" s="18">
        <v>0</v>
      </c>
      <c r="E4410" s="18">
        <v>0</v>
      </c>
      <c r="F4410" s="18">
        <v>0</v>
      </c>
      <c r="G4410" s="18">
        <v>0</v>
      </c>
      <c r="H4410" s="18">
        <v>0</v>
      </c>
    </row>
    <row r="4411" spans="2:8">
      <c r="B4411" s="14" t="s">
        <v>10354</v>
      </c>
      <c r="C4411" s="245" t="s">
        <v>4714</v>
      </c>
      <c r="D4411" s="15">
        <v>0</v>
      </c>
      <c r="E4411" s="15">
        <v>0</v>
      </c>
      <c r="F4411" s="15">
        <v>0</v>
      </c>
      <c r="G4411" s="15">
        <v>0</v>
      </c>
      <c r="H4411" s="15">
        <v>0</v>
      </c>
    </row>
    <row r="4412" spans="2:8">
      <c r="B4412" s="17" t="s">
        <v>10355</v>
      </c>
      <c r="C4412" s="246" t="s">
        <v>3083</v>
      </c>
      <c r="D4412" s="18">
        <v>0</v>
      </c>
      <c r="E4412" s="18">
        <v>0</v>
      </c>
      <c r="F4412" s="18">
        <v>0</v>
      </c>
      <c r="G4412" s="18">
        <v>0</v>
      </c>
      <c r="H4412" s="18">
        <v>0</v>
      </c>
    </row>
    <row r="4413" spans="2:8">
      <c r="B4413" s="14" t="s">
        <v>10356</v>
      </c>
      <c r="C4413" s="245" t="s">
        <v>2141</v>
      </c>
      <c r="D4413" s="15">
        <v>0</v>
      </c>
      <c r="E4413" s="15">
        <v>0</v>
      </c>
      <c r="F4413" s="15">
        <v>0</v>
      </c>
      <c r="G4413" s="15">
        <v>0</v>
      </c>
      <c r="H4413" s="15">
        <v>0</v>
      </c>
    </row>
    <row r="4414" spans="2:8">
      <c r="B4414" s="17" t="s">
        <v>10357</v>
      </c>
      <c r="C4414" s="246" t="s">
        <v>2141</v>
      </c>
      <c r="D4414" s="18">
        <v>0</v>
      </c>
      <c r="E4414" s="18">
        <v>0</v>
      </c>
      <c r="F4414" s="18">
        <v>0</v>
      </c>
      <c r="G4414" s="18">
        <v>0</v>
      </c>
      <c r="H4414" s="18">
        <v>0</v>
      </c>
    </row>
    <row r="4415" spans="2:8">
      <c r="B4415" s="14" t="s">
        <v>10358</v>
      </c>
      <c r="C4415" s="245" t="s">
        <v>2141</v>
      </c>
      <c r="D4415" s="15">
        <v>0</v>
      </c>
      <c r="E4415" s="15">
        <v>0</v>
      </c>
      <c r="F4415" s="15">
        <v>0</v>
      </c>
      <c r="G4415" s="15">
        <v>0</v>
      </c>
      <c r="H4415" s="15">
        <v>0</v>
      </c>
    </row>
    <row r="4416" spans="2:8">
      <c r="B4416" s="17" t="s">
        <v>10359</v>
      </c>
      <c r="C4416" s="246" t="s">
        <v>3084</v>
      </c>
      <c r="D4416" s="18">
        <v>0</v>
      </c>
      <c r="E4416" s="18">
        <v>0</v>
      </c>
      <c r="F4416" s="18">
        <v>0</v>
      </c>
      <c r="G4416" s="18">
        <v>0</v>
      </c>
      <c r="H4416" s="18">
        <v>0</v>
      </c>
    </row>
    <row r="4417" spans="2:8">
      <c r="B4417" s="14" t="s">
        <v>10360</v>
      </c>
      <c r="C4417" s="245" t="s">
        <v>2142</v>
      </c>
      <c r="D4417" s="15">
        <v>0</v>
      </c>
      <c r="E4417" s="15">
        <v>0</v>
      </c>
      <c r="F4417" s="15">
        <v>0</v>
      </c>
      <c r="G4417" s="15">
        <v>0</v>
      </c>
      <c r="H4417" s="15">
        <v>0</v>
      </c>
    </row>
    <row r="4418" spans="2:8">
      <c r="B4418" s="17" t="s">
        <v>10361</v>
      </c>
      <c r="C4418" s="246" t="s">
        <v>4715</v>
      </c>
      <c r="D4418" s="18">
        <v>0</v>
      </c>
      <c r="E4418" s="18">
        <v>0</v>
      </c>
      <c r="F4418" s="18">
        <v>0</v>
      </c>
      <c r="G4418" s="18">
        <v>0</v>
      </c>
      <c r="H4418" s="18">
        <v>0</v>
      </c>
    </row>
    <row r="4419" spans="2:8">
      <c r="B4419" s="14" t="s">
        <v>10362</v>
      </c>
      <c r="C4419" s="245" t="s">
        <v>4716</v>
      </c>
      <c r="D4419" s="15">
        <v>0</v>
      </c>
      <c r="E4419" s="15">
        <v>0</v>
      </c>
      <c r="F4419" s="15">
        <v>0</v>
      </c>
      <c r="G4419" s="15">
        <v>0</v>
      </c>
      <c r="H4419" s="15">
        <v>0</v>
      </c>
    </row>
    <row r="4420" spans="2:8">
      <c r="B4420" s="17" t="s">
        <v>10363</v>
      </c>
      <c r="C4420" s="246" t="s">
        <v>4717</v>
      </c>
      <c r="D4420" s="18">
        <v>0</v>
      </c>
      <c r="E4420" s="18">
        <v>0</v>
      </c>
      <c r="F4420" s="18">
        <v>0</v>
      </c>
      <c r="G4420" s="18">
        <v>0</v>
      </c>
      <c r="H4420" s="18">
        <v>0</v>
      </c>
    </row>
    <row r="4421" spans="2:8">
      <c r="B4421" s="14" t="s">
        <v>10364</v>
      </c>
      <c r="C4421" s="245" t="s">
        <v>4718</v>
      </c>
      <c r="D4421" s="15">
        <v>0</v>
      </c>
      <c r="E4421" s="15">
        <v>0</v>
      </c>
      <c r="F4421" s="15">
        <v>0</v>
      </c>
      <c r="G4421" s="15">
        <v>0</v>
      </c>
      <c r="H4421" s="15">
        <v>0</v>
      </c>
    </row>
    <row r="4422" spans="2:8">
      <c r="B4422" s="17" t="s">
        <v>10365</v>
      </c>
      <c r="C4422" s="246" t="s">
        <v>4719</v>
      </c>
      <c r="D4422" s="18">
        <v>0</v>
      </c>
      <c r="E4422" s="18">
        <v>0</v>
      </c>
      <c r="F4422" s="18">
        <v>0</v>
      </c>
      <c r="G4422" s="18">
        <v>0</v>
      </c>
      <c r="H4422" s="18">
        <v>0</v>
      </c>
    </row>
    <row r="4423" spans="2:8">
      <c r="B4423" s="14" t="s">
        <v>10366</v>
      </c>
      <c r="C4423" s="245" t="s">
        <v>4720</v>
      </c>
      <c r="D4423" s="15">
        <v>0</v>
      </c>
      <c r="E4423" s="15">
        <v>0</v>
      </c>
      <c r="F4423" s="15">
        <v>0</v>
      </c>
      <c r="G4423" s="15">
        <v>0</v>
      </c>
      <c r="H4423" s="15">
        <v>0</v>
      </c>
    </row>
    <row r="4424" spans="2:8">
      <c r="B4424" s="17" t="s">
        <v>10367</v>
      </c>
      <c r="C4424" s="246" t="s">
        <v>4721</v>
      </c>
      <c r="D4424" s="18">
        <v>0</v>
      </c>
      <c r="E4424" s="18">
        <v>0</v>
      </c>
      <c r="F4424" s="18">
        <v>0</v>
      </c>
      <c r="G4424" s="18">
        <v>0</v>
      </c>
      <c r="H4424" s="18">
        <v>0</v>
      </c>
    </row>
    <row r="4425" spans="2:8">
      <c r="B4425" s="14" t="s">
        <v>10368</v>
      </c>
      <c r="C4425" s="245" t="s">
        <v>4722</v>
      </c>
      <c r="D4425" s="15">
        <v>0</v>
      </c>
      <c r="E4425" s="15">
        <v>0</v>
      </c>
      <c r="F4425" s="15">
        <v>0</v>
      </c>
      <c r="G4425" s="15">
        <v>0</v>
      </c>
      <c r="H4425" s="15">
        <v>0</v>
      </c>
    </row>
    <row r="4426" spans="2:8">
      <c r="B4426" s="17" t="s">
        <v>10369</v>
      </c>
      <c r="C4426" s="246" t="s">
        <v>2149</v>
      </c>
      <c r="D4426" s="18">
        <v>0</v>
      </c>
      <c r="E4426" s="18">
        <v>0</v>
      </c>
      <c r="F4426" s="18">
        <v>0</v>
      </c>
      <c r="G4426" s="18">
        <v>0</v>
      </c>
      <c r="H4426" s="18">
        <v>0</v>
      </c>
    </row>
    <row r="4427" spans="2:8">
      <c r="B4427" s="14" t="s">
        <v>10370</v>
      </c>
      <c r="C4427" s="245" t="s">
        <v>4723</v>
      </c>
      <c r="D4427" s="15">
        <v>0</v>
      </c>
      <c r="E4427" s="15">
        <v>0</v>
      </c>
      <c r="F4427" s="15">
        <v>0</v>
      </c>
      <c r="G4427" s="15">
        <v>0</v>
      </c>
      <c r="H4427" s="15">
        <v>0</v>
      </c>
    </row>
    <row r="4428" spans="2:8">
      <c r="B4428" s="17" t="s">
        <v>10371</v>
      </c>
      <c r="C4428" s="246" t="s">
        <v>4724</v>
      </c>
      <c r="D4428" s="18">
        <v>0</v>
      </c>
      <c r="E4428" s="18">
        <v>0</v>
      </c>
      <c r="F4428" s="18">
        <v>0</v>
      </c>
      <c r="G4428" s="18">
        <v>0</v>
      </c>
      <c r="H4428" s="18">
        <v>0</v>
      </c>
    </row>
    <row r="4429" spans="2:8">
      <c r="B4429" s="14" t="s">
        <v>10372</v>
      </c>
      <c r="C4429" s="245" t="s">
        <v>4725</v>
      </c>
      <c r="D4429" s="15">
        <v>0</v>
      </c>
      <c r="E4429" s="15">
        <v>0</v>
      </c>
      <c r="F4429" s="15">
        <v>0</v>
      </c>
      <c r="G4429" s="15">
        <v>0</v>
      </c>
      <c r="H4429" s="15">
        <v>0</v>
      </c>
    </row>
    <row r="4430" spans="2:8">
      <c r="B4430" s="17" t="s">
        <v>10373</v>
      </c>
      <c r="C4430" s="246" t="s">
        <v>4726</v>
      </c>
      <c r="D4430" s="18">
        <v>0</v>
      </c>
      <c r="E4430" s="18">
        <v>0</v>
      </c>
      <c r="F4430" s="18">
        <v>0</v>
      </c>
      <c r="G4430" s="18">
        <v>0</v>
      </c>
      <c r="H4430" s="18">
        <v>0</v>
      </c>
    </row>
    <row r="4431" spans="2:8">
      <c r="B4431" s="14" t="s">
        <v>10374</v>
      </c>
      <c r="C4431" s="245" t="s">
        <v>4727</v>
      </c>
      <c r="D4431" s="15">
        <v>0</v>
      </c>
      <c r="E4431" s="15">
        <v>0</v>
      </c>
      <c r="F4431" s="15">
        <v>0</v>
      </c>
      <c r="G4431" s="15">
        <v>0</v>
      </c>
      <c r="H4431" s="15">
        <v>0</v>
      </c>
    </row>
    <row r="4432" spans="2:8">
      <c r="B4432" s="17" t="s">
        <v>10375</v>
      </c>
      <c r="C4432" s="246" t="s">
        <v>4728</v>
      </c>
      <c r="D4432" s="18">
        <v>0</v>
      </c>
      <c r="E4432" s="18">
        <v>0</v>
      </c>
      <c r="F4432" s="18">
        <v>0</v>
      </c>
      <c r="G4432" s="18">
        <v>0</v>
      </c>
      <c r="H4432" s="18">
        <v>0</v>
      </c>
    </row>
    <row r="4433" spans="2:8">
      <c r="B4433" s="14" t="s">
        <v>10376</v>
      </c>
      <c r="C4433" s="245" t="s">
        <v>3778</v>
      </c>
      <c r="D4433" s="15">
        <v>0</v>
      </c>
      <c r="E4433" s="15">
        <v>0</v>
      </c>
      <c r="F4433" s="15">
        <v>0</v>
      </c>
      <c r="G4433" s="15">
        <v>0</v>
      </c>
      <c r="H4433" s="15">
        <v>0</v>
      </c>
    </row>
    <row r="4434" spans="2:8">
      <c r="B4434" s="17" t="s">
        <v>10377</v>
      </c>
      <c r="C4434" s="246" t="s">
        <v>4729</v>
      </c>
      <c r="D4434" s="18">
        <v>0</v>
      </c>
      <c r="E4434" s="18">
        <v>0</v>
      </c>
      <c r="F4434" s="18">
        <v>0</v>
      </c>
      <c r="G4434" s="18">
        <v>0</v>
      </c>
      <c r="H4434" s="18">
        <v>0</v>
      </c>
    </row>
    <row r="4435" spans="2:8">
      <c r="B4435" s="14" t="s">
        <v>10378</v>
      </c>
      <c r="C4435" s="245" t="s">
        <v>4730</v>
      </c>
      <c r="D4435" s="15">
        <v>0</v>
      </c>
      <c r="E4435" s="15">
        <v>0</v>
      </c>
      <c r="F4435" s="15">
        <v>0</v>
      </c>
      <c r="G4435" s="15">
        <v>0</v>
      </c>
      <c r="H4435" s="15">
        <v>0</v>
      </c>
    </row>
    <row r="4436" spans="2:8">
      <c r="B4436" s="17" t="s">
        <v>10379</v>
      </c>
      <c r="C4436" s="246" t="s">
        <v>4731</v>
      </c>
      <c r="D4436" s="18">
        <v>0</v>
      </c>
      <c r="E4436" s="18">
        <v>0</v>
      </c>
      <c r="F4436" s="18">
        <v>0</v>
      </c>
      <c r="G4436" s="18">
        <v>0</v>
      </c>
      <c r="H4436" s="18">
        <v>0</v>
      </c>
    </row>
    <row r="4437" spans="2:8">
      <c r="B4437" s="14" t="s">
        <v>10380</v>
      </c>
      <c r="C4437" s="245" t="s">
        <v>3782</v>
      </c>
      <c r="D4437" s="15">
        <v>0</v>
      </c>
      <c r="E4437" s="15">
        <v>0</v>
      </c>
      <c r="F4437" s="15">
        <v>0</v>
      </c>
      <c r="G4437" s="15">
        <v>0</v>
      </c>
      <c r="H4437" s="15">
        <v>0</v>
      </c>
    </row>
    <row r="4438" spans="2:8">
      <c r="B4438" s="17" t="s">
        <v>10381</v>
      </c>
      <c r="C4438" s="246" t="s">
        <v>1375</v>
      </c>
      <c r="D4438" s="18">
        <v>0</v>
      </c>
      <c r="E4438" s="18">
        <v>0</v>
      </c>
      <c r="F4438" s="18">
        <v>0</v>
      </c>
      <c r="G4438" s="18">
        <v>0</v>
      </c>
      <c r="H4438" s="18">
        <v>0</v>
      </c>
    </row>
    <row r="4439" spans="2:8">
      <c r="B4439" s="14" t="s">
        <v>10382</v>
      </c>
      <c r="C4439" s="245" t="s">
        <v>1375</v>
      </c>
      <c r="D4439" s="15">
        <v>0</v>
      </c>
      <c r="E4439" s="15">
        <v>0</v>
      </c>
      <c r="F4439" s="15">
        <v>0</v>
      </c>
      <c r="G4439" s="15">
        <v>0</v>
      </c>
      <c r="H4439" s="15">
        <v>0</v>
      </c>
    </row>
    <row r="4440" spans="2:8">
      <c r="B4440" s="17" t="s">
        <v>10383</v>
      </c>
      <c r="C4440" s="246" t="s">
        <v>2183</v>
      </c>
      <c r="D4440" s="18">
        <v>0</v>
      </c>
      <c r="E4440" s="18">
        <v>0</v>
      </c>
      <c r="F4440" s="18">
        <v>0</v>
      </c>
      <c r="G4440" s="18">
        <v>0</v>
      </c>
      <c r="H4440" s="18">
        <v>0</v>
      </c>
    </row>
    <row r="4441" spans="2:8">
      <c r="B4441" s="14" t="s">
        <v>10384</v>
      </c>
      <c r="C4441" s="245" t="s">
        <v>2183</v>
      </c>
      <c r="D4441" s="15">
        <v>0</v>
      </c>
      <c r="E4441" s="15">
        <v>0</v>
      </c>
      <c r="F4441" s="15">
        <v>0</v>
      </c>
      <c r="G4441" s="15">
        <v>0</v>
      </c>
      <c r="H4441" s="15">
        <v>0</v>
      </c>
    </row>
    <row r="4442" spans="2:8">
      <c r="B4442" s="17" t="s">
        <v>10385</v>
      </c>
      <c r="C4442" s="246" t="s">
        <v>2183</v>
      </c>
      <c r="D4442" s="18">
        <v>0</v>
      </c>
      <c r="E4442" s="18">
        <v>0</v>
      </c>
      <c r="F4442" s="18">
        <v>0</v>
      </c>
      <c r="G4442" s="18">
        <v>0</v>
      </c>
      <c r="H4442" s="18">
        <v>0</v>
      </c>
    </row>
    <row r="4443" spans="2:8">
      <c r="B4443" s="14" t="s">
        <v>10386</v>
      </c>
      <c r="C4443" s="245" t="s">
        <v>4732</v>
      </c>
      <c r="D4443" s="15">
        <v>10</v>
      </c>
      <c r="E4443" s="15">
        <v>0</v>
      </c>
      <c r="F4443" s="15">
        <v>0</v>
      </c>
      <c r="G4443" s="15">
        <v>0</v>
      </c>
      <c r="H4443" s="15">
        <v>0</v>
      </c>
    </row>
    <row r="4444" spans="2:8">
      <c r="B4444" s="17" t="s">
        <v>10387</v>
      </c>
      <c r="C4444" s="246" t="s">
        <v>3025</v>
      </c>
      <c r="D4444" s="18">
        <v>0</v>
      </c>
      <c r="E4444" s="18">
        <v>0</v>
      </c>
      <c r="F4444" s="18">
        <v>0</v>
      </c>
      <c r="G4444" s="18">
        <v>0</v>
      </c>
      <c r="H4444" s="18">
        <v>0</v>
      </c>
    </row>
    <row r="4445" spans="2:8">
      <c r="B4445" s="14" t="s">
        <v>10388</v>
      </c>
      <c r="C4445" s="245" t="s">
        <v>4733</v>
      </c>
      <c r="D4445" s="15">
        <v>0</v>
      </c>
      <c r="E4445" s="15">
        <v>0</v>
      </c>
      <c r="F4445" s="15">
        <v>0</v>
      </c>
      <c r="G4445" s="15">
        <v>0</v>
      </c>
      <c r="H4445" s="15">
        <v>0</v>
      </c>
    </row>
    <row r="4446" spans="2:8">
      <c r="B4446" s="17" t="s">
        <v>10389</v>
      </c>
      <c r="C4446" s="246" t="s">
        <v>2501</v>
      </c>
      <c r="D4446" s="18">
        <v>0</v>
      </c>
      <c r="E4446" s="18">
        <v>0</v>
      </c>
      <c r="F4446" s="18">
        <v>0</v>
      </c>
      <c r="G4446" s="18">
        <v>0</v>
      </c>
      <c r="H4446" s="18">
        <v>0</v>
      </c>
    </row>
    <row r="4447" spans="2:8">
      <c r="B4447" s="14" t="s">
        <v>10390</v>
      </c>
      <c r="C4447" s="245" t="s">
        <v>4734</v>
      </c>
      <c r="D4447" s="15">
        <v>0</v>
      </c>
      <c r="E4447" s="15">
        <v>0</v>
      </c>
      <c r="F4447" s="15">
        <v>0</v>
      </c>
      <c r="G4447" s="15">
        <v>0</v>
      </c>
      <c r="H4447" s="15">
        <v>0</v>
      </c>
    </row>
    <row r="4448" spans="2:8">
      <c r="B4448" s="17" t="s">
        <v>10391</v>
      </c>
      <c r="C4448" s="246" t="s">
        <v>3811</v>
      </c>
      <c r="D4448" s="18">
        <v>0</v>
      </c>
      <c r="E4448" s="18">
        <v>0</v>
      </c>
      <c r="F4448" s="18">
        <v>0</v>
      </c>
      <c r="G4448" s="18">
        <v>0</v>
      </c>
      <c r="H4448" s="18">
        <v>0</v>
      </c>
    </row>
    <row r="4449" spans="2:8">
      <c r="B4449" s="14" t="s">
        <v>10392</v>
      </c>
      <c r="C4449" s="245" t="s">
        <v>4735</v>
      </c>
      <c r="D4449" s="15">
        <v>0</v>
      </c>
      <c r="E4449" s="15">
        <v>0</v>
      </c>
      <c r="F4449" s="15">
        <v>0</v>
      </c>
      <c r="G4449" s="15">
        <v>0</v>
      </c>
      <c r="H4449" s="15">
        <v>0</v>
      </c>
    </row>
    <row r="4450" spans="2:8">
      <c r="B4450" s="17" t="s">
        <v>10393</v>
      </c>
      <c r="C4450" s="246" t="s">
        <v>4034</v>
      </c>
      <c r="D4450" s="18">
        <v>0</v>
      </c>
      <c r="E4450" s="18">
        <v>0</v>
      </c>
      <c r="F4450" s="18">
        <v>0</v>
      </c>
      <c r="G4450" s="18">
        <v>0</v>
      </c>
      <c r="H4450" s="18">
        <v>0</v>
      </c>
    </row>
    <row r="4451" spans="2:8">
      <c r="B4451" s="14" t="s">
        <v>10394</v>
      </c>
      <c r="C4451" s="245" t="s">
        <v>3813</v>
      </c>
      <c r="D4451" s="15">
        <v>0</v>
      </c>
      <c r="E4451" s="15">
        <v>0</v>
      </c>
      <c r="F4451" s="15">
        <v>0</v>
      </c>
      <c r="G4451" s="15">
        <v>0</v>
      </c>
      <c r="H4451" s="15">
        <v>0</v>
      </c>
    </row>
    <row r="4452" spans="2:8">
      <c r="B4452" s="17" t="s">
        <v>10395</v>
      </c>
      <c r="C4452" s="246" t="s">
        <v>2512</v>
      </c>
      <c r="D4452" s="18">
        <v>0</v>
      </c>
      <c r="E4452" s="18">
        <v>0</v>
      </c>
      <c r="F4452" s="18">
        <v>0</v>
      </c>
      <c r="G4452" s="18">
        <v>0</v>
      </c>
      <c r="H4452" s="18">
        <v>0</v>
      </c>
    </row>
    <row r="4453" spans="2:8">
      <c r="B4453" s="14" t="s">
        <v>10396</v>
      </c>
      <c r="C4453" s="245" t="s">
        <v>4736</v>
      </c>
      <c r="D4453" s="15">
        <v>0</v>
      </c>
      <c r="E4453" s="15">
        <v>0</v>
      </c>
      <c r="F4453" s="15">
        <v>0</v>
      </c>
      <c r="G4453" s="15">
        <v>0</v>
      </c>
      <c r="H4453" s="15">
        <v>0</v>
      </c>
    </row>
    <row r="4454" spans="2:8">
      <c r="B4454" s="17" t="s">
        <v>10397</v>
      </c>
      <c r="C4454" s="246" t="s">
        <v>4737</v>
      </c>
      <c r="D4454" s="18">
        <v>0</v>
      </c>
      <c r="E4454" s="18">
        <v>0</v>
      </c>
      <c r="F4454" s="18">
        <v>0</v>
      </c>
      <c r="G4454" s="18">
        <v>0</v>
      </c>
      <c r="H4454" s="18">
        <v>0</v>
      </c>
    </row>
    <row r="4455" spans="2:8">
      <c r="B4455" s="14" t="s">
        <v>10398</v>
      </c>
      <c r="C4455" s="245" t="s">
        <v>4738</v>
      </c>
      <c r="D4455" s="15">
        <v>0</v>
      </c>
      <c r="E4455" s="15">
        <v>0</v>
      </c>
      <c r="F4455" s="15">
        <v>0</v>
      </c>
      <c r="G4455" s="15">
        <v>18</v>
      </c>
      <c r="H4455" s="15">
        <v>0</v>
      </c>
    </row>
    <row r="4456" spans="2:8">
      <c r="B4456" s="17" t="s">
        <v>10399</v>
      </c>
      <c r="C4456" s="246" t="s">
        <v>4739</v>
      </c>
      <c r="D4456" s="18">
        <v>0</v>
      </c>
      <c r="E4456" s="18">
        <v>0</v>
      </c>
      <c r="F4456" s="18">
        <v>0</v>
      </c>
      <c r="G4456" s="18">
        <v>0</v>
      </c>
      <c r="H4456" s="18">
        <v>0</v>
      </c>
    </row>
    <row r="4457" spans="2:8">
      <c r="B4457" s="14" t="s">
        <v>10400</v>
      </c>
      <c r="C4457" s="245" t="s">
        <v>4740</v>
      </c>
      <c r="D4457" s="15">
        <v>0</v>
      </c>
      <c r="E4457" s="15">
        <v>0</v>
      </c>
      <c r="F4457" s="15">
        <v>0</v>
      </c>
      <c r="G4457" s="15">
        <v>0</v>
      </c>
      <c r="H4457" s="15">
        <v>0</v>
      </c>
    </row>
    <row r="4458" spans="2:8">
      <c r="B4458" s="17" t="s">
        <v>10401</v>
      </c>
      <c r="C4458" s="246" t="s">
        <v>4741</v>
      </c>
      <c r="D4458" s="18">
        <v>0</v>
      </c>
      <c r="E4458" s="18">
        <v>0</v>
      </c>
      <c r="F4458" s="18">
        <v>0</v>
      </c>
      <c r="G4458" s="18">
        <v>0</v>
      </c>
      <c r="H4458" s="18">
        <v>0</v>
      </c>
    </row>
    <row r="4459" spans="2:8">
      <c r="B4459" s="14" t="s">
        <v>10402</v>
      </c>
      <c r="C4459" s="245" t="s">
        <v>1800</v>
      </c>
      <c r="D4459" s="15">
        <v>0</v>
      </c>
      <c r="E4459" s="15">
        <v>0</v>
      </c>
      <c r="F4459" s="15">
        <v>0</v>
      </c>
      <c r="G4459" s="15">
        <v>0</v>
      </c>
      <c r="H4459" s="15">
        <v>0</v>
      </c>
    </row>
    <row r="4460" spans="2:8">
      <c r="B4460" s="17" t="s">
        <v>10403</v>
      </c>
      <c r="C4460" s="246" t="s">
        <v>1800</v>
      </c>
      <c r="D4460" s="18">
        <v>0</v>
      </c>
      <c r="E4460" s="18">
        <v>0</v>
      </c>
      <c r="F4460" s="18">
        <v>0</v>
      </c>
      <c r="G4460" s="18">
        <v>0</v>
      </c>
      <c r="H4460" s="18">
        <v>0</v>
      </c>
    </row>
    <row r="4461" spans="2:8">
      <c r="B4461" s="14" t="s">
        <v>10404</v>
      </c>
      <c r="C4461" s="245" t="s">
        <v>4742</v>
      </c>
      <c r="D4461" s="15">
        <v>0</v>
      </c>
      <c r="E4461" s="15">
        <v>15</v>
      </c>
      <c r="F4461" s="15">
        <v>0</v>
      </c>
      <c r="G4461" s="15">
        <v>0</v>
      </c>
      <c r="H4461" s="15">
        <v>0</v>
      </c>
    </row>
    <row r="4462" spans="2:8">
      <c r="B4462" s="17" t="s">
        <v>10405</v>
      </c>
      <c r="C4462" s="246" t="s">
        <v>4743</v>
      </c>
      <c r="D4462" s="18">
        <v>0</v>
      </c>
      <c r="E4462" s="18">
        <v>0</v>
      </c>
      <c r="F4462" s="18">
        <v>0</v>
      </c>
      <c r="G4462" s="18">
        <v>0</v>
      </c>
      <c r="H4462" s="18">
        <v>0</v>
      </c>
    </row>
    <row r="4463" spans="2:8">
      <c r="B4463" s="14" t="s">
        <v>10406</v>
      </c>
      <c r="C4463" s="245" t="s">
        <v>4744</v>
      </c>
      <c r="D4463" s="15">
        <v>0</v>
      </c>
      <c r="E4463" s="15">
        <v>0</v>
      </c>
      <c r="F4463" s="15">
        <v>0</v>
      </c>
      <c r="G4463" s="15">
        <v>0</v>
      </c>
      <c r="H4463" s="15">
        <v>0</v>
      </c>
    </row>
    <row r="4464" spans="2:8">
      <c r="B4464" s="17" t="s">
        <v>10407</v>
      </c>
      <c r="C4464" s="246" t="s">
        <v>4745</v>
      </c>
      <c r="D4464" s="18">
        <v>0</v>
      </c>
      <c r="E4464" s="18">
        <v>0</v>
      </c>
      <c r="F4464" s="18">
        <v>0</v>
      </c>
      <c r="G4464" s="18">
        <v>0</v>
      </c>
      <c r="H4464" s="18">
        <v>0</v>
      </c>
    </row>
    <row r="4465" spans="2:8">
      <c r="B4465" s="14" t="s">
        <v>10408</v>
      </c>
      <c r="C4465" s="245" t="s">
        <v>4746</v>
      </c>
      <c r="D4465" s="15">
        <v>0</v>
      </c>
      <c r="E4465" s="15">
        <v>0</v>
      </c>
      <c r="F4465" s="15">
        <v>1</v>
      </c>
      <c r="G4465" s="15">
        <v>0</v>
      </c>
      <c r="H4465" s="15">
        <v>0</v>
      </c>
    </row>
    <row r="4466" spans="2:8">
      <c r="B4466" s="17" t="s">
        <v>10409</v>
      </c>
      <c r="C4466" s="246" t="s">
        <v>4747</v>
      </c>
      <c r="D4466" s="18">
        <v>0</v>
      </c>
      <c r="E4466" s="18">
        <v>0</v>
      </c>
      <c r="F4466" s="18">
        <v>0</v>
      </c>
      <c r="G4466" s="18">
        <v>0</v>
      </c>
      <c r="H4466" s="18">
        <v>0</v>
      </c>
    </row>
    <row r="4467" spans="2:8">
      <c r="B4467" s="14" t="s">
        <v>10410</v>
      </c>
      <c r="C4467" s="245" t="s">
        <v>4748</v>
      </c>
      <c r="D4467" s="15">
        <v>0</v>
      </c>
      <c r="E4467" s="15">
        <v>0</v>
      </c>
      <c r="F4467" s="15">
        <v>0</v>
      </c>
      <c r="G4467" s="15">
        <v>0</v>
      </c>
      <c r="H4467" s="15">
        <v>0</v>
      </c>
    </row>
    <row r="4468" spans="2:8">
      <c r="B4468" s="17" t="s">
        <v>10411</v>
      </c>
      <c r="C4468" s="246" t="s">
        <v>4749</v>
      </c>
      <c r="D4468" s="18">
        <v>0</v>
      </c>
      <c r="E4468" s="18">
        <v>3</v>
      </c>
      <c r="F4468" s="18">
        <v>0</v>
      </c>
      <c r="G4468" s="18">
        <v>0</v>
      </c>
      <c r="H4468" s="18">
        <v>0</v>
      </c>
    </row>
    <row r="4469" spans="2:8">
      <c r="B4469" s="14" t="s">
        <v>10412</v>
      </c>
      <c r="C4469" s="245" t="s">
        <v>1523</v>
      </c>
      <c r="D4469" s="15">
        <v>0</v>
      </c>
      <c r="E4469" s="15">
        <v>0</v>
      </c>
      <c r="F4469" s="15">
        <v>0</v>
      </c>
      <c r="G4469" s="15">
        <v>0</v>
      </c>
      <c r="H4469" s="15">
        <v>0</v>
      </c>
    </row>
    <row r="4470" spans="2:8">
      <c r="B4470" s="17" t="s">
        <v>10413</v>
      </c>
      <c r="C4470" s="246" t="s">
        <v>4750</v>
      </c>
      <c r="D4470" s="18">
        <v>0</v>
      </c>
      <c r="E4470" s="18">
        <v>0</v>
      </c>
      <c r="F4470" s="18">
        <v>2</v>
      </c>
      <c r="G4470" s="18">
        <v>0</v>
      </c>
      <c r="H4470" s="18">
        <v>0</v>
      </c>
    </row>
    <row r="4471" spans="2:8">
      <c r="B4471" s="14" t="s">
        <v>10414</v>
      </c>
      <c r="C4471" s="245" t="s">
        <v>4751</v>
      </c>
      <c r="D4471" s="15">
        <v>0</v>
      </c>
      <c r="E4471" s="15">
        <v>0</v>
      </c>
      <c r="F4471" s="15">
        <v>0</v>
      </c>
      <c r="G4471" s="15">
        <v>2</v>
      </c>
      <c r="H4471" s="15">
        <v>0</v>
      </c>
    </row>
    <row r="4472" spans="2:8">
      <c r="B4472" s="17" t="s">
        <v>10415</v>
      </c>
      <c r="C4472" s="246" t="s">
        <v>1193</v>
      </c>
      <c r="D4472" s="18">
        <v>0</v>
      </c>
      <c r="E4472" s="18">
        <v>3</v>
      </c>
      <c r="F4472" s="18">
        <v>1</v>
      </c>
      <c r="G4472" s="18">
        <v>0</v>
      </c>
      <c r="H4472" s="18">
        <v>0</v>
      </c>
    </row>
    <row r="4473" spans="2:8">
      <c r="B4473" s="14" t="s">
        <v>10416</v>
      </c>
      <c r="C4473" s="245" t="s">
        <v>4752</v>
      </c>
      <c r="D4473" s="15">
        <v>0</v>
      </c>
      <c r="E4473" s="15">
        <v>0</v>
      </c>
      <c r="F4473" s="15">
        <v>0</v>
      </c>
      <c r="G4473" s="15">
        <v>0</v>
      </c>
      <c r="H4473" s="15">
        <v>0</v>
      </c>
    </row>
    <row r="4474" spans="2:8">
      <c r="B4474" s="17" t="s">
        <v>10417</v>
      </c>
      <c r="C4474" s="246" t="s">
        <v>4753</v>
      </c>
      <c r="D4474" s="18">
        <v>0</v>
      </c>
      <c r="E4474" s="18">
        <v>0</v>
      </c>
      <c r="F4474" s="18">
        <v>0</v>
      </c>
      <c r="G4474" s="18">
        <v>0</v>
      </c>
      <c r="H4474" s="18">
        <v>0</v>
      </c>
    </row>
    <row r="4475" spans="2:8">
      <c r="B4475" s="14" t="s">
        <v>10418</v>
      </c>
      <c r="C4475" s="245" t="s">
        <v>4754</v>
      </c>
      <c r="D4475" s="15">
        <v>0</v>
      </c>
      <c r="E4475" s="15">
        <v>0</v>
      </c>
      <c r="F4475" s="15">
        <v>0</v>
      </c>
      <c r="G4475" s="15">
        <v>0</v>
      </c>
      <c r="H4475" s="15">
        <v>0</v>
      </c>
    </row>
    <row r="4476" spans="2:8">
      <c r="B4476" s="17" t="s">
        <v>10419</v>
      </c>
      <c r="C4476" s="246" t="s">
        <v>4755</v>
      </c>
      <c r="D4476" s="18">
        <v>0</v>
      </c>
      <c r="E4476" s="18">
        <v>0</v>
      </c>
      <c r="F4476" s="18">
        <v>0</v>
      </c>
      <c r="G4476" s="18">
        <v>2</v>
      </c>
      <c r="H4476" s="18">
        <v>0</v>
      </c>
    </row>
    <row r="4477" spans="2:8">
      <c r="B4477" s="14" t="s">
        <v>10420</v>
      </c>
      <c r="C4477" s="245" t="s">
        <v>1716</v>
      </c>
      <c r="D4477" s="15">
        <v>0</v>
      </c>
      <c r="E4477" s="15">
        <v>0</v>
      </c>
      <c r="F4477" s="15">
        <v>0</v>
      </c>
      <c r="G4477" s="15">
        <v>0</v>
      </c>
      <c r="H4477" s="15">
        <v>0</v>
      </c>
    </row>
    <row r="4478" spans="2:8">
      <c r="B4478" s="17" t="s">
        <v>10421</v>
      </c>
      <c r="C4478" s="246" t="s">
        <v>1523</v>
      </c>
      <c r="D4478" s="18">
        <v>0</v>
      </c>
      <c r="E4478" s="18">
        <v>0</v>
      </c>
      <c r="F4478" s="18">
        <v>0</v>
      </c>
      <c r="G4478" s="18">
        <v>0</v>
      </c>
      <c r="H4478" s="18">
        <v>0</v>
      </c>
    </row>
    <row r="4479" spans="2:8">
      <c r="B4479" s="14" t="s">
        <v>10422</v>
      </c>
      <c r="C4479" s="245" t="s">
        <v>1523</v>
      </c>
      <c r="D4479" s="15">
        <v>0</v>
      </c>
      <c r="E4479" s="15">
        <v>0</v>
      </c>
      <c r="F4479" s="15">
        <v>0</v>
      </c>
      <c r="G4479" s="15">
        <v>0</v>
      </c>
      <c r="H4479" s="15">
        <v>0</v>
      </c>
    </row>
    <row r="4480" spans="2:8">
      <c r="B4480" s="17" t="s">
        <v>10423</v>
      </c>
      <c r="C4480" s="246" t="s">
        <v>4756</v>
      </c>
      <c r="D4480" s="18">
        <v>0</v>
      </c>
      <c r="E4480" s="18">
        <v>0</v>
      </c>
      <c r="F4480" s="18">
        <v>0</v>
      </c>
      <c r="G4480" s="18">
        <v>0</v>
      </c>
      <c r="H4480" s="18">
        <v>0</v>
      </c>
    </row>
    <row r="4481" spans="2:8">
      <c r="B4481" s="14" t="s">
        <v>10424</v>
      </c>
      <c r="C4481" s="245" t="s">
        <v>4757</v>
      </c>
      <c r="D4481" s="15">
        <v>0</v>
      </c>
      <c r="E4481" s="15">
        <v>0</v>
      </c>
      <c r="F4481" s="15">
        <v>0</v>
      </c>
      <c r="G4481" s="15">
        <v>0</v>
      </c>
      <c r="H4481" s="15">
        <v>0</v>
      </c>
    </row>
    <row r="4482" spans="2:8">
      <c r="B4482" s="17" t="s">
        <v>10425</v>
      </c>
      <c r="C4482" s="246" t="s">
        <v>4758</v>
      </c>
      <c r="D4482" s="18">
        <v>0</v>
      </c>
      <c r="E4482" s="18">
        <v>0</v>
      </c>
      <c r="F4482" s="18">
        <v>0</v>
      </c>
      <c r="G4482" s="18">
        <v>0</v>
      </c>
      <c r="H4482" s="18">
        <v>0</v>
      </c>
    </row>
    <row r="4483" spans="2:8">
      <c r="B4483" s="14" t="s">
        <v>10426</v>
      </c>
      <c r="C4483" s="245" t="s">
        <v>4759</v>
      </c>
      <c r="D4483" s="15">
        <v>0</v>
      </c>
      <c r="E4483" s="15">
        <v>0</v>
      </c>
      <c r="F4483" s="15">
        <v>0</v>
      </c>
      <c r="G4483" s="15">
        <v>0</v>
      </c>
      <c r="H4483" s="15">
        <v>0</v>
      </c>
    </row>
    <row r="4484" spans="2:8">
      <c r="B4484" s="17" t="s">
        <v>10427</v>
      </c>
      <c r="C4484" s="246" t="s">
        <v>4760</v>
      </c>
      <c r="D4484" s="18">
        <v>0</v>
      </c>
      <c r="E4484" s="18">
        <v>0</v>
      </c>
      <c r="F4484" s="18">
        <v>0</v>
      </c>
      <c r="G4484" s="18">
        <v>0</v>
      </c>
      <c r="H4484" s="18">
        <v>0</v>
      </c>
    </row>
    <row r="4485" spans="2:8">
      <c r="B4485" s="14" t="s">
        <v>10428</v>
      </c>
      <c r="C4485" s="245" t="s">
        <v>4761</v>
      </c>
      <c r="D4485" s="15">
        <v>2</v>
      </c>
      <c r="E4485" s="15">
        <v>0</v>
      </c>
      <c r="F4485" s="15">
        <v>0</v>
      </c>
      <c r="G4485" s="15">
        <v>0</v>
      </c>
      <c r="H4485" s="15">
        <v>0</v>
      </c>
    </row>
    <row r="4486" spans="2:8">
      <c r="B4486" s="17" t="s">
        <v>10429</v>
      </c>
      <c r="C4486" s="246" t="s">
        <v>4762</v>
      </c>
      <c r="D4486" s="18">
        <v>0</v>
      </c>
      <c r="E4486" s="18">
        <v>0</v>
      </c>
      <c r="F4486" s="18">
        <v>0</v>
      </c>
      <c r="G4486" s="18">
        <v>0</v>
      </c>
      <c r="H4486" s="18">
        <v>0</v>
      </c>
    </row>
    <row r="4487" spans="2:8">
      <c r="B4487" s="14" t="s">
        <v>10430</v>
      </c>
      <c r="C4487" s="245" t="s">
        <v>4763</v>
      </c>
      <c r="D4487" s="15">
        <v>0</v>
      </c>
      <c r="E4487" s="15">
        <v>0</v>
      </c>
      <c r="F4487" s="15">
        <v>0</v>
      </c>
      <c r="G4487" s="15">
        <v>0</v>
      </c>
      <c r="H4487" s="15">
        <v>0</v>
      </c>
    </row>
    <row r="4488" spans="2:8">
      <c r="B4488" s="17" t="s">
        <v>10431</v>
      </c>
      <c r="C4488" s="246" t="s">
        <v>4764</v>
      </c>
      <c r="D4488" s="18">
        <v>4</v>
      </c>
      <c r="E4488" s="18">
        <v>0</v>
      </c>
      <c r="F4488" s="18">
        <v>0</v>
      </c>
      <c r="G4488" s="18">
        <v>0</v>
      </c>
      <c r="H4488" s="18">
        <v>0</v>
      </c>
    </row>
    <row r="4489" spans="2:8">
      <c r="B4489" s="14" t="s">
        <v>10432</v>
      </c>
      <c r="C4489" s="245" t="s">
        <v>3534</v>
      </c>
      <c r="D4489" s="15">
        <v>0</v>
      </c>
      <c r="E4489" s="15">
        <v>0</v>
      </c>
      <c r="F4489" s="15">
        <v>0</v>
      </c>
      <c r="G4489" s="15">
        <v>0</v>
      </c>
      <c r="H4489" s="15">
        <v>0</v>
      </c>
    </row>
    <row r="4490" spans="2:8">
      <c r="B4490" s="17" t="s">
        <v>10433</v>
      </c>
      <c r="C4490" s="246" t="s">
        <v>4765</v>
      </c>
      <c r="D4490" s="18">
        <v>0</v>
      </c>
      <c r="E4490" s="18">
        <v>0</v>
      </c>
      <c r="F4490" s="18">
        <v>0</v>
      </c>
      <c r="G4490" s="18">
        <v>0</v>
      </c>
      <c r="H4490" s="18">
        <v>0</v>
      </c>
    </row>
    <row r="4491" spans="2:8">
      <c r="B4491" s="14" t="s">
        <v>10434</v>
      </c>
      <c r="C4491" s="245" t="s">
        <v>1923</v>
      </c>
      <c r="D4491" s="15">
        <v>0</v>
      </c>
      <c r="E4491" s="15">
        <v>0</v>
      </c>
      <c r="F4491" s="15">
        <v>0</v>
      </c>
      <c r="G4491" s="15">
        <v>0</v>
      </c>
      <c r="H4491" s="15">
        <v>0</v>
      </c>
    </row>
    <row r="4492" spans="2:8">
      <c r="B4492" s="17" t="s">
        <v>10435</v>
      </c>
      <c r="C4492" s="246" t="s">
        <v>3032</v>
      </c>
      <c r="D4492" s="18">
        <v>0</v>
      </c>
      <c r="E4492" s="18">
        <v>0</v>
      </c>
      <c r="F4492" s="18">
        <v>0</v>
      </c>
      <c r="G4492" s="18">
        <v>0</v>
      </c>
      <c r="H4492" s="18">
        <v>0</v>
      </c>
    </row>
    <row r="4493" spans="2:8">
      <c r="B4493" s="14" t="s">
        <v>10436</v>
      </c>
      <c r="C4493" s="245" t="s">
        <v>4766</v>
      </c>
      <c r="D4493" s="15">
        <v>0</v>
      </c>
      <c r="E4493" s="15">
        <v>0</v>
      </c>
      <c r="F4493" s="15">
        <v>0</v>
      </c>
      <c r="G4493" s="15">
        <v>0</v>
      </c>
      <c r="H4493" s="15">
        <v>0</v>
      </c>
    </row>
    <row r="4494" spans="2:8">
      <c r="B4494" s="17" t="s">
        <v>10437</v>
      </c>
      <c r="C4494" s="246" t="s">
        <v>2553</v>
      </c>
      <c r="D4494" s="18">
        <v>0</v>
      </c>
      <c r="E4494" s="18">
        <v>0</v>
      </c>
      <c r="F4494" s="18">
        <v>0</v>
      </c>
      <c r="G4494" s="18">
        <v>0</v>
      </c>
      <c r="H4494" s="18">
        <v>0</v>
      </c>
    </row>
    <row r="4495" spans="2:8">
      <c r="B4495" s="14" t="s">
        <v>10438</v>
      </c>
      <c r="C4495" s="245" t="s">
        <v>4767</v>
      </c>
      <c r="D4495" s="15">
        <v>0</v>
      </c>
      <c r="E4495" s="15">
        <v>0</v>
      </c>
      <c r="F4495" s="15">
        <v>0</v>
      </c>
      <c r="G4495" s="15">
        <v>0</v>
      </c>
      <c r="H4495" s="15">
        <v>0</v>
      </c>
    </row>
    <row r="4496" spans="2:8">
      <c r="B4496" s="17" t="s">
        <v>10439</v>
      </c>
      <c r="C4496" s="246" t="s">
        <v>3538</v>
      </c>
      <c r="D4496" s="18">
        <v>0</v>
      </c>
      <c r="E4496" s="18">
        <v>0</v>
      </c>
      <c r="F4496" s="18">
        <v>0</v>
      </c>
      <c r="G4496" s="18">
        <v>0</v>
      </c>
      <c r="H4496" s="18">
        <v>0</v>
      </c>
    </row>
    <row r="4497" spans="2:8">
      <c r="B4497" s="14" t="s">
        <v>10440</v>
      </c>
      <c r="C4497" s="245" t="s">
        <v>4768</v>
      </c>
      <c r="D4497" s="15">
        <v>0</v>
      </c>
      <c r="E4497" s="15">
        <v>0</v>
      </c>
      <c r="F4497" s="15">
        <v>1</v>
      </c>
      <c r="G4497" s="15">
        <v>0</v>
      </c>
      <c r="H4497" s="15">
        <v>0</v>
      </c>
    </row>
    <row r="4498" spans="2:8">
      <c r="B4498" s="17" t="s">
        <v>10441</v>
      </c>
      <c r="C4498" s="246" t="s">
        <v>4769</v>
      </c>
      <c r="D4498" s="18">
        <v>0</v>
      </c>
      <c r="E4498" s="18">
        <v>0</v>
      </c>
      <c r="F4498" s="18">
        <v>0</v>
      </c>
      <c r="G4498" s="18">
        <v>1</v>
      </c>
      <c r="H4498" s="18">
        <v>0</v>
      </c>
    </row>
    <row r="4499" spans="2:8">
      <c r="B4499" s="14" t="s">
        <v>10442</v>
      </c>
      <c r="C4499" s="245" t="s">
        <v>4770</v>
      </c>
      <c r="D4499" s="15">
        <v>0</v>
      </c>
      <c r="E4499" s="15">
        <v>0</v>
      </c>
      <c r="F4499" s="15">
        <v>0</v>
      </c>
      <c r="G4499" s="15">
        <v>0</v>
      </c>
      <c r="H4499" s="15">
        <v>0</v>
      </c>
    </row>
    <row r="4500" spans="2:8">
      <c r="B4500" s="17" t="s">
        <v>10443</v>
      </c>
      <c r="C4500" s="246" t="s">
        <v>4771</v>
      </c>
      <c r="D4500" s="18">
        <v>0</v>
      </c>
      <c r="E4500" s="18">
        <v>0</v>
      </c>
      <c r="F4500" s="18">
        <v>0</v>
      </c>
      <c r="G4500" s="18">
        <v>0</v>
      </c>
      <c r="H4500" s="18">
        <v>0</v>
      </c>
    </row>
    <row r="4501" spans="2:8">
      <c r="B4501" s="14" t="s">
        <v>10444</v>
      </c>
      <c r="C4501" s="245" t="s">
        <v>4772</v>
      </c>
      <c r="D4501" s="15">
        <v>5</v>
      </c>
      <c r="E4501" s="15">
        <v>3</v>
      </c>
      <c r="F4501" s="15">
        <v>0</v>
      </c>
      <c r="G4501" s="15">
        <v>5</v>
      </c>
      <c r="H4501" s="15">
        <v>0</v>
      </c>
    </row>
    <row r="4502" spans="2:8">
      <c r="B4502" s="17" t="s">
        <v>10445</v>
      </c>
      <c r="C4502" s="246" t="s">
        <v>4773</v>
      </c>
      <c r="D4502" s="18">
        <v>0</v>
      </c>
      <c r="E4502" s="18">
        <v>0</v>
      </c>
      <c r="F4502" s="18">
        <v>0</v>
      </c>
      <c r="G4502" s="18">
        <v>0</v>
      </c>
      <c r="H4502" s="18">
        <v>0</v>
      </c>
    </row>
    <row r="4503" spans="2:8">
      <c r="B4503" s="14" t="s">
        <v>10446</v>
      </c>
      <c r="C4503" s="245" t="s">
        <v>4774</v>
      </c>
      <c r="D4503" s="15">
        <v>0</v>
      </c>
      <c r="E4503" s="15">
        <v>0</v>
      </c>
      <c r="F4503" s="15">
        <v>0</v>
      </c>
      <c r="G4503" s="15">
        <v>0</v>
      </c>
      <c r="H4503" s="15">
        <v>0</v>
      </c>
    </row>
    <row r="4504" spans="2:8">
      <c r="B4504" s="17" t="s">
        <v>10447</v>
      </c>
      <c r="C4504" s="246" t="s">
        <v>4775</v>
      </c>
      <c r="D4504" s="18">
        <v>0</v>
      </c>
      <c r="E4504" s="18">
        <v>0</v>
      </c>
      <c r="F4504" s="18">
        <v>4</v>
      </c>
      <c r="G4504" s="18">
        <v>69</v>
      </c>
      <c r="H4504" s="18">
        <v>0</v>
      </c>
    </row>
    <row r="4505" spans="2:8">
      <c r="B4505" s="14" t="s">
        <v>10448</v>
      </c>
      <c r="C4505" s="245" t="s">
        <v>4776</v>
      </c>
      <c r="D4505" s="15">
        <v>0</v>
      </c>
      <c r="E4505" s="15">
        <v>0</v>
      </c>
      <c r="F4505" s="15">
        <v>0</v>
      </c>
      <c r="G4505" s="15">
        <v>0</v>
      </c>
      <c r="H4505" s="15">
        <v>0</v>
      </c>
    </row>
    <row r="4506" spans="2:8">
      <c r="B4506" s="17" t="s">
        <v>10449</v>
      </c>
      <c r="C4506" s="246" t="s">
        <v>4777</v>
      </c>
      <c r="D4506" s="18">
        <v>0</v>
      </c>
      <c r="E4506" s="18">
        <v>0</v>
      </c>
      <c r="F4506" s="18">
        <v>0</v>
      </c>
      <c r="G4506" s="18">
        <v>0</v>
      </c>
      <c r="H4506" s="18">
        <v>0</v>
      </c>
    </row>
    <row r="4507" spans="2:8">
      <c r="B4507" s="14" t="s">
        <v>10450</v>
      </c>
      <c r="C4507" s="245" t="s">
        <v>2956</v>
      </c>
      <c r="D4507" s="15">
        <v>0</v>
      </c>
      <c r="E4507" s="15">
        <v>0</v>
      </c>
      <c r="F4507" s="15">
        <v>0</v>
      </c>
      <c r="G4507" s="15">
        <v>0</v>
      </c>
      <c r="H4507" s="15">
        <v>0</v>
      </c>
    </row>
    <row r="4508" spans="2:8">
      <c r="B4508" s="17" t="s">
        <v>10451</v>
      </c>
      <c r="C4508" s="246" t="s">
        <v>2166</v>
      </c>
      <c r="D4508" s="18">
        <v>0</v>
      </c>
      <c r="E4508" s="18">
        <v>0</v>
      </c>
      <c r="F4508" s="18">
        <v>0</v>
      </c>
      <c r="G4508" s="18">
        <v>0</v>
      </c>
      <c r="H4508" s="18">
        <v>0</v>
      </c>
    </row>
    <row r="4509" spans="2:8">
      <c r="B4509" s="14" t="s">
        <v>10452</v>
      </c>
      <c r="C4509" s="245" t="s">
        <v>4778</v>
      </c>
      <c r="D4509" s="15">
        <v>0</v>
      </c>
      <c r="E4509" s="15">
        <v>0</v>
      </c>
      <c r="F4509" s="15">
        <v>0</v>
      </c>
      <c r="G4509" s="15">
        <v>0</v>
      </c>
      <c r="H4509" s="15">
        <v>0</v>
      </c>
    </row>
    <row r="4510" spans="2:8">
      <c r="B4510" s="17" t="s">
        <v>10453</v>
      </c>
      <c r="C4510" s="246" t="s">
        <v>4779</v>
      </c>
      <c r="D4510" s="18">
        <v>16</v>
      </c>
      <c r="E4510" s="18">
        <v>8</v>
      </c>
      <c r="F4510" s="18">
        <v>8</v>
      </c>
      <c r="G4510" s="18">
        <v>16</v>
      </c>
      <c r="H4510" s="18">
        <v>0</v>
      </c>
    </row>
    <row r="4511" spans="2:8">
      <c r="B4511" s="14" t="s">
        <v>10454</v>
      </c>
      <c r="C4511" s="245" t="s">
        <v>4780</v>
      </c>
      <c r="D4511" s="15">
        <v>0</v>
      </c>
      <c r="E4511" s="15">
        <v>0</v>
      </c>
      <c r="F4511" s="15">
        <v>0</v>
      </c>
      <c r="G4511" s="15">
        <v>0</v>
      </c>
      <c r="H4511" s="15">
        <v>0</v>
      </c>
    </row>
    <row r="4512" spans="2:8">
      <c r="B4512" s="17" t="s">
        <v>10455</v>
      </c>
      <c r="C4512" s="246" t="s">
        <v>4781</v>
      </c>
      <c r="D4512" s="18">
        <v>0</v>
      </c>
      <c r="E4512" s="18">
        <v>0</v>
      </c>
      <c r="F4512" s="18">
        <v>0</v>
      </c>
      <c r="G4512" s="18">
        <v>0</v>
      </c>
      <c r="H4512" s="18">
        <v>0</v>
      </c>
    </row>
    <row r="4513" spans="2:8">
      <c r="B4513" s="14" t="s">
        <v>10456</v>
      </c>
      <c r="C4513" s="245" t="s">
        <v>4782</v>
      </c>
      <c r="D4513" s="15">
        <v>0</v>
      </c>
      <c r="E4513" s="15">
        <v>0</v>
      </c>
      <c r="F4513" s="15">
        <v>0</v>
      </c>
      <c r="G4513" s="15">
        <v>0</v>
      </c>
      <c r="H4513" s="15">
        <v>0</v>
      </c>
    </row>
    <row r="4514" spans="2:8">
      <c r="B4514" s="17" t="s">
        <v>10457</v>
      </c>
      <c r="C4514" s="246" t="s">
        <v>4783</v>
      </c>
      <c r="D4514" s="18">
        <v>0</v>
      </c>
      <c r="E4514" s="18">
        <v>0</v>
      </c>
      <c r="F4514" s="18">
        <v>0</v>
      </c>
      <c r="G4514" s="18">
        <v>0</v>
      </c>
      <c r="H4514" s="18">
        <v>0</v>
      </c>
    </row>
    <row r="4515" spans="2:8">
      <c r="B4515" s="14" t="s">
        <v>10458</v>
      </c>
      <c r="C4515" s="245" t="s">
        <v>1002</v>
      </c>
      <c r="D4515" s="15">
        <v>36</v>
      </c>
      <c r="E4515" s="15">
        <v>161</v>
      </c>
      <c r="F4515" s="15">
        <v>97</v>
      </c>
      <c r="G4515" s="15">
        <v>28</v>
      </c>
      <c r="H4515" s="15">
        <v>0</v>
      </c>
    </row>
    <row r="4516" spans="2:8">
      <c r="B4516" s="17" t="s">
        <v>10459</v>
      </c>
      <c r="C4516" s="246" t="s">
        <v>4784</v>
      </c>
      <c r="D4516" s="18">
        <v>0</v>
      </c>
      <c r="E4516" s="18">
        <v>0</v>
      </c>
      <c r="F4516" s="18">
        <v>0</v>
      </c>
      <c r="G4516" s="18">
        <v>0</v>
      </c>
      <c r="H4516" s="18">
        <v>0</v>
      </c>
    </row>
    <row r="4517" spans="2:8">
      <c r="B4517" s="14" t="s">
        <v>10460</v>
      </c>
      <c r="C4517" s="245" t="s">
        <v>4785</v>
      </c>
      <c r="D4517" s="15">
        <v>0</v>
      </c>
      <c r="E4517" s="15">
        <v>0</v>
      </c>
      <c r="F4517" s="15">
        <v>0</v>
      </c>
      <c r="G4517" s="15">
        <v>0</v>
      </c>
      <c r="H4517" s="15">
        <v>0</v>
      </c>
    </row>
    <row r="4518" spans="2:8">
      <c r="B4518" s="17" t="s">
        <v>10461</v>
      </c>
      <c r="C4518" s="246" t="s">
        <v>4786</v>
      </c>
      <c r="D4518" s="18">
        <v>0</v>
      </c>
      <c r="E4518" s="18">
        <v>0</v>
      </c>
      <c r="F4518" s="18">
        <v>0</v>
      </c>
      <c r="G4518" s="18">
        <v>0</v>
      </c>
      <c r="H4518" s="18">
        <v>0</v>
      </c>
    </row>
    <row r="4519" spans="2:8">
      <c r="B4519" s="14" t="s">
        <v>10462</v>
      </c>
      <c r="C4519" s="245" t="s">
        <v>4787</v>
      </c>
      <c r="D4519" s="15">
        <v>0</v>
      </c>
      <c r="E4519" s="15">
        <v>0</v>
      </c>
      <c r="F4519" s="15">
        <v>0</v>
      </c>
      <c r="G4519" s="15">
        <v>0</v>
      </c>
      <c r="H4519" s="15">
        <v>0</v>
      </c>
    </row>
    <row r="4520" spans="2:8">
      <c r="B4520" s="17" t="s">
        <v>10463</v>
      </c>
      <c r="C4520" s="246" t="s">
        <v>4788</v>
      </c>
      <c r="D4520" s="18">
        <v>0</v>
      </c>
      <c r="E4520" s="18">
        <v>0</v>
      </c>
      <c r="F4520" s="18">
        <v>0</v>
      </c>
      <c r="G4520" s="18">
        <v>0</v>
      </c>
      <c r="H4520" s="18">
        <v>0</v>
      </c>
    </row>
    <row r="4521" spans="2:8">
      <c r="B4521" s="14" t="s">
        <v>10464</v>
      </c>
      <c r="C4521" s="245" t="s">
        <v>4789</v>
      </c>
      <c r="D4521" s="15">
        <v>0</v>
      </c>
      <c r="E4521" s="15">
        <v>70</v>
      </c>
      <c r="F4521" s="15">
        <v>0</v>
      </c>
      <c r="G4521" s="15">
        <v>0</v>
      </c>
      <c r="H4521" s="15">
        <v>0</v>
      </c>
    </row>
    <row r="4522" spans="2:8">
      <c r="B4522" s="17" t="s">
        <v>10465</v>
      </c>
      <c r="C4522" s="246" t="s">
        <v>4790</v>
      </c>
      <c r="D4522" s="18">
        <v>0</v>
      </c>
      <c r="E4522" s="18">
        <v>0</v>
      </c>
      <c r="F4522" s="18">
        <v>0</v>
      </c>
      <c r="G4522" s="18">
        <v>0</v>
      </c>
      <c r="H4522" s="18">
        <v>0</v>
      </c>
    </row>
    <row r="4523" spans="2:8">
      <c r="B4523" s="14" t="s">
        <v>10466</v>
      </c>
      <c r="C4523" s="245" t="s">
        <v>4791</v>
      </c>
      <c r="D4523" s="15">
        <v>0</v>
      </c>
      <c r="E4523" s="15">
        <v>0</v>
      </c>
      <c r="F4523" s="15">
        <v>0</v>
      </c>
      <c r="G4523" s="15">
        <v>0</v>
      </c>
      <c r="H4523" s="15">
        <v>0</v>
      </c>
    </row>
    <row r="4524" spans="2:8">
      <c r="B4524" s="17" t="s">
        <v>10467</v>
      </c>
      <c r="C4524" s="246" t="s">
        <v>4792</v>
      </c>
      <c r="D4524" s="18">
        <v>0</v>
      </c>
      <c r="E4524" s="18">
        <v>0</v>
      </c>
      <c r="F4524" s="18">
        <v>0</v>
      </c>
      <c r="G4524" s="18">
        <v>0</v>
      </c>
      <c r="H4524" s="18">
        <v>0</v>
      </c>
    </row>
    <row r="4525" spans="2:8">
      <c r="B4525" s="14" t="s">
        <v>10468</v>
      </c>
      <c r="C4525" s="245" t="s">
        <v>4793</v>
      </c>
      <c r="D4525" s="15">
        <v>0</v>
      </c>
      <c r="E4525" s="15">
        <v>0</v>
      </c>
      <c r="F4525" s="15">
        <v>0</v>
      </c>
      <c r="G4525" s="15">
        <v>0</v>
      </c>
      <c r="H4525" s="15">
        <v>0</v>
      </c>
    </row>
    <row r="4526" spans="2:8">
      <c r="B4526" s="17" t="s">
        <v>10469</v>
      </c>
      <c r="C4526" s="246" t="s">
        <v>4794</v>
      </c>
      <c r="D4526" s="18">
        <v>0</v>
      </c>
      <c r="E4526" s="18">
        <v>0</v>
      </c>
      <c r="F4526" s="18">
        <v>0</v>
      </c>
      <c r="G4526" s="18">
        <v>0</v>
      </c>
      <c r="H4526" s="18">
        <v>0</v>
      </c>
    </row>
    <row r="4527" spans="2:8">
      <c r="B4527" s="14" t="s">
        <v>10470</v>
      </c>
      <c r="C4527" s="245" t="s">
        <v>4795</v>
      </c>
      <c r="D4527" s="15">
        <v>0</v>
      </c>
      <c r="E4527" s="15">
        <v>0</v>
      </c>
      <c r="F4527" s="15">
        <v>0</v>
      </c>
      <c r="G4527" s="15">
        <v>0</v>
      </c>
      <c r="H4527" s="15">
        <v>0</v>
      </c>
    </row>
    <row r="4528" spans="2:8">
      <c r="B4528" s="17" t="s">
        <v>10471</v>
      </c>
      <c r="C4528" s="246" t="s">
        <v>3953</v>
      </c>
      <c r="D4528" s="18">
        <v>0</v>
      </c>
      <c r="E4528" s="18">
        <v>0</v>
      </c>
      <c r="F4528" s="18">
        <v>24</v>
      </c>
      <c r="G4528" s="18">
        <v>0</v>
      </c>
      <c r="H4528" s="18">
        <v>0</v>
      </c>
    </row>
    <row r="4529" spans="2:8">
      <c r="B4529" s="14" t="s">
        <v>10472</v>
      </c>
      <c r="C4529" s="245" t="s">
        <v>4796</v>
      </c>
      <c r="D4529" s="15">
        <v>0</v>
      </c>
      <c r="E4529" s="15">
        <v>0</v>
      </c>
      <c r="F4529" s="15">
        <v>0</v>
      </c>
      <c r="G4529" s="15">
        <v>0</v>
      </c>
      <c r="H4529" s="15">
        <v>0</v>
      </c>
    </row>
    <row r="4530" spans="2:8">
      <c r="B4530" s="17" t="s">
        <v>10473</v>
      </c>
      <c r="C4530" s="246" t="s">
        <v>4797</v>
      </c>
      <c r="D4530" s="18">
        <v>0</v>
      </c>
      <c r="E4530" s="18">
        <v>0</v>
      </c>
      <c r="F4530" s="18">
        <v>0</v>
      </c>
      <c r="G4530" s="18">
        <v>0</v>
      </c>
      <c r="H4530" s="18">
        <v>0</v>
      </c>
    </row>
    <row r="4531" spans="2:8">
      <c r="B4531" s="14" t="s">
        <v>10474</v>
      </c>
      <c r="C4531" s="245" t="s">
        <v>4798</v>
      </c>
      <c r="D4531" s="15">
        <v>0</v>
      </c>
      <c r="E4531" s="15">
        <v>0</v>
      </c>
      <c r="F4531" s="15">
        <v>0</v>
      </c>
      <c r="G4531" s="15">
        <v>23</v>
      </c>
      <c r="H4531" s="15">
        <v>0</v>
      </c>
    </row>
    <row r="4532" spans="2:8">
      <c r="B4532" s="17" t="s">
        <v>10475</v>
      </c>
      <c r="C4532" s="246" t="s">
        <v>4799</v>
      </c>
      <c r="D4532" s="18">
        <v>0</v>
      </c>
      <c r="E4532" s="18">
        <v>0</v>
      </c>
      <c r="F4532" s="18">
        <v>0</v>
      </c>
      <c r="G4532" s="18">
        <v>0</v>
      </c>
      <c r="H4532" s="18">
        <v>0</v>
      </c>
    </row>
    <row r="4533" spans="2:8">
      <c r="B4533" s="14" t="s">
        <v>10476</v>
      </c>
      <c r="C4533" s="245" t="s">
        <v>3924</v>
      </c>
      <c r="D4533" s="15">
        <v>0</v>
      </c>
      <c r="E4533" s="15">
        <v>0</v>
      </c>
      <c r="F4533" s="15">
        <v>0</v>
      </c>
      <c r="G4533" s="15">
        <v>0</v>
      </c>
      <c r="H4533" s="15">
        <v>0</v>
      </c>
    </row>
    <row r="4534" spans="2:8">
      <c r="B4534" s="17" t="s">
        <v>10477</v>
      </c>
      <c r="C4534" s="246" t="s">
        <v>4800</v>
      </c>
      <c r="D4534" s="18">
        <v>0</v>
      </c>
      <c r="E4534" s="18">
        <v>0</v>
      </c>
      <c r="F4534" s="18">
        <v>0</v>
      </c>
      <c r="G4534" s="18">
        <v>0</v>
      </c>
      <c r="H4534" s="18">
        <v>0</v>
      </c>
    </row>
    <row r="4535" spans="2:8">
      <c r="B4535" s="14" t="s">
        <v>10478</v>
      </c>
      <c r="C4535" s="245" t="s">
        <v>4801</v>
      </c>
      <c r="D4535" s="15">
        <v>0</v>
      </c>
      <c r="E4535" s="15">
        <v>0</v>
      </c>
      <c r="F4535" s="15">
        <v>0</v>
      </c>
      <c r="G4535" s="15">
        <v>0</v>
      </c>
      <c r="H4535" s="15">
        <v>0</v>
      </c>
    </row>
    <row r="4536" spans="2:8">
      <c r="B4536" s="17" t="s">
        <v>10479</v>
      </c>
      <c r="C4536" s="246" t="s">
        <v>4802</v>
      </c>
      <c r="D4536" s="18">
        <v>0</v>
      </c>
      <c r="E4536" s="18">
        <v>0</v>
      </c>
      <c r="F4536" s="18">
        <v>0</v>
      </c>
      <c r="G4536" s="18">
        <v>13</v>
      </c>
      <c r="H4536" s="18">
        <v>0</v>
      </c>
    </row>
    <row r="4537" spans="2:8">
      <c r="B4537" s="14" t="s">
        <v>10480</v>
      </c>
      <c r="C4537" s="245" t="s">
        <v>4803</v>
      </c>
      <c r="D4537" s="15">
        <v>0</v>
      </c>
      <c r="E4537" s="15">
        <v>0</v>
      </c>
      <c r="F4537" s="15">
        <v>0</v>
      </c>
      <c r="G4537" s="15">
        <v>0</v>
      </c>
      <c r="H4537" s="15">
        <v>0</v>
      </c>
    </row>
    <row r="4538" spans="2:8">
      <c r="B4538" s="17" t="s">
        <v>10481</v>
      </c>
      <c r="C4538" s="246" t="s">
        <v>4804</v>
      </c>
      <c r="D4538" s="18">
        <v>0</v>
      </c>
      <c r="E4538" s="18">
        <v>0</v>
      </c>
      <c r="F4538" s="18">
        <v>0</v>
      </c>
      <c r="G4538" s="18">
        <v>0</v>
      </c>
      <c r="H4538" s="18">
        <v>0</v>
      </c>
    </row>
    <row r="4539" spans="2:8">
      <c r="B4539" s="14" t="s">
        <v>10482</v>
      </c>
      <c r="C4539" s="245" t="s">
        <v>4805</v>
      </c>
      <c r="D4539" s="15">
        <v>0</v>
      </c>
      <c r="E4539" s="15">
        <v>0</v>
      </c>
      <c r="F4539" s="15">
        <v>0</v>
      </c>
      <c r="G4539" s="15">
        <v>0</v>
      </c>
      <c r="H4539" s="15">
        <v>0</v>
      </c>
    </row>
    <row r="4540" spans="2:8">
      <c r="B4540" s="17" t="s">
        <v>10483</v>
      </c>
      <c r="C4540" s="246" t="s">
        <v>4806</v>
      </c>
      <c r="D4540" s="18">
        <v>0</v>
      </c>
      <c r="E4540" s="18">
        <v>0</v>
      </c>
      <c r="F4540" s="18">
        <v>0</v>
      </c>
      <c r="G4540" s="18">
        <v>0</v>
      </c>
      <c r="H4540" s="18">
        <v>0</v>
      </c>
    </row>
    <row r="4541" spans="2:8">
      <c r="B4541" s="14" t="s">
        <v>10484</v>
      </c>
      <c r="C4541" s="245" t="s">
        <v>4807</v>
      </c>
      <c r="D4541" s="15">
        <v>0</v>
      </c>
      <c r="E4541" s="15">
        <v>0</v>
      </c>
      <c r="F4541" s="15">
        <v>0</v>
      </c>
      <c r="G4541" s="15">
        <v>0</v>
      </c>
      <c r="H4541" s="15">
        <v>0</v>
      </c>
    </row>
    <row r="4542" spans="2:8">
      <c r="B4542" s="17" t="s">
        <v>10485</v>
      </c>
      <c r="C4542" s="246" t="s">
        <v>4808</v>
      </c>
      <c r="D4542" s="18">
        <v>0</v>
      </c>
      <c r="E4542" s="18">
        <v>0</v>
      </c>
      <c r="F4542" s="18">
        <v>0</v>
      </c>
      <c r="G4542" s="18">
        <v>0</v>
      </c>
      <c r="H4542" s="18">
        <v>0</v>
      </c>
    </row>
    <row r="4543" spans="2:8">
      <c r="B4543" s="14" t="s">
        <v>10486</v>
      </c>
      <c r="C4543" s="245" t="s">
        <v>4809</v>
      </c>
      <c r="D4543" s="15">
        <v>0</v>
      </c>
      <c r="E4543" s="15">
        <v>0</v>
      </c>
      <c r="F4543" s="15">
        <v>0</v>
      </c>
      <c r="G4543" s="15">
        <v>0</v>
      </c>
      <c r="H4543" s="15">
        <v>0</v>
      </c>
    </row>
    <row r="4544" spans="2:8">
      <c r="B4544" s="17" t="s">
        <v>10487</v>
      </c>
      <c r="C4544" s="246" t="s">
        <v>4810</v>
      </c>
      <c r="D4544" s="18">
        <v>0</v>
      </c>
      <c r="E4544" s="18">
        <v>0</v>
      </c>
      <c r="F4544" s="18">
        <v>0</v>
      </c>
      <c r="G4544" s="18">
        <v>0</v>
      </c>
      <c r="H4544" s="18">
        <v>0</v>
      </c>
    </row>
    <row r="4545" spans="2:8">
      <c r="B4545" s="14" t="s">
        <v>10488</v>
      </c>
      <c r="C4545" s="245" t="s">
        <v>4811</v>
      </c>
      <c r="D4545" s="15">
        <v>0</v>
      </c>
      <c r="E4545" s="15">
        <v>0</v>
      </c>
      <c r="F4545" s="15">
        <v>0</v>
      </c>
      <c r="G4545" s="15">
        <v>0</v>
      </c>
      <c r="H4545" s="15">
        <v>0</v>
      </c>
    </row>
    <row r="4546" spans="2:8">
      <c r="B4546" s="17" t="s">
        <v>10489</v>
      </c>
      <c r="C4546" s="246" t="s">
        <v>4812</v>
      </c>
      <c r="D4546" s="18">
        <v>0</v>
      </c>
      <c r="E4546" s="18">
        <v>0</v>
      </c>
      <c r="F4546" s="18">
        <v>0</v>
      </c>
      <c r="G4546" s="18">
        <v>0</v>
      </c>
      <c r="H4546" s="18">
        <v>0</v>
      </c>
    </row>
    <row r="4547" spans="2:8">
      <c r="B4547" s="14" t="s">
        <v>10490</v>
      </c>
      <c r="C4547" s="245" t="s">
        <v>4813</v>
      </c>
      <c r="D4547" s="15">
        <v>0</v>
      </c>
      <c r="E4547" s="15">
        <v>0</v>
      </c>
      <c r="F4547" s="15">
        <v>0</v>
      </c>
      <c r="G4547" s="15">
        <v>0</v>
      </c>
      <c r="H4547" s="15">
        <v>0</v>
      </c>
    </row>
    <row r="4548" spans="2:8">
      <c r="B4548" s="17" t="s">
        <v>10491</v>
      </c>
      <c r="C4548" s="246" t="s">
        <v>4814</v>
      </c>
      <c r="D4548" s="18">
        <v>0</v>
      </c>
      <c r="E4548" s="18">
        <v>0</v>
      </c>
      <c r="F4548" s="18">
        <v>0</v>
      </c>
      <c r="G4548" s="18">
        <v>0</v>
      </c>
      <c r="H4548" s="18">
        <v>0</v>
      </c>
    </row>
    <row r="4549" spans="2:8">
      <c r="B4549" s="14" t="s">
        <v>10492</v>
      </c>
      <c r="C4549" s="245" t="s">
        <v>4815</v>
      </c>
      <c r="D4549" s="15">
        <v>0</v>
      </c>
      <c r="E4549" s="15">
        <v>0</v>
      </c>
      <c r="F4549" s="15">
        <v>0</v>
      </c>
      <c r="G4549" s="15">
        <v>0</v>
      </c>
      <c r="H4549" s="15">
        <v>0</v>
      </c>
    </row>
    <row r="4550" spans="2:8">
      <c r="B4550" s="17" t="s">
        <v>10493</v>
      </c>
      <c r="C4550" s="246" t="s">
        <v>4816</v>
      </c>
      <c r="D4550" s="18">
        <v>0</v>
      </c>
      <c r="E4550" s="18">
        <v>0</v>
      </c>
      <c r="F4550" s="18">
        <v>0</v>
      </c>
      <c r="G4550" s="18">
        <v>0</v>
      </c>
      <c r="H4550" s="18">
        <v>0</v>
      </c>
    </row>
    <row r="4551" spans="2:8">
      <c r="B4551" s="14" t="s">
        <v>10494</v>
      </c>
      <c r="C4551" s="245" t="s">
        <v>4817</v>
      </c>
      <c r="D4551" s="15">
        <v>0</v>
      </c>
      <c r="E4551" s="15">
        <v>0</v>
      </c>
      <c r="F4551" s="15">
        <v>0</v>
      </c>
      <c r="G4551" s="15">
        <v>0</v>
      </c>
      <c r="H4551" s="15">
        <v>0</v>
      </c>
    </row>
    <row r="4552" spans="2:8">
      <c r="B4552" s="17" t="s">
        <v>10495</v>
      </c>
      <c r="C4552" s="246" t="s">
        <v>4818</v>
      </c>
      <c r="D4552" s="18">
        <v>0</v>
      </c>
      <c r="E4552" s="18">
        <v>0</v>
      </c>
      <c r="F4552" s="18">
        <v>0</v>
      </c>
      <c r="G4552" s="18">
        <v>0</v>
      </c>
      <c r="H4552" s="18">
        <v>0</v>
      </c>
    </row>
    <row r="4553" spans="2:8">
      <c r="B4553" s="14" t="s">
        <v>10496</v>
      </c>
      <c r="C4553" s="245" t="s">
        <v>4819</v>
      </c>
      <c r="D4553" s="15">
        <v>0</v>
      </c>
      <c r="E4553" s="15">
        <v>0</v>
      </c>
      <c r="F4553" s="15">
        <v>6</v>
      </c>
      <c r="G4553" s="15">
        <v>0</v>
      </c>
      <c r="H4553" s="15">
        <v>0</v>
      </c>
    </row>
    <row r="4554" spans="2:8">
      <c r="B4554" s="17" t="s">
        <v>10497</v>
      </c>
      <c r="C4554" s="246" t="s">
        <v>4820</v>
      </c>
      <c r="D4554" s="18">
        <v>0</v>
      </c>
      <c r="E4554" s="18">
        <v>0</v>
      </c>
      <c r="F4554" s="18">
        <v>0</v>
      </c>
      <c r="G4554" s="18">
        <v>0</v>
      </c>
      <c r="H4554" s="18">
        <v>0</v>
      </c>
    </row>
    <row r="4555" spans="2:8">
      <c r="B4555" s="14" t="s">
        <v>10498</v>
      </c>
      <c r="C4555" s="245" t="s">
        <v>4821</v>
      </c>
      <c r="D4555" s="15">
        <v>0</v>
      </c>
      <c r="E4555" s="15">
        <v>0</v>
      </c>
      <c r="F4555" s="15">
        <v>0</v>
      </c>
      <c r="G4555" s="15">
        <v>0</v>
      </c>
      <c r="H4555" s="15">
        <v>0</v>
      </c>
    </row>
    <row r="4556" spans="2:8">
      <c r="B4556" s="17" t="s">
        <v>10499</v>
      </c>
      <c r="C4556" s="246" t="s">
        <v>4822</v>
      </c>
      <c r="D4556" s="18">
        <v>0</v>
      </c>
      <c r="E4556" s="18">
        <v>0</v>
      </c>
      <c r="F4556" s="18">
        <v>9</v>
      </c>
      <c r="G4556" s="18">
        <v>0</v>
      </c>
      <c r="H4556" s="18">
        <v>0</v>
      </c>
    </row>
    <row r="4557" spans="2:8">
      <c r="B4557" s="14" t="s">
        <v>10500</v>
      </c>
      <c r="C4557" s="245" t="s">
        <v>4823</v>
      </c>
      <c r="D4557" s="15">
        <v>0</v>
      </c>
      <c r="E4557" s="15">
        <v>0</v>
      </c>
      <c r="F4557" s="15">
        <v>0</v>
      </c>
      <c r="G4557" s="15">
        <v>71</v>
      </c>
      <c r="H4557" s="15">
        <v>0</v>
      </c>
    </row>
    <row r="4558" spans="2:8">
      <c r="B4558" s="17" t="s">
        <v>10501</v>
      </c>
      <c r="C4558" s="246" t="s">
        <v>4824</v>
      </c>
      <c r="D4558" s="18">
        <v>0</v>
      </c>
      <c r="E4558" s="18">
        <v>0</v>
      </c>
      <c r="F4558" s="18">
        <v>0</v>
      </c>
      <c r="G4558" s="18">
        <v>0</v>
      </c>
      <c r="H4558" s="18">
        <v>0</v>
      </c>
    </row>
    <row r="4559" spans="2:8">
      <c r="B4559" s="14" t="s">
        <v>10502</v>
      </c>
      <c r="C4559" s="245" t="s">
        <v>4825</v>
      </c>
      <c r="D4559" s="15">
        <v>0</v>
      </c>
      <c r="E4559" s="15">
        <v>0</v>
      </c>
      <c r="F4559" s="15">
        <v>0</v>
      </c>
      <c r="G4559" s="15">
        <v>70</v>
      </c>
      <c r="H4559" s="15">
        <v>0</v>
      </c>
    </row>
    <row r="4560" spans="2:8">
      <c r="B4560" s="17" t="s">
        <v>10503</v>
      </c>
      <c r="C4560" s="246" t="s">
        <v>4826</v>
      </c>
      <c r="D4560" s="18">
        <v>4</v>
      </c>
      <c r="E4560" s="18">
        <v>16</v>
      </c>
      <c r="F4560" s="18">
        <v>0</v>
      </c>
      <c r="G4560" s="18">
        <v>0</v>
      </c>
      <c r="H4560" s="18">
        <v>0</v>
      </c>
    </row>
    <row r="4561" spans="2:8">
      <c r="B4561" s="14" t="s">
        <v>10504</v>
      </c>
      <c r="C4561" s="245" t="s">
        <v>4827</v>
      </c>
      <c r="D4561" s="15">
        <v>0</v>
      </c>
      <c r="E4561" s="15">
        <v>0</v>
      </c>
      <c r="F4561" s="15">
        <v>0</v>
      </c>
      <c r="G4561" s="15">
        <v>0</v>
      </c>
      <c r="H4561" s="15">
        <v>0</v>
      </c>
    </row>
    <row r="4562" spans="2:8">
      <c r="B4562" s="17" t="s">
        <v>10505</v>
      </c>
      <c r="C4562" s="246" t="s">
        <v>4828</v>
      </c>
      <c r="D4562" s="18">
        <v>0</v>
      </c>
      <c r="E4562" s="18">
        <v>0</v>
      </c>
      <c r="F4562" s="18">
        <v>0</v>
      </c>
      <c r="G4562" s="18">
        <v>0</v>
      </c>
      <c r="H4562" s="18">
        <v>0</v>
      </c>
    </row>
    <row r="4563" spans="2:8">
      <c r="B4563" s="14" t="s">
        <v>10506</v>
      </c>
      <c r="C4563" s="245" t="s">
        <v>4829</v>
      </c>
      <c r="D4563" s="15">
        <v>0</v>
      </c>
      <c r="E4563" s="15">
        <v>0</v>
      </c>
      <c r="F4563" s="15">
        <v>0</v>
      </c>
      <c r="G4563" s="15">
        <v>0</v>
      </c>
      <c r="H4563" s="15">
        <v>0</v>
      </c>
    </row>
    <row r="4564" spans="2:8">
      <c r="B4564" s="17" t="s">
        <v>10507</v>
      </c>
      <c r="C4564" s="246" t="s">
        <v>4830</v>
      </c>
      <c r="D4564" s="18">
        <v>0</v>
      </c>
      <c r="E4564" s="18">
        <v>0</v>
      </c>
      <c r="F4564" s="18">
        <v>0</v>
      </c>
      <c r="G4564" s="18">
        <v>0</v>
      </c>
      <c r="H4564" s="18">
        <v>0</v>
      </c>
    </row>
    <row r="4565" spans="2:8">
      <c r="B4565" s="14" t="s">
        <v>10508</v>
      </c>
      <c r="C4565" s="245" t="s">
        <v>4831</v>
      </c>
      <c r="D4565" s="15">
        <v>0</v>
      </c>
      <c r="E4565" s="15">
        <v>0</v>
      </c>
      <c r="F4565" s="15">
        <v>0</v>
      </c>
      <c r="G4565" s="15">
        <v>0</v>
      </c>
      <c r="H4565" s="15">
        <v>0</v>
      </c>
    </row>
    <row r="4566" spans="2:8">
      <c r="B4566" s="17" t="s">
        <v>10509</v>
      </c>
      <c r="C4566" s="246" t="s">
        <v>4832</v>
      </c>
      <c r="D4566" s="18">
        <v>0</v>
      </c>
      <c r="E4566" s="18">
        <v>0</v>
      </c>
      <c r="F4566" s="18">
        <v>38</v>
      </c>
      <c r="G4566" s="18">
        <v>24</v>
      </c>
      <c r="H4566" s="18">
        <v>0</v>
      </c>
    </row>
    <row r="4567" spans="2:8">
      <c r="B4567" s="14" t="s">
        <v>10510</v>
      </c>
      <c r="C4567" s="245" t="s">
        <v>4833</v>
      </c>
      <c r="D4567" s="15">
        <v>0</v>
      </c>
      <c r="E4567" s="15">
        <v>0</v>
      </c>
      <c r="F4567" s="15">
        <v>0</v>
      </c>
      <c r="G4567" s="15">
        <v>0</v>
      </c>
      <c r="H4567" s="15">
        <v>0</v>
      </c>
    </row>
    <row r="4568" spans="2:8">
      <c r="B4568" s="17" t="s">
        <v>10511</v>
      </c>
      <c r="C4568" s="246" t="s">
        <v>4834</v>
      </c>
      <c r="D4568" s="18">
        <v>0</v>
      </c>
      <c r="E4568" s="18">
        <v>0</v>
      </c>
      <c r="F4568" s="18">
        <v>0</v>
      </c>
      <c r="G4568" s="18">
        <v>0</v>
      </c>
      <c r="H4568" s="18">
        <v>0</v>
      </c>
    </row>
    <row r="4569" spans="2:8">
      <c r="B4569" s="14" t="s">
        <v>10512</v>
      </c>
      <c r="C4569" s="245" t="s">
        <v>4835</v>
      </c>
      <c r="D4569" s="15">
        <v>0</v>
      </c>
      <c r="E4569" s="15">
        <v>13</v>
      </c>
      <c r="F4569" s="15">
        <v>0</v>
      </c>
      <c r="G4569" s="15">
        <v>40</v>
      </c>
      <c r="H4569" s="15">
        <v>0</v>
      </c>
    </row>
    <row r="4570" spans="2:8">
      <c r="B4570" s="17" t="s">
        <v>10513</v>
      </c>
      <c r="C4570" s="246" t="s">
        <v>4836</v>
      </c>
      <c r="D4570" s="18">
        <v>0</v>
      </c>
      <c r="E4570" s="18">
        <v>0</v>
      </c>
      <c r="F4570" s="18">
        <v>0</v>
      </c>
      <c r="G4570" s="18">
        <v>0</v>
      </c>
      <c r="H4570" s="18">
        <v>0</v>
      </c>
    </row>
    <row r="4571" spans="2:8">
      <c r="B4571" s="14" t="s">
        <v>10514</v>
      </c>
      <c r="C4571" s="245" t="s">
        <v>4837</v>
      </c>
      <c r="D4571" s="15">
        <v>0</v>
      </c>
      <c r="E4571" s="15">
        <v>0</v>
      </c>
      <c r="F4571" s="15">
        <v>0</v>
      </c>
      <c r="G4571" s="15">
        <v>0</v>
      </c>
      <c r="H4571" s="15">
        <v>0</v>
      </c>
    </row>
    <row r="4572" spans="2:8">
      <c r="B4572" s="17" t="s">
        <v>10515</v>
      </c>
      <c r="C4572" s="246" t="s">
        <v>4838</v>
      </c>
      <c r="D4572" s="18">
        <v>0</v>
      </c>
      <c r="E4572" s="18">
        <v>66</v>
      </c>
      <c r="F4572" s="18">
        <v>0</v>
      </c>
      <c r="G4572" s="18">
        <v>0</v>
      </c>
      <c r="H4572" s="18">
        <v>0</v>
      </c>
    </row>
    <row r="4573" spans="2:8">
      <c r="B4573" s="14" t="s">
        <v>10516</v>
      </c>
      <c r="C4573" s="245" t="s">
        <v>4839</v>
      </c>
      <c r="D4573" s="15">
        <v>0</v>
      </c>
      <c r="E4573" s="15">
        <v>0</v>
      </c>
      <c r="F4573" s="15">
        <v>0</v>
      </c>
      <c r="G4573" s="15">
        <v>0</v>
      </c>
      <c r="H4573" s="15">
        <v>0</v>
      </c>
    </row>
    <row r="4574" spans="2:8">
      <c r="B4574" s="17" t="s">
        <v>10517</v>
      </c>
      <c r="C4574" s="246" t="s">
        <v>4840</v>
      </c>
      <c r="D4574" s="18">
        <v>0</v>
      </c>
      <c r="E4574" s="18">
        <v>0</v>
      </c>
      <c r="F4574" s="18">
        <v>0</v>
      </c>
      <c r="G4574" s="18">
        <v>0</v>
      </c>
      <c r="H4574" s="18">
        <v>0</v>
      </c>
    </row>
    <row r="4575" spans="2:8">
      <c r="B4575" s="14" t="s">
        <v>10518</v>
      </c>
      <c r="C4575" s="245" t="s">
        <v>4841</v>
      </c>
      <c r="D4575" s="15">
        <v>0</v>
      </c>
      <c r="E4575" s="15">
        <v>0</v>
      </c>
      <c r="F4575" s="15">
        <v>0</v>
      </c>
      <c r="G4575" s="15">
        <v>0</v>
      </c>
      <c r="H4575" s="15">
        <v>0</v>
      </c>
    </row>
    <row r="4576" spans="2:8">
      <c r="B4576" s="17" t="s">
        <v>10519</v>
      </c>
      <c r="C4576" s="246" t="s">
        <v>4842</v>
      </c>
      <c r="D4576" s="18">
        <v>0</v>
      </c>
      <c r="E4576" s="18">
        <v>0</v>
      </c>
      <c r="F4576" s="18">
        <v>0</v>
      </c>
      <c r="G4576" s="18">
        <v>0</v>
      </c>
      <c r="H4576" s="18">
        <v>0</v>
      </c>
    </row>
    <row r="4577" spans="2:8">
      <c r="B4577" s="14" t="s">
        <v>10520</v>
      </c>
      <c r="C4577" s="245" t="s">
        <v>4843</v>
      </c>
      <c r="D4577" s="15">
        <v>0</v>
      </c>
      <c r="E4577" s="15">
        <v>0</v>
      </c>
      <c r="F4577" s="15">
        <v>0</v>
      </c>
      <c r="G4577" s="15">
        <v>0</v>
      </c>
      <c r="H4577" s="15">
        <v>0</v>
      </c>
    </row>
    <row r="4578" spans="2:8">
      <c r="B4578" s="17" t="s">
        <v>10521</v>
      </c>
      <c r="C4578" s="246" t="s">
        <v>4844</v>
      </c>
      <c r="D4578" s="18">
        <v>0</v>
      </c>
      <c r="E4578" s="18">
        <v>0</v>
      </c>
      <c r="F4578" s="18">
        <v>0</v>
      </c>
      <c r="G4578" s="18">
        <v>0</v>
      </c>
      <c r="H4578" s="18">
        <v>0</v>
      </c>
    </row>
    <row r="4579" spans="2:8">
      <c r="B4579" s="14" t="s">
        <v>10522</v>
      </c>
      <c r="C4579" s="245" t="s">
        <v>4845</v>
      </c>
      <c r="D4579" s="15">
        <v>0</v>
      </c>
      <c r="E4579" s="15">
        <v>0</v>
      </c>
      <c r="F4579" s="15">
        <v>0</v>
      </c>
      <c r="G4579" s="15">
        <v>6</v>
      </c>
      <c r="H4579" s="15">
        <v>0</v>
      </c>
    </row>
    <row r="4580" spans="2:8">
      <c r="B4580" s="17" t="s">
        <v>10523</v>
      </c>
      <c r="C4580" s="246" t="s">
        <v>4846</v>
      </c>
      <c r="D4580" s="18">
        <v>0</v>
      </c>
      <c r="E4580" s="18">
        <v>0</v>
      </c>
      <c r="F4580" s="18">
        <v>0</v>
      </c>
      <c r="G4580" s="18">
        <v>0</v>
      </c>
      <c r="H4580" s="18">
        <v>0</v>
      </c>
    </row>
    <row r="4581" spans="2:8">
      <c r="B4581" s="14" t="s">
        <v>10524</v>
      </c>
      <c r="C4581" s="245" t="s">
        <v>4847</v>
      </c>
      <c r="D4581" s="15">
        <v>0</v>
      </c>
      <c r="E4581" s="15">
        <v>0</v>
      </c>
      <c r="F4581" s="15">
        <v>0</v>
      </c>
      <c r="G4581" s="15">
        <v>0</v>
      </c>
      <c r="H4581" s="15">
        <v>0</v>
      </c>
    </row>
    <row r="4582" spans="2:8">
      <c r="B4582" s="17" t="s">
        <v>10525</v>
      </c>
      <c r="C4582" s="246" t="s">
        <v>4848</v>
      </c>
      <c r="D4582" s="18">
        <v>0</v>
      </c>
      <c r="E4582" s="18">
        <v>0</v>
      </c>
      <c r="F4582" s="18">
        <v>0</v>
      </c>
      <c r="G4582" s="18">
        <v>0</v>
      </c>
      <c r="H4582" s="18">
        <v>0</v>
      </c>
    </row>
    <row r="4583" spans="2:8">
      <c r="B4583" s="14" t="s">
        <v>10526</v>
      </c>
      <c r="C4583" s="245" t="s">
        <v>4849</v>
      </c>
      <c r="D4583" s="15">
        <v>0</v>
      </c>
      <c r="E4583" s="15">
        <v>0</v>
      </c>
      <c r="F4583" s="15">
        <v>0</v>
      </c>
      <c r="G4583" s="15">
        <v>0</v>
      </c>
      <c r="H4583" s="15">
        <v>0</v>
      </c>
    </row>
    <row r="4584" spans="2:8">
      <c r="B4584" s="17" t="s">
        <v>10527</v>
      </c>
      <c r="C4584" s="246" t="s">
        <v>4850</v>
      </c>
      <c r="D4584" s="18">
        <v>0</v>
      </c>
      <c r="E4584" s="18">
        <v>0</v>
      </c>
      <c r="F4584" s="18">
        <v>0</v>
      </c>
      <c r="G4584" s="18">
        <v>0</v>
      </c>
      <c r="H4584" s="18">
        <v>0</v>
      </c>
    </row>
    <row r="4585" spans="2:8">
      <c r="B4585" s="14" t="s">
        <v>10528</v>
      </c>
      <c r="C4585" s="245" t="s">
        <v>4851</v>
      </c>
      <c r="D4585" s="15">
        <v>0</v>
      </c>
      <c r="E4585" s="15">
        <v>0</v>
      </c>
      <c r="F4585" s="15">
        <v>0</v>
      </c>
      <c r="G4585" s="15">
        <v>0</v>
      </c>
      <c r="H4585" s="15">
        <v>0</v>
      </c>
    </row>
    <row r="4586" spans="2:8">
      <c r="B4586" s="17" t="s">
        <v>10529</v>
      </c>
      <c r="C4586" s="246" t="s">
        <v>4852</v>
      </c>
      <c r="D4586" s="18">
        <v>0</v>
      </c>
      <c r="E4586" s="18">
        <v>0</v>
      </c>
      <c r="F4586" s="18">
        <v>0</v>
      </c>
      <c r="G4586" s="18">
        <v>0</v>
      </c>
      <c r="H4586" s="18">
        <v>0</v>
      </c>
    </row>
    <row r="4587" spans="2:8">
      <c r="B4587" s="14" t="s">
        <v>10530</v>
      </c>
      <c r="C4587" s="245" t="s">
        <v>4853</v>
      </c>
      <c r="D4587" s="15">
        <v>0</v>
      </c>
      <c r="E4587" s="15">
        <v>0</v>
      </c>
      <c r="F4587" s="15">
        <v>0</v>
      </c>
      <c r="G4587" s="15">
        <v>0</v>
      </c>
      <c r="H4587" s="15">
        <v>0</v>
      </c>
    </row>
    <row r="4588" spans="2:8">
      <c r="B4588" s="17" t="s">
        <v>10531</v>
      </c>
      <c r="C4588" s="246" t="s">
        <v>4854</v>
      </c>
      <c r="D4588" s="18">
        <v>0</v>
      </c>
      <c r="E4588" s="18">
        <v>0</v>
      </c>
      <c r="F4588" s="18">
        <v>0</v>
      </c>
      <c r="G4588" s="18">
        <v>0</v>
      </c>
      <c r="H4588" s="18">
        <v>0</v>
      </c>
    </row>
    <row r="4589" spans="2:8">
      <c r="B4589" s="14" t="s">
        <v>10532</v>
      </c>
      <c r="C4589" s="245" t="s">
        <v>4855</v>
      </c>
      <c r="D4589" s="15">
        <v>0</v>
      </c>
      <c r="E4589" s="15">
        <v>0</v>
      </c>
      <c r="F4589" s="15">
        <v>0</v>
      </c>
      <c r="G4589" s="15">
        <v>0</v>
      </c>
      <c r="H4589" s="15">
        <v>0</v>
      </c>
    </row>
    <row r="4590" spans="2:8">
      <c r="B4590" s="17" t="s">
        <v>10533</v>
      </c>
      <c r="C4590" s="246" t="s">
        <v>4856</v>
      </c>
      <c r="D4590" s="18">
        <v>0</v>
      </c>
      <c r="E4590" s="18">
        <v>0</v>
      </c>
      <c r="F4590" s="18">
        <v>0</v>
      </c>
      <c r="G4590" s="18">
        <v>0</v>
      </c>
      <c r="H4590" s="18">
        <v>0</v>
      </c>
    </row>
    <row r="4591" spans="2:8">
      <c r="B4591" s="14" t="s">
        <v>10534</v>
      </c>
      <c r="C4591" s="245" t="s">
        <v>4857</v>
      </c>
      <c r="D4591" s="15">
        <v>0</v>
      </c>
      <c r="E4591" s="15">
        <v>0</v>
      </c>
      <c r="F4591" s="15">
        <v>0</v>
      </c>
      <c r="G4591" s="15">
        <v>10</v>
      </c>
      <c r="H4591" s="15">
        <v>0</v>
      </c>
    </row>
    <row r="4592" spans="2:8">
      <c r="B4592" s="17" t="s">
        <v>10535</v>
      </c>
      <c r="C4592" s="246" t="s">
        <v>4858</v>
      </c>
      <c r="D4592" s="18">
        <v>0</v>
      </c>
      <c r="E4592" s="18">
        <v>0</v>
      </c>
      <c r="F4592" s="18">
        <v>0</v>
      </c>
      <c r="G4592" s="18">
        <v>2</v>
      </c>
      <c r="H4592" s="18">
        <v>0</v>
      </c>
    </row>
    <row r="4593" spans="2:8">
      <c r="B4593" s="14" t="s">
        <v>10536</v>
      </c>
      <c r="C4593" s="245" t="s">
        <v>4859</v>
      </c>
      <c r="D4593" s="15">
        <v>0</v>
      </c>
      <c r="E4593" s="15">
        <v>0</v>
      </c>
      <c r="F4593" s="15">
        <v>0</v>
      </c>
      <c r="G4593" s="15">
        <v>0</v>
      </c>
      <c r="H4593" s="15">
        <v>0</v>
      </c>
    </row>
    <row r="4594" spans="2:8">
      <c r="B4594" s="17" t="s">
        <v>10537</v>
      </c>
      <c r="C4594" s="246" t="s">
        <v>4860</v>
      </c>
      <c r="D4594" s="18">
        <v>0</v>
      </c>
      <c r="E4594" s="18">
        <v>105</v>
      </c>
      <c r="F4594" s="18">
        <v>0</v>
      </c>
      <c r="G4594" s="18">
        <v>0</v>
      </c>
      <c r="H4594" s="18">
        <v>0</v>
      </c>
    </row>
    <row r="4595" spans="2:8">
      <c r="B4595" s="14" t="s">
        <v>10538</v>
      </c>
      <c r="C4595" s="245" t="s">
        <v>4861</v>
      </c>
      <c r="D4595" s="15">
        <v>0</v>
      </c>
      <c r="E4595" s="15">
        <v>0</v>
      </c>
      <c r="F4595" s="15">
        <v>0</v>
      </c>
      <c r="G4595" s="15">
        <v>0</v>
      </c>
      <c r="H4595" s="15">
        <v>0</v>
      </c>
    </row>
    <row r="4596" spans="2:8">
      <c r="B4596" s="17" t="s">
        <v>10539</v>
      </c>
      <c r="C4596" s="246" t="s">
        <v>4862</v>
      </c>
      <c r="D4596" s="18">
        <v>5</v>
      </c>
      <c r="E4596" s="18">
        <v>0</v>
      </c>
      <c r="F4596" s="18">
        <v>0</v>
      </c>
      <c r="G4596" s="18">
        <v>0</v>
      </c>
      <c r="H4596" s="18">
        <v>0</v>
      </c>
    </row>
    <row r="4597" spans="2:8">
      <c r="B4597" s="14" t="s">
        <v>10540</v>
      </c>
      <c r="C4597" s="245" t="s">
        <v>4863</v>
      </c>
      <c r="D4597" s="15">
        <v>0</v>
      </c>
      <c r="E4597" s="15">
        <v>0</v>
      </c>
      <c r="F4597" s="15">
        <v>0</v>
      </c>
      <c r="G4597" s="15">
        <v>0</v>
      </c>
      <c r="H4597" s="15">
        <v>0</v>
      </c>
    </row>
    <row r="4598" spans="2:8">
      <c r="B4598" s="17" t="s">
        <v>10541</v>
      </c>
      <c r="C4598" s="246" t="s">
        <v>4864</v>
      </c>
      <c r="D4598" s="18">
        <v>0</v>
      </c>
      <c r="E4598" s="18">
        <v>0</v>
      </c>
      <c r="F4598" s="18">
        <v>0</v>
      </c>
      <c r="G4598" s="18">
        <v>0</v>
      </c>
      <c r="H4598" s="18">
        <v>0</v>
      </c>
    </row>
    <row r="4599" spans="2:8">
      <c r="B4599" s="14" t="s">
        <v>10542</v>
      </c>
      <c r="C4599" s="245" t="s">
        <v>4865</v>
      </c>
      <c r="D4599" s="15">
        <v>0</v>
      </c>
      <c r="E4599" s="15">
        <v>0</v>
      </c>
      <c r="F4599" s="15">
        <v>0</v>
      </c>
      <c r="G4599" s="15">
        <v>0</v>
      </c>
      <c r="H4599" s="15">
        <v>0</v>
      </c>
    </row>
    <row r="4600" spans="2:8">
      <c r="B4600" s="17" t="s">
        <v>10543</v>
      </c>
      <c r="C4600" s="246" t="s">
        <v>4866</v>
      </c>
      <c r="D4600" s="18">
        <v>0</v>
      </c>
      <c r="E4600" s="18">
        <v>0</v>
      </c>
      <c r="F4600" s="18">
        <v>0</v>
      </c>
      <c r="G4600" s="18">
        <v>0</v>
      </c>
      <c r="H4600" s="18">
        <v>0</v>
      </c>
    </row>
    <row r="4601" spans="2:8">
      <c r="B4601" s="14" t="s">
        <v>10544</v>
      </c>
      <c r="C4601" s="245" t="s">
        <v>4790</v>
      </c>
      <c r="D4601" s="15">
        <v>0</v>
      </c>
      <c r="E4601" s="15">
        <v>0</v>
      </c>
      <c r="F4601" s="15">
        <v>14</v>
      </c>
      <c r="G4601" s="15">
        <v>0</v>
      </c>
      <c r="H4601" s="15">
        <v>0</v>
      </c>
    </row>
    <row r="4602" spans="2:8">
      <c r="B4602" s="17" t="s">
        <v>10545</v>
      </c>
      <c r="C4602" s="246" t="s">
        <v>4867</v>
      </c>
      <c r="D4602" s="18">
        <v>106</v>
      </c>
      <c r="E4602" s="18">
        <v>43</v>
      </c>
      <c r="F4602" s="18">
        <v>50</v>
      </c>
      <c r="G4602" s="18">
        <v>50</v>
      </c>
      <c r="H4602" s="18">
        <v>0</v>
      </c>
    </row>
    <row r="4603" spans="2:8">
      <c r="B4603" s="14" t="s">
        <v>10546</v>
      </c>
      <c r="C4603" s="245" t="s">
        <v>4868</v>
      </c>
      <c r="D4603" s="15">
        <v>0</v>
      </c>
      <c r="E4603" s="15">
        <v>0</v>
      </c>
      <c r="F4603" s="15">
        <v>0</v>
      </c>
      <c r="G4603" s="15">
        <v>0</v>
      </c>
      <c r="H4603" s="15">
        <v>0</v>
      </c>
    </row>
    <row r="4604" spans="2:8">
      <c r="B4604" s="17" t="s">
        <v>10547</v>
      </c>
      <c r="C4604" s="246" t="s">
        <v>4869</v>
      </c>
      <c r="D4604" s="18">
        <v>0</v>
      </c>
      <c r="E4604" s="18">
        <v>0</v>
      </c>
      <c r="F4604" s="18">
        <v>0</v>
      </c>
      <c r="G4604" s="18">
        <v>0</v>
      </c>
      <c r="H4604" s="18">
        <v>0</v>
      </c>
    </row>
    <row r="4605" spans="2:8">
      <c r="B4605" s="14" t="s">
        <v>10548</v>
      </c>
      <c r="C4605" s="245" t="s">
        <v>4870</v>
      </c>
      <c r="D4605" s="15">
        <v>0</v>
      </c>
      <c r="E4605" s="15">
        <v>0</v>
      </c>
      <c r="F4605" s="15">
        <v>0</v>
      </c>
      <c r="G4605" s="15">
        <v>0</v>
      </c>
      <c r="H4605" s="15">
        <v>0</v>
      </c>
    </row>
    <row r="4606" spans="2:8">
      <c r="B4606" s="17" t="s">
        <v>10549</v>
      </c>
      <c r="C4606" s="246" t="s">
        <v>4871</v>
      </c>
      <c r="D4606" s="18">
        <v>0</v>
      </c>
      <c r="E4606" s="18">
        <v>0</v>
      </c>
      <c r="F4606" s="18">
        <v>0</v>
      </c>
      <c r="G4606" s="18">
        <v>0</v>
      </c>
      <c r="H4606" s="18">
        <v>0</v>
      </c>
    </row>
    <row r="4607" spans="2:8">
      <c r="B4607" s="14" t="s">
        <v>10550</v>
      </c>
      <c r="C4607" s="245" t="s">
        <v>4872</v>
      </c>
      <c r="D4607" s="15">
        <v>0</v>
      </c>
      <c r="E4607" s="15">
        <v>0</v>
      </c>
      <c r="F4607" s="15">
        <v>0</v>
      </c>
      <c r="G4607" s="15">
        <v>0</v>
      </c>
      <c r="H4607" s="15">
        <v>0</v>
      </c>
    </row>
    <row r="4608" spans="2:8">
      <c r="B4608" s="17" t="s">
        <v>10551</v>
      </c>
      <c r="C4608" s="246" t="s">
        <v>4873</v>
      </c>
      <c r="D4608" s="18">
        <v>0</v>
      </c>
      <c r="E4608" s="18">
        <v>0</v>
      </c>
      <c r="F4608" s="18">
        <v>0</v>
      </c>
      <c r="G4608" s="18">
        <v>0</v>
      </c>
      <c r="H4608" s="18">
        <v>0</v>
      </c>
    </row>
    <row r="4609" spans="2:8">
      <c r="B4609" s="14" t="s">
        <v>10552</v>
      </c>
      <c r="C4609" s="245" t="s">
        <v>4874</v>
      </c>
      <c r="D4609" s="15">
        <v>0</v>
      </c>
      <c r="E4609" s="15">
        <v>0</v>
      </c>
      <c r="F4609" s="15">
        <v>0</v>
      </c>
      <c r="G4609" s="15">
        <v>0</v>
      </c>
      <c r="H4609" s="15">
        <v>0</v>
      </c>
    </row>
    <row r="4610" spans="2:8">
      <c r="B4610" s="17" t="s">
        <v>10553</v>
      </c>
      <c r="C4610" s="246" t="s">
        <v>4875</v>
      </c>
      <c r="D4610" s="18">
        <v>0</v>
      </c>
      <c r="E4610" s="18">
        <v>0</v>
      </c>
      <c r="F4610" s="18">
        <v>0</v>
      </c>
      <c r="G4610" s="18">
        <v>0</v>
      </c>
      <c r="H4610" s="18">
        <v>0</v>
      </c>
    </row>
    <row r="4611" spans="2:8">
      <c r="B4611" s="14" t="s">
        <v>10554</v>
      </c>
      <c r="C4611" s="245" t="s">
        <v>4876</v>
      </c>
      <c r="D4611" s="15">
        <v>0</v>
      </c>
      <c r="E4611" s="15">
        <v>0</v>
      </c>
      <c r="F4611" s="15">
        <v>0</v>
      </c>
      <c r="G4611" s="15">
        <v>0</v>
      </c>
      <c r="H4611" s="15">
        <v>0</v>
      </c>
    </row>
    <row r="4612" spans="2:8">
      <c r="B4612" s="17" t="s">
        <v>10555</v>
      </c>
      <c r="C4612" s="246" t="s">
        <v>4877</v>
      </c>
      <c r="D4612" s="18">
        <v>0</v>
      </c>
      <c r="E4612" s="18">
        <v>22</v>
      </c>
      <c r="F4612" s="18">
        <v>31</v>
      </c>
      <c r="G4612" s="18">
        <v>0</v>
      </c>
      <c r="H4612" s="18">
        <v>0</v>
      </c>
    </row>
    <row r="4613" spans="2:8">
      <c r="B4613" s="14" t="s">
        <v>10556</v>
      </c>
      <c r="C4613" s="245" t="s">
        <v>4878</v>
      </c>
      <c r="D4613" s="15">
        <v>0</v>
      </c>
      <c r="E4613" s="15">
        <v>0</v>
      </c>
      <c r="F4613" s="15">
        <v>0</v>
      </c>
      <c r="G4613" s="15">
        <v>0</v>
      </c>
      <c r="H4613" s="15">
        <v>0</v>
      </c>
    </row>
    <row r="4614" spans="2:8">
      <c r="B4614" s="17" t="s">
        <v>10557</v>
      </c>
      <c r="C4614" s="246" t="s">
        <v>4879</v>
      </c>
      <c r="D4614" s="18">
        <v>0</v>
      </c>
      <c r="E4614" s="18">
        <v>0</v>
      </c>
      <c r="F4614" s="18">
        <v>0</v>
      </c>
      <c r="G4614" s="18">
        <v>0</v>
      </c>
      <c r="H4614" s="18">
        <v>0</v>
      </c>
    </row>
    <row r="4615" spans="2:8">
      <c r="B4615" s="14" t="s">
        <v>10558</v>
      </c>
      <c r="C4615" s="245" t="s">
        <v>4880</v>
      </c>
      <c r="D4615" s="15">
        <v>0</v>
      </c>
      <c r="E4615" s="15">
        <v>0</v>
      </c>
      <c r="F4615" s="15">
        <v>0</v>
      </c>
      <c r="G4615" s="15">
        <v>0</v>
      </c>
      <c r="H4615" s="15">
        <v>0</v>
      </c>
    </row>
    <row r="4616" spans="2:8">
      <c r="B4616" s="17" t="s">
        <v>10559</v>
      </c>
      <c r="C4616" s="246" t="s">
        <v>4881</v>
      </c>
      <c r="D4616" s="18">
        <v>0</v>
      </c>
      <c r="E4616" s="18">
        <v>0</v>
      </c>
      <c r="F4616" s="18">
        <v>0</v>
      </c>
      <c r="G4616" s="18">
        <v>0</v>
      </c>
      <c r="H4616" s="18">
        <v>0</v>
      </c>
    </row>
    <row r="4617" spans="2:8">
      <c r="B4617" s="14" t="s">
        <v>10560</v>
      </c>
      <c r="C4617" s="245" t="s">
        <v>4882</v>
      </c>
      <c r="D4617" s="15">
        <v>0</v>
      </c>
      <c r="E4617" s="15">
        <v>0</v>
      </c>
      <c r="F4617" s="15">
        <v>0</v>
      </c>
      <c r="G4617" s="15">
        <v>0</v>
      </c>
      <c r="H4617" s="15">
        <v>0</v>
      </c>
    </row>
    <row r="4618" spans="2:8">
      <c r="B4618" s="17" t="s">
        <v>10561</v>
      </c>
      <c r="C4618" s="246" t="s">
        <v>4883</v>
      </c>
      <c r="D4618" s="18">
        <v>0</v>
      </c>
      <c r="E4618" s="18">
        <v>50</v>
      </c>
      <c r="F4618" s="18">
        <v>0</v>
      </c>
      <c r="G4618" s="18">
        <v>0</v>
      </c>
      <c r="H4618" s="18">
        <v>0</v>
      </c>
    </row>
    <row r="4619" spans="2:8">
      <c r="B4619" s="14" t="s">
        <v>10562</v>
      </c>
      <c r="C4619" s="245" t="s">
        <v>4884</v>
      </c>
      <c r="D4619" s="15">
        <v>0</v>
      </c>
      <c r="E4619" s="15">
        <v>0</v>
      </c>
      <c r="F4619" s="15">
        <v>0</v>
      </c>
      <c r="G4619" s="15">
        <v>9</v>
      </c>
      <c r="H4619" s="15">
        <v>0</v>
      </c>
    </row>
    <row r="4620" spans="2:8">
      <c r="B4620" s="17" t="s">
        <v>10563</v>
      </c>
      <c r="C4620" s="246" t="s">
        <v>4885</v>
      </c>
      <c r="D4620" s="18">
        <v>6</v>
      </c>
      <c r="E4620" s="18">
        <v>10</v>
      </c>
      <c r="F4620" s="18">
        <v>0</v>
      </c>
      <c r="G4620" s="18">
        <v>0</v>
      </c>
      <c r="H4620" s="18">
        <v>0</v>
      </c>
    </row>
    <row r="4621" spans="2:8">
      <c r="B4621" s="14" t="s">
        <v>10564</v>
      </c>
      <c r="C4621" s="245" t="s">
        <v>4886</v>
      </c>
      <c r="D4621" s="15">
        <v>0</v>
      </c>
      <c r="E4621" s="15">
        <v>0</v>
      </c>
      <c r="F4621" s="15">
        <v>0</v>
      </c>
      <c r="G4621" s="15">
        <v>0</v>
      </c>
      <c r="H4621" s="15">
        <v>0</v>
      </c>
    </row>
    <row r="4622" spans="2:8">
      <c r="B4622" s="17" t="s">
        <v>10565</v>
      </c>
      <c r="C4622" s="246" t="s">
        <v>4887</v>
      </c>
      <c r="D4622" s="18">
        <v>0</v>
      </c>
      <c r="E4622" s="18">
        <v>0</v>
      </c>
      <c r="F4622" s="18">
        <v>0</v>
      </c>
      <c r="G4622" s="18">
        <v>0</v>
      </c>
      <c r="H4622" s="18">
        <v>0</v>
      </c>
    </row>
    <row r="4623" spans="2:8">
      <c r="B4623" s="14" t="s">
        <v>10566</v>
      </c>
      <c r="C4623" s="245" t="s">
        <v>4888</v>
      </c>
      <c r="D4623" s="15">
        <v>0</v>
      </c>
      <c r="E4623" s="15">
        <v>0</v>
      </c>
      <c r="F4623" s="15">
        <v>0</v>
      </c>
      <c r="G4623" s="15">
        <v>0</v>
      </c>
      <c r="H4623" s="15">
        <v>0</v>
      </c>
    </row>
    <row r="4624" spans="2:8">
      <c r="B4624" s="17" t="s">
        <v>10567</v>
      </c>
      <c r="C4624" s="246" t="s">
        <v>4889</v>
      </c>
      <c r="D4624" s="18">
        <v>0</v>
      </c>
      <c r="E4624" s="18">
        <v>0</v>
      </c>
      <c r="F4624" s="18">
        <v>0</v>
      </c>
      <c r="G4624" s="18">
        <v>0</v>
      </c>
      <c r="H4624" s="18">
        <v>0</v>
      </c>
    </row>
    <row r="4625" spans="2:8">
      <c r="B4625" s="14" t="s">
        <v>10568</v>
      </c>
      <c r="C4625" s="245" t="s">
        <v>4890</v>
      </c>
      <c r="D4625" s="15">
        <v>0</v>
      </c>
      <c r="E4625" s="15">
        <v>0</v>
      </c>
      <c r="F4625" s="15">
        <v>0</v>
      </c>
      <c r="G4625" s="15">
        <v>0</v>
      </c>
      <c r="H4625" s="15">
        <v>0</v>
      </c>
    </row>
    <row r="4626" spans="2:8">
      <c r="B4626" s="17" t="s">
        <v>10569</v>
      </c>
      <c r="C4626" s="246" t="s">
        <v>4891</v>
      </c>
      <c r="D4626" s="18">
        <v>0</v>
      </c>
      <c r="E4626" s="18">
        <v>0</v>
      </c>
      <c r="F4626" s="18">
        <v>0</v>
      </c>
      <c r="G4626" s="18">
        <v>0</v>
      </c>
      <c r="H4626" s="18">
        <v>0</v>
      </c>
    </row>
    <row r="4627" spans="2:8">
      <c r="B4627" s="14" t="s">
        <v>10570</v>
      </c>
      <c r="C4627" s="245" t="s">
        <v>4892</v>
      </c>
      <c r="D4627" s="15">
        <v>85</v>
      </c>
      <c r="E4627" s="15">
        <v>0</v>
      </c>
      <c r="F4627" s="15">
        <v>7</v>
      </c>
      <c r="G4627" s="15">
        <v>0</v>
      </c>
      <c r="H4627" s="15">
        <v>0</v>
      </c>
    </row>
    <row r="4628" spans="2:8">
      <c r="B4628" s="17" t="s">
        <v>10571</v>
      </c>
      <c r="C4628" s="246" t="s">
        <v>4893</v>
      </c>
      <c r="D4628" s="18">
        <v>0</v>
      </c>
      <c r="E4628" s="18">
        <v>0</v>
      </c>
      <c r="F4628" s="18">
        <v>0</v>
      </c>
      <c r="G4628" s="18">
        <v>0</v>
      </c>
      <c r="H4628" s="18">
        <v>0</v>
      </c>
    </row>
    <row r="4629" spans="2:8">
      <c r="B4629" s="14" t="s">
        <v>10572</v>
      </c>
      <c r="C4629" s="245" t="s">
        <v>4894</v>
      </c>
      <c r="D4629" s="15">
        <v>0</v>
      </c>
      <c r="E4629" s="15">
        <v>0</v>
      </c>
      <c r="F4629" s="15">
        <v>0</v>
      </c>
      <c r="G4629" s="15">
        <v>0</v>
      </c>
      <c r="H4629" s="15">
        <v>0</v>
      </c>
    </row>
    <row r="4630" spans="2:8">
      <c r="B4630" s="17" t="s">
        <v>10573</v>
      </c>
      <c r="C4630" s="246" t="s">
        <v>4895</v>
      </c>
      <c r="D4630" s="18">
        <v>0</v>
      </c>
      <c r="E4630" s="18">
        <v>0</v>
      </c>
      <c r="F4630" s="18">
        <v>0</v>
      </c>
      <c r="G4630" s="18">
        <v>0</v>
      </c>
      <c r="H4630" s="18">
        <v>0</v>
      </c>
    </row>
    <row r="4631" spans="2:8">
      <c r="B4631" s="14" t="s">
        <v>10574</v>
      </c>
      <c r="C4631" s="245" t="s">
        <v>4896</v>
      </c>
      <c r="D4631" s="15">
        <v>0</v>
      </c>
      <c r="E4631" s="15">
        <v>1</v>
      </c>
      <c r="F4631" s="15">
        <v>0</v>
      </c>
      <c r="G4631" s="15">
        <v>0</v>
      </c>
      <c r="H4631" s="15">
        <v>0</v>
      </c>
    </row>
    <row r="4632" spans="2:8">
      <c r="B4632" s="17" t="s">
        <v>10575</v>
      </c>
      <c r="C4632" s="246" t="s">
        <v>4897</v>
      </c>
      <c r="D4632" s="18">
        <v>0</v>
      </c>
      <c r="E4632" s="18">
        <v>0</v>
      </c>
      <c r="F4632" s="18">
        <v>0</v>
      </c>
      <c r="G4632" s="18">
        <v>0</v>
      </c>
      <c r="H4632" s="18">
        <v>0</v>
      </c>
    </row>
    <row r="4633" spans="2:8">
      <c r="B4633" s="14" t="s">
        <v>10576</v>
      </c>
      <c r="C4633" s="245" t="s">
        <v>4898</v>
      </c>
      <c r="D4633" s="15">
        <v>0</v>
      </c>
      <c r="E4633" s="15">
        <v>0</v>
      </c>
      <c r="F4633" s="15">
        <v>0</v>
      </c>
      <c r="G4633" s="15">
        <v>0</v>
      </c>
      <c r="H4633" s="15">
        <v>0</v>
      </c>
    </row>
    <row r="4634" spans="2:8">
      <c r="B4634" s="17" t="s">
        <v>10577</v>
      </c>
      <c r="C4634" s="246" t="s">
        <v>4899</v>
      </c>
      <c r="D4634" s="18">
        <v>0</v>
      </c>
      <c r="E4634" s="18">
        <v>0</v>
      </c>
      <c r="F4634" s="18">
        <v>0</v>
      </c>
      <c r="G4634" s="18">
        <v>0</v>
      </c>
      <c r="H4634" s="18">
        <v>0</v>
      </c>
    </row>
    <row r="4635" spans="2:8">
      <c r="B4635" s="14" t="s">
        <v>10578</v>
      </c>
      <c r="C4635" s="245" t="s">
        <v>4900</v>
      </c>
      <c r="D4635" s="15">
        <v>0</v>
      </c>
      <c r="E4635" s="15">
        <v>0</v>
      </c>
      <c r="F4635" s="15">
        <v>0</v>
      </c>
      <c r="G4635" s="15">
        <v>0</v>
      </c>
      <c r="H4635" s="15">
        <v>0</v>
      </c>
    </row>
    <row r="4636" spans="2:8">
      <c r="B4636" s="17" t="s">
        <v>10579</v>
      </c>
      <c r="C4636" s="246" t="s">
        <v>4901</v>
      </c>
      <c r="D4636" s="18">
        <v>21</v>
      </c>
      <c r="E4636" s="18">
        <v>0</v>
      </c>
      <c r="F4636" s="18">
        <v>0</v>
      </c>
      <c r="G4636" s="18">
        <v>0</v>
      </c>
      <c r="H4636" s="18">
        <v>0</v>
      </c>
    </row>
    <row r="4637" spans="2:8">
      <c r="B4637" s="14" t="s">
        <v>10580</v>
      </c>
      <c r="C4637" s="245" t="s">
        <v>4902</v>
      </c>
      <c r="D4637" s="15">
        <v>0</v>
      </c>
      <c r="E4637" s="15">
        <v>0</v>
      </c>
      <c r="F4637" s="15">
        <v>0</v>
      </c>
      <c r="G4637" s="15">
        <v>0</v>
      </c>
      <c r="H4637" s="15">
        <v>0</v>
      </c>
    </row>
    <row r="4638" spans="2:8">
      <c r="B4638" s="17" t="s">
        <v>10581</v>
      </c>
      <c r="C4638" s="246" t="s">
        <v>4903</v>
      </c>
      <c r="D4638" s="18">
        <v>0</v>
      </c>
      <c r="E4638" s="18">
        <v>0</v>
      </c>
      <c r="F4638" s="18">
        <v>0</v>
      </c>
      <c r="G4638" s="18">
        <v>0</v>
      </c>
      <c r="H4638" s="18">
        <v>0</v>
      </c>
    </row>
    <row r="4639" spans="2:8">
      <c r="B4639" s="14" t="s">
        <v>10582</v>
      </c>
      <c r="C4639" s="245" t="s">
        <v>4904</v>
      </c>
      <c r="D4639" s="15">
        <v>0</v>
      </c>
      <c r="E4639" s="15">
        <v>0</v>
      </c>
      <c r="F4639" s="15">
        <v>0</v>
      </c>
      <c r="G4639" s="15">
        <v>0</v>
      </c>
      <c r="H4639" s="15">
        <v>0</v>
      </c>
    </row>
    <row r="4640" spans="2:8">
      <c r="B4640" s="17" t="s">
        <v>10583</v>
      </c>
      <c r="C4640" s="246" t="s">
        <v>4905</v>
      </c>
      <c r="D4640" s="18">
        <v>0</v>
      </c>
      <c r="E4640" s="18">
        <v>0</v>
      </c>
      <c r="F4640" s="18">
        <v>0</v>
      </c>
      <c r="G4640" s="18">
        <v>0</v>
      </c>
      <c r="H4640" s="18">
        <v>0</v>
      </c>
    </row>
    <row r="4641" spans="2:8">
      <c r="B4641" s="14" t="s">
        <v>10584</v>
      </c>
      <c r="C4641" s="245" t="s">
        <v>4906</v>
      </c>
      <c r="D4641" s="15">
        <v>0</v>
      </c>
      <c r="E4641" s="15">
        <v>0</v>
      </c>
      <c r="F4641" s="15">
        <v>0</v>
      </c>
      <c r="G4641" s="15">
        <v>0</v>
      </c>
      <c r="H4641" s="15">
        <v>0</v>
      </c>
    </row>
    <row r="4642" spans="2:8">
      <c r="B4642" s="17" t="s">
        <v>10585</v>
      </c>
      <c r="C4642" s="246" t="s">
        <v>4907</v>
      </c>
      <c r="D4642" s="18">
        <v>7</v>
      </c>
      <c r="E4642" s="18">
        <v>0</v>
      </c>
      <c r="F4642" s="18">
        <v>0</v>
      </c>
      <c r="G4642" s="18">
        <v>0</v>
      </c>
      <c r="H4642" s="18">
        <v>0</v>
      </c>
    </row>
    <row r="4643" spans="2:8">
      <c r="B4643" s="14" t="s">
        <v>10586</v>
      </c>
      <c r="C4643" s="245" t="s">
        <v>4908</v>
      </c>
      <c r="D4643" s="15">
        <v>4</v>
      </c>
      <c r="E4643" s="15">
        <v>0</v>
      </c>
      <c r="F4643" s="15">
        <v>0</v>
      </c>
      <c r="G4643" s="15">
        <v>0</v>
      </c>
      <c r="H4643" s="15">
        <v>0</v>
      </c>
    </row>
    <row r="4644" spans="2:8">
      <c r="B4644" s="17" t="s">
        <v>10587</v>
      </c>
      <c r="C4644" s="246" t="s">
        <v>4909</v>
      </c>
      <c r="D4644" s="18">
        <v>0</v>
      </c>
      <c r="E4644" s="18">
        <v>0</v>
      </c>
      <c r="F4644" s="18">
        <v>0</v>
      </c>
      <c r="G4644" s="18">
        <v>0</v>
      </c>
      <c r="H4644" s="18">
        <v>0</v>
      </c>
    </row>
    <row r="4645" spans="2:8">
      <c r="B4645" s="14" t="s">
        <v>10588</v>
      </c>
      <c r="C4645" s="245" t="s">
        <v>4910</v>
      </c>
      <c r="D4645" s="15">
        <v>0</v>
      </c>
      <c r="E4645" s="15">
        <v>0</v>
      </c>
      <c r="F4645" s="15">
        <v>0</v>
      </c>
      <c r="G4645" s="15">
        <v>0</v>
      </c>
      <c r="H4645" s="15">
        <v>0</v>
      </c>
    </row>
    <row r="4646" spans="2:8">
      <c r="B4646" s="17" t="s">
        <v>10589</v>
      </c>
      <c r="C4646" s="246" t="s">
        <v>4911</v>
      </c>
      <c r="D4646" s="18">
        <v>0</v>
      </c>
      <c r="E4646" s="18">
        <v>0</v>
      </c>
      <c r="F4646" s="18">
        <v>0</v>
      </c>
      <c r="G4646" s="18">
        <v>0</v>
      </c>
      <c r="H4646" s="18">
        <v>0</v>
      </c>
    </row>
    <row r="4647" spans="2:8">
      <c r="B4647" s="14" t="s">
        <v>10590</v>
      </c>
      <c r="C4647" s="245" t="s">
        <v>4912</v>
      </c>
      <c r="D4647" s="15">
        <v>0</v>
      </c>
      <c r="E4647" s="15">
        <v>0</v>
      </c>
      <c r="F4647" s="15">
        <v>0</v>
      </c>
      <c r="G4647" s="15">
        <v>0</v>
      </c>
      <c r="H4647" s="15">
        <v>0</v>
      </c>
    </row>
    <row r="4648" spans="2:8">
      <c r="B4648" s="17" t="s">
        <v>10591</v>
      </c>
      <c r="C4648" s="246" t="s">
        <v>4913</v>
      </c>
      <c r="D4648" s="18">
        <v>7</v>
      </c>
      <c r="E4648" s="18">
        <v>0</v>
      </c>
      <c r="F4648" s="18">
        <v>0</v>
      </c>
      <c r="G4648" s="18">
        <v>0</v>
      </c>
      <c r="H4648" s="18">
        <v>0</v>
      </c>
    </row>
    <row r="4649" spans="2:8">
      <c r="B4649" s="14" t="s">
        <v>10592</v>
      </c>
      <c r="C4649" s="245" t="s">
        <v>4914</v>
      </c>
      <c r="D4649" s="15">
        <v>0</v>
      </c>
      <c r="E4649" s="15">
        <v>0</v>
      </c>
      <c r="F4649" s="15">
        <v>0</v>
      </c>
      <c r="G4649" s="15">
        <v>0</v>
      </c>
      <c r="H4649" s="15">
        <v>0</v>
      </c>
    </row>
    <row r="4650" spans="2:8">
      <c r="B4650" s="17" t="s">
        <v>10593</v>
      </c>
      <c r="C4650" s="246" t="s">
        <v>4915</v>
      </c>
      <c r="D4650" s="18">
        <v>0</v>
      </c>
      <c r="E4650" s="18">
        <v>0</v>
      </c>
      <c r="F4650" s="18">
        <v>0</v>
      </c>
      <c r="G4650" s="18">
        <v>0</v>
      </c>
      <c r="H4650" s="18">
        <v>0</v>
      </c>
    </row>
    <row r="4651" spans="2:8">
      <c r="B4651" s="14" t="s">
        <v>10594</v>
      </c>
      <c r="C4651" s="245" t="s">
        <v>4916</v>
      </c>
      <c r="D4651" s="15">
        <v>4</v>
      </c>
      <c r="E4651" s="15">
        <v>0</v>
      </c>
      <c r="F4651" s="15">
        <v>0</v>
      </c>
      <c r="G4651" s="15">
        <v>0</v>
      </c>
      <c r="H4651" s="15">
        <v>0</v>
      </c>
    </row>
    <row r="4652" spans="2:8">
      <c r="B4652" s="17" t="s">
        <v>10595</v>
      </c>
      <c r="C4652" s="246" t="s">
        <v>4917</v>
      </c>
      <c r="D4652" s="18">
        <v>0</v>
      </c>
      <c r="E4652" s="18">
        <v>0</v>
      </c>
      <c r="F4652" s="18">
        <v>0</v>
      </c>
      <c r="G4652" s="18">
        <v>0</v>
      </c>
      <c r="H4652" s="18">
        <v>0</v>
      </c>
    </row>
    <row r="4653" spans="2:8">
      <c r="B4653" s="14" t="s">
        <v>10596</v>
      </c>
      <c r="C4653" s="245" t="s">
        <v>4918</v>
      </c>
      <c r="D4653" s="15">
        <v>0</v>
      </c>
      <c r="E4653" s="15">
        <v>0</v>
      </c>
      <c r="F4653" s="15">
        <v>0</v>
      </c>
      <c r="G4653" s="15">
        <v>0</v>
      </c>
      <c r="H4653" s="15">
        <v>0</v>
      </c>
    </row>
    <row r="4654" spans="2:8">
      <c r="B4654" s="17" t="s">
        <v>10597</v>
      </c>
      <c r="C4654" s="246" t="s">
        <v>4919</v>
      </c>
      <c r="D4654" s="18">
        <v>0</v>
      </c>
      <c r="E4654" s="18">
        <v>0</v>
      </c>
      <c r="F4654" s="18">
        <v>0</v>
      </c>
      <c r="G4654" s="18">
        <v>0</v>
      </c>
      <c r="H4654" s="18">
        <v>0</v>
      </c>
    </row>
    <row r="4655" spans="2:8">
      <c r="B4655" s="14" t="s">
        <v>10598</v>
      </c>
      <c r="C4655" s="245" t="s">
        <v>4920</v>
      </c>
      <c r="D4655" s="15">
        <v>0</v>
      </c>
      <c r="E4655" s="15">
        <v>0</v>
      </c>
      <c r="F4655" s="15">
        <v>0</v>
      </c>
      <c r="G4655" s="15">
        <v>0</v>
      </c>
      <c r="H4655" s="15">
        <v>0</v>
      </c>
    </row>
    <row r="4656" spans="2:8">
      <c r="B4656" s="17" t="s">
        <v>10599</v>
      </c>
      <c r="C4656" s="246" t="s">
        <v>2868</v>
      </c>
      <c r="D4656" s="18">
        <v>0</v>
      </c>
      <c r="E4656" s="18">
        <v>0</v>
      </c>
      <c r="F4656" s="18">
        <v>0</v>
      </c>
      <c r="G4656" s="18">
        <v>0</v>
      </c>
      <c r="H4656" s="18">
        <v>0</v>
      </c>
    </row>
    <row r="4657" spans="2:8">
      <c r="B4657" s="14" t="s">
        <v>10600</v>
      </c>
      <c r="C4657" s="245" t="s">
        <v>4921</v>
      </c>
      <c r="D4657" s="15">
        <v>0</v>
      </c>
      <c r="E4657" s="15">
        <v>0</v>
      </c>
      <c r="F4657" s="15">
        <v>0</v>
      </c>
      <c r="G4657" s="15">
        <v>0</v>
      </c>
      <c r="H4657" s="15">
        <v>0</v>
      </c>
    </row>
    <row r="4658" spans="2:8">
      <c r="B4658" s="17" t="s">
        <v>10601</v>
      </c>
      <c r="C4658" s="246" t="s">
        <v>4922</v>
      </c>
      <c r="D4658" s="18">
        <v>0</v>
      </c>
      <c r="E4658" s="18">
        <v>0</v>
      </c>
      <c r="F4658" s="18">
        <v>0</v>
      </c>
      <c r="G4658" s="18">
        <v>0</v>
      </c>
      <c r="H4658" s="18">
        <v>0</v>
      </c>
    </row>
    <row r="4659" spans="2:8">
      <c r="B4659" s="14" t="s">
        <v>10602</v>
      </c>
      <c r="C4659" s="245" t="s">
        <v>3885</v>
      </c>
      <c r="D4659" s="15">
        <v>0</v>
      </c>
      <c r="E4659" s="15">
        <v>0</v>
      </c>
      <c r="F4659" s="15">
        <v>0</v>
      </c>
      <c r="G4659" s="15">
        <v>0</v>
      </c>
      <c r="H4659" s="15">
        <v>0</v>
      </c>
    </row>
    <row r="4660" spans="2:8">
      <c r="B4660" s="17" t="s">
        <v>10603</v>
      </c>
      <c r="C4660" s="246" t="s">
        <v>4923</v>
      </c>
      <c r="D4660" s="18">
        <v>0</v>
      </c>
      <c r="E4660" s="18">
        <v>0</v>
      </c>
      <c r="F4660" s="18">
        <v>0</v>
      </c>
      <c r="G4660" s="18">
        <v>0</v>
      </c>
      <c r="H4660" s="18">
        <v>0</v>
      </c>
    </row>
    <row r="4661" spans="2:8">
      <c r="B4661" s="14" t="s">
        <v>10604</v>
      </c>
      <c r="C4661" s="245" t="s">
        <v>4924</v>
      </c>
      <c r="D4661" s="15">
        <v>0</v>
      </c>
      <c r="E4661" s="15">
        <v>0</v>
      </c>
      <c r="F4661" s="15">
        <v>0</v>
      </c>
      <c r="G4661" s="15">
        <v>0</v>
      </c>
      <c r="H4661" s="15">
        <v>0</v>
      </c>
    </row>
    <row r="4662" spans="2:8">
      <c r="B4662" s="17" t="s">
        <v>10605</v>
      </c>
      <c r="C4662" s="246" t="s">
        <v>4925</v>
      </c>
      <c r="D4662" s="18">
        <v>0</v>
      </c>
      <c r="E4662" s="18">
        <v>0</v>
      </c>
      <c r="F4662" s="18">
        <v>0</v>
      </c>
      <c r="G4662" s="18">
        <v>0</v>
      </c>
      <c r="H4662" s="18">
        <v>0</v>
      </c>
    </row>
    <row r="4663" spans="2:8">
      <c r="B4663" s="14" t="s">
        <v>10606</v>
      </c>
      <c r="C4663" s="245" t="s">
        <v>4926</v>
      </c>
      <c r="D4663" s="15">
        <v>0</v>
      </c>
      <c r="E4663" s="15">
        <v>11</v>
      </c>
      <c r="F4663" s="15">
        <v>0</v>
      </c>
      <c r="G4663" s="15">
        <v>0</v>
      </c>
      <c r="H4663" s="15">
        <v>0</v>
      </c>
    </row>
    <row r="4664" spans="2:8">
      <c r="B4664" s="17" t="s">
        <v>10607</v>
      </c>
      <c r="C4664" s="246" t="s">
        <v>4927</v>
      </c>
      <c r="D4664" s="18">
        <v>0</v>
      </c>
      <c r="E4664" s="18">
        <v>0</v>
      </c>
      <c r="F4664" s="18">
        <v>0</v>
      </c>
      <c r="G4664" s="18">
        <v>0</v>
      </c>
      <c r="H4664" s="18">
        <v>0</v>
      </c>
    </row>
    <row r="4665" spans="2:8">
      <c r="B4665" s="14" t="s">
        <v>10608</v>
      </c>
      <c r="C4665" s="245" t="s">
        <v>4928</v>
      </c>
      <c r="D4665" s="15">
        <v>0</v>
      </c>
      <c r="E4665" s="15">
        <v>4</v>
      </c>
      <c r="F4665" s="15">
        <v>0</v>
      </c>
      <c r="G4665" s="15">
        <v>0</v>
      </c>
      <c r="H4665" s="15">
        <v>0</v>
      </c>
    </row>
    <row r="4666" spans="2:8">
      <c r="B4666" s="17" t="s">
        <v>10609</v>
      </c>
      <c r="C4666" s="246" t="s">
        <v>4929</v>
      </c>
      <c r="D4666" s="18">
        <v>0</v>
      </c>
      <c r="E4666" s="18">
        <v>0</v>
      </c>
      <c r="F4666" s="18">
        <v>0</v>
      </c>
      <c r="G4666" s="18">
        <v>0</v>
      </c>
      <c r="H4666" s="18">
        <v>0</v>
      </c>
    </row>
    <row r="4667" spans="2:8">
      <c r="B4667" s="14" t="s">
        <v>10610</v>
      </c>
      <c r="C4667" s="245" t="s">
        <v>4930</v>
      </c>
      <c r="D4667" s="15">
        <v>0</v>
      </c>
      <c r="E4667" s="15">
        <v>0</v>
      </c>
      <c r="F4667" s="15">
        <v>0</v>
      </c>
      <c r="G4667" s="15">
        <v>0</v>
      </c>
      <c r="H4667" s="15">
        <v>0</v>
      </c>
    </row>
    <row r="4668" spans="2:8">
      <c r="B4668" s="17" t="s">
        <v>10611</v>
      </c>
      <c r="C4668" s="246" t="s">
        <v>4931</v>
      </c>
      <c r="D4668" s="18">
        <v>0</v>
      </c>
      <c r="E4668" s="18">
        <v>0</v>
      </c>
      <c r="F4668" s="18">
        <v>0</v>
      </c>
      <c r="G4668" s="18">
        <v>0</v>
      </c>
      <c r="H4668" s="18">
        <v>0</v>
      </c>
    </row>
    <row r="4669" spans="2:8">
      <c r="B4669" s="14" t="s">
        <v>10612</v>
      </c>
      <c r="C4669" s="245" t="s">
        <v>4932</v>
      </c>
      <c r="D4669" s="15">
        <v>0</v>
      </c>
      <c r="E4669" s="15">
        <v>0</v>
      </c>
      <c r="F4669" s="15">
        <v>0</v>
      </c>
      <c r="G4669" s="15">
        <v>0</v>
      </c>
      <c r="H4669" s="15">
        <v>0</v>
      </c>
    </row>
    <row r="4670" spans="2:8">
      <c r="B4670" s="17" t="s">
        <v>10613</v>
      </c>
      <c r="C4670" s="246" t="s">
        <v>4933</v>
      </c>
      <c r="D4670" s="18">
        <v>0</v>
      </c>
      <c r="E4670" s="18">
        <v>0</v>
      </c>
      <c r="F4670" s="18">
        <v>0</v>
      </c>
      <c r="G4670" s="18">
        <v>0</v>
      </c>
      <c r="H4670" s="18">
        <v>0</v>
      </c>
    </row>
    <row r="4671" spans="2:8">
      <c r="B4671" s="14" t="s">
        <v>10614</v>
      </c>
      <c r="C4671" s="245" t="s">
        <v>4934</v>
      </c>
      <c r="D4671" s="15">
        <v>0</v>
      </c>
      <c r="E4671" s="15">
        <v>0</v>
      </c>
      <c r="F4671" s="15">
        <v>0</v>
      </c>
      <c r="G4671" s="15">
        <v>0</v>
      </c>
      <c r="H4671" s="15">
        <v>0</v>
      </c>
    </row>
    <row r="4672" spans="2:8">
      <c r="B4672" s="17" t="s">
        <v>10615</v>
      </c>
      <c r="C4672" s="246" t="s">
        <v>4935</v>
      </c>
      <c r="D4672" s="18">
        <v>0</v>
      </c>
      <c r="E4672" s="18">
        <v>0</v>
      </c>
      <c r="F4672" s="18">
        <v>0</v>
      </c>
      <c r="G4672" s="18">
        <v>0</v>
      </c>
      <c r="H4672" s="18">
        <v>0</v>
      </c>
    </row>
    <row r="4673" spans="2:8">
      <c r="B4673" s="14" t="s">
        <v>10616</v>
      </c>
      <c r="C4673" s="245" t="s">
        <v>4936</v>
      </c>
      <c r="D4673" s="15">
        <v>0</v>
      </c>
      <c r="E4673" s="15">
        <v>0</v>
      </c>
      <c r="F4673" s="15">
        <v>0</v>
      </c>
      <c r="G4673" s="15">
        <v>0</v>
      </c>
      <c r="H4673" s="15">
        <v>0</v>
      </c>
    </row>
    <row r="4674" spans="2:8">
      <c r="B4674" s="17" t="s">
        <v>10617</v>
      </c>
      <c r="C4674" s="246" t="s">
        <v>4937</v>
      </c>
      <c r="D4674" s="18">
        <v>0</v>
      </c>
      <c r="E4674" s="18">
        <v>0</v>
      </c>
      <c r="F4674" s="18">
        <v>0</v>
      </c>
      <c r="G4674" s="18">
        <v>0</v>
      </c>
      <c r="H4674" s="18">
        <v>0</v>
      </c>
    </row>
    <row r="4675" spans="2:8">
      <c r="B4675" s="14" t="s">
        <v>10618</v>
      </c>
      <c r="C4675" s="245" t="s">
        <v>4938</v>
      </c>
      <c r="D4675" s="15">
        <v>0</v>
      </c>
      <c r="E4675" s="15">
        <v>10</v>
      </c>
      <c r="F4675" s="15">
        <v>0</v>
      </c>
      <c r="G4675" s="15">
        <v>0</v>
      </c>
      <c r="H4675" s="15">
        <v>0</v>
      </c>
    </row>
    <row r="4676" spans="2:8">
      <c r="B4676" s="17" t="s">
        <v>10619</v>
      </c>
      <c r="C4676" s="246" t="s">
        <v>4939</v>
      </c>
      <c r="D4676" s="18">
        <v>0</v>
      </c>
      <c r="E4676" s="18">
        <v>0</v>
      </c>
      <c r="F4676" s="18">
        <v>0</v>
      </c>
      <c r="G4676" s="18">
        <v>0</v>
      </c>
      <c r="H4676" s="18">
        <v>0</v>
      </c>
    </row>
    <row r="4677" spans="2:8">
      <c r="B4677" s="14" t="s">
        <v>10620</v>
      </c>
      <c r="C4677" s="245" t="s">
        <v>4940</v>
      </c>
      <c r="D4677" s="15">
        <v>0</v>
      </c>
      <c r="E4677" s="15">
        <v>0</v>
      </c>
      <c r="F4677" s="15">
        <v>0</v>
      </c>
      <c r="G4677" s="15">
        <v>0</v>
      </c>
      <c r="H4677" s="15">
        <v>0</v>
      </c>
    </row>
    <row r="4678" spans="2:8">
      <c r="B4678" s="17" t="s">
        <v>10621</v>
      </c>
      <c r="C4678" s="246" t="s">
        <v>4941</v>
      </c>
      <c r="D4678" s="18">
        <v>0</v>
      </c>
      <c r="E4678" s="18">
        <v>0</v>
      </c>
      <c r="F4678" s="18">
        <v>0</v>
      </c>
      <c r="G4678" s="18">
        <v>0</v>
      </c>
      <c r="H4678" s="18">
        <v>0</v>
      </c>
    </row>
    <row r="4679" spans="2:8">
      <c r="B4679" s="14" t="s">
        <v>10622</v>
      </c>
      <c r="C4679" s="245" t="s">
        <v>4942</v>
      </c>
      <c r="D4679" s="15">
        <v>0</v>
      </c>
      <c r="E4679" s="15">
        <v>0</v>
      </c>
      <c r="F4679" s="15">
        <v>0</v>
      </c>
      <c r="G4679" s="15">
        <v>0</v>
      </c>
      <c r="H4679" s="15">
        <v>0</v>
      </c>
    </row>
    <row r="4680" spans="2:8">
      <c r="B4680" s="17" t="s">
        <v>10623</v>
      </c>
      <c r="C4680" s="246" t="s">
        <v>4943</v>
      </c>
      <c r="D4680" s="18">
        <v>0</v>
      </c>
      <c r="E4680" s="18">
        <v>0</v>
      </c>
      <c r="F4680" s="18">
        <v>0</v>
      </c>
      <c r="G4680" s="18">
        <v>0</v>
      </c>
      <c r="H4680" s="18">
        <v>0</v>
      </c>
    </row>
    <row r="4681" spans="2:8">
      <c r="B4681" s="14" t="s">
        <v>10624</v>
      </c>
      <c r="C4681" s="245" t="s">
        <v>4944</v>
      </c>
      <c r="D4681" s="15">
        <v>0</v>
      </c>
      <c r="E4681" s="15">
        <v>0</v>
      </c>
      <c r="F4681" s="15">
        <v>0</v>
      </c>
      <c r="G4681" s="15">
        <v>0</v>
      </c>
      <c r="H4681" s="15">
        <v>0</v>
      </c>
    </row>
    <row r="4682" spans="2:8">
      <c r="B4682" s="17" t="s">
        <v>10625</v>
      </c>
      <c r="C4682" s="246" t="s">
        <v>4945</v>
      </c>
      <c r="D4682" s="18">
        <v>0</v>
      </c>
      <c r="E4682" s="18">
        <v>0</v>
      </c>
      <c r="F4682" s="18">
        <v>0</v>
      </c>
      <c r="G4682" s="18">
        <v>0</v>
      </c>
      <c r="H4682" s="18">
        <v>0</v>
      </c>
    </row>
    <row r="4683" spans="2:8">
      <c r="B4683" s="14" t="s">
        <v>10626</v>
      </c>
      <c r="C4683" s="245" t="s">
        <v>4946</v>
      </c>
      <c r="D4683" s="15">
        <v>0</v>
      </c>
      <c r="E4683" s="15">
        <v>0</v>
      </c>
      <c r="F4683" s="15">
        <v>0</v>
      </c>
      <c r="G4683" s="15">
        <v>0</v>
      </c>
      <c r="H4683" s="15">
        <v>0</v>
      </c>
    </row>
    <row r="4684" spans="2:8">
      <c r="B4684" s="17" t="s">
        <v>10627</v>
      </c>
      <c r="C4684" s="246" t="s">
        <v>4947</v>
      </c>
      <c r="D4684" s="18">
        <v>0</v>
      </c>
      <c r="E4684" s="18">
        <v>0</v>
      </c>
      <c r="F4684" s="18">
        <v>0</v>
      </c>
      <c r="G4684" s="18">
        <v>0</v>
      </c>
      <c r="H4684" s="18">
        <v>0</v>
      </c>
    </row>
    <row r="4685" spans="2:8">
      <c r="B4685" s="14" t="s">
        <v>10628</v>
      </c>
      <c r="C4685" s="245" t="s">
        <v>4948</v>
      </c>
      <c r="D4685" s="15">
        <v>0</v>
      </c>
      <c r="E4685" s="15">
        <v>0</v>
      </c>
      <c r="F4685" s="15">
        <v>0</v>
      </c>
      <c r="G4685" s="15">
        <v>0</v>
      </c>
      <c r="H4685" s="15">
        <v>0</v>
      </c>
    </row>
    <row r="4686" spans="2:8">
      <c r="B4686" s="17" t="s">
        <v>10629</v>
      </c>
      <c r="C4686" s="246" t="s">
        <v>4949</v>
      </c>
      <c r="D4686" s="18">
        <v>0</v>
      </c>
      <c r="E4686" s="18">
        <v>0</v>
      </c>
      <c r="F4686" s="18">
        <v>0</v>
      </c>
      <c r="G4686" s="18">
        <v>0</v>
      </c>
      <c r="H4686" s="18">
        <v>0</v>
      </c>
    </row>
    <row r="4687" spans="2:8">
      <c r="B4687" s="14" t="s">
        <v>10630</v>
      </c>
      <c r="C4687" s="245" t="s">
        <v>1532</v>
      </c>
      <c r="D4687" s="15">
        <v>0</v>
      </c>
      <c r="E4687" s="15">
        <v>0</v>
      </c>
      <c r="F4687" s="15">
        <v>0</v>
      </c>
      <c r="G4687" s="15">
        <v>0</v>
      </c>
      <c r="H4687" s="15">
        <v>0</v>
      </c>
    </row>
    <row r="4688" spans="2:8">
      <c r="B4688" s="17" t="s">
        <v>10631</v>
      </c>
      <c r="C4688" s="246" t="s">
        <v>4950</v>
      </c>
      <c r="D4688" s="18">
        <v>0</v>
      </c>
      <c r="E4688" s="18">
        <v>0</v>
      </c>
      <c r="F4688" s="18">
        <v>0</v>
      </c>
      <c r="G4688" s="18">
        <v>0</v>
      </c>
      <c r="H4688" s="18">
        <v>0</v>
      </c>
    </row>
    <row r="4689" spans="2:8">
      <c r="B4689" s="14" t="s">
        <v>10632</v>
      </c>
      <c r="C4689" s="245" t="s">
        <v>4951</v>
      </c>
      <c r="D4689" s="15">
        <v>0</v>
      </c>
      <c r="E4689" s="15">
        <v>0</v>
      </c>
      <c r="F4689" s="15">
        <v>0</v>
      </c>
      <c r="G4689" s="15">
        <v>0</v>
      </c>
      <c r="H4689" s="15">
        <v>0</v>
      </c>
    </row>
    <row r="4690" spans="2:8">
      <c r="B4690" s="17" t="s">
        <v>10633</v>
      </c>
      <c r="C4690" s="246" t="s">
        <v>4952</v>
      </c>
      <c r="D4690" s="18">
        <v>28</v>
      </c>
      <c r="E4690" s="18">
        <v>17</v>
      </c>
      <c r="F4690" s="18">
        <v>0</v>
      </c>
      <c r="G4690" s="18">
        <v>3</v>
      </c>
      <c r="H4690" s="18">
        <v>0</v>
      </c>
    </row>
    <row r="4691" spans="2:8">
      <c r="B4691" s="14" t="s">
        <v>10634</v>
      </c>
      <c r="C4691" s="245" t="s">
        <v>2259</v>
      </c>
      <c r="D4691" s="15">
        <v>42</v>
      </c>
      <c r="E4691" s="15">
        <v>46</v>
      </c>
      <c r="F4691" s="15">
        <v>0</v>
      </c>
      <c r="G4691" s="15">
        <v>3</v>
      </c>
      <c r="H4691" s="15">
        <v>0</v>
      </c>
    </row>
    <row r="4692" spans="2:8">
      <c r="B4692" s="17" t="s">
        <v>10635</v>
      </c>
      <c r="C4692" s="246" t="s">
        <v>4953</v>
      </c>
      <c r="D4692" s="18">
        <v>0</v>
      </c>
      <c r="E4692" s="18">
        <v>0</v>
      </c>
      <c r="F4692" s="18">
        <v>0</v>
      </c>
      <c r="G4692" s="18">
        <v>0</v>
      </c>
      <c r="H4692" s="18">
        <v>0</v>
      </c>
    </row>
    <row r="4693" spans="2:8">
      <c r="B4693" s="14" t="s">
        <v>10636</v>
      </c>
      <c r="C4693" s="245" t="s">
        <v>4954</v>
      </c>
      <c r="D4693" s="15">
        <v>0</v>
      </c>
      <c r="E4693" s="15">
        <v>0</v>
      </c>
      <c r="F4693" s="15">
        <v>0</v>
      </c>
      <c r="G4693" s="15">
        <v>0</v>
      </c>
      <c r="H4693" s="15">
        <v>0</v>
      </c>
    </row>
    <row r="4694" spans="2:8">
      <c r="B4694" s="17" t="s">
        <v>10637</v>
      </c>
      <c r="C4694" s="246" t="s">
        <v>4955</v>
      </c>
      <c r="D4694" s="18">
        <v>0</v>
      </c>
      <c r="E4694" s="18">
        <v>0</v>
      </c>
      <c r="F4694" s="18">
        <v>0</v>
      </c>
      <c r="G4694" s="18">
        <v>0</v>
      </c>
      <c r="H4694" s="18">
        <v>0</v>
      </c>
    </row>
    <row r="4695" spans="2:8">
      <c r="B4695" s="14" t="s">
        <v>10638</v>
      </c>
      <c r="C4695" s="245" t="s">
        <v>4956</v>
      </c>
      <c r="D4695" s="15">
        <v>0</v>
      </c>
      <c r="E4695" s="15">
        <v>0</v>
      </c>
      <c r="F4695" s="15">
        <v>0</v>
      </c>
      <c r="G4695" s="15">
        <v>0</v>
      </c>
      <c r="H4695" s="15">
        <v>0</v>
      </c>
    </row>
    <row r="4696" spans="2:8">
      <c r="B4696" s="17" t="s">
        <v>10639</v>
      </c>
      <c r="C4696" s="246" t="s">
        <v>4957</v>
      </c>
      <c r="D4696" s="18">
        <v>0</v>
      </c>
      <c r="E4696" s="18">
        <v>0</v>
      </c>
      <c r="F4696" s="18">
        <v>0</v>
      </c>
      <c r="G4696" s="18">
        <v>0</v>
      </c>
      <c r="H4696" s="18">
        <v>0</v>
      </c>
    </row>
    <row r="4697" spans="2:8">
      <c r="B4697" s="14" t="s">
        <v>10640</v>
      </c>
      <c r="C4697" s="245" t="s">
        <v>4958</v>
      </c>
      <c r="D4697" s="15">
        <v>0</v>
      </c>
      <c r="E4697" s="15">
        <v>0</v>
      </c>
      <c r="F4697" s="15">
        <v>0</v>
      </c>
      <c r="G4697" s="15">
        <v>0</v>
      </c>
      <c r="H4697" s="15">
        <v>0</v>
      </c>
    </row>
    <row r="4698" spans="2:8">
      <c r="B4698" s="17" t="s">
        <v>10641</v>
      </c>
      <c r="C4698" s="246" t="s">
        <v>4959</v>
      </c>
      <c r="D4698" s="18">
        <v>0</v>
      </c>
      <c r="E4698" s="18">
        <v>0</v>
      </c>
      <c r="F4698" s="18">
        <v>0</v>
      </c>
      <c r="G4698" s="18">
        <v>0</v>
      </c>
      <c r="H4698" s="18">
        <v>0</v>
      </c>
    </row>
    <row r="4699" spans="2:8">
      <c r="B4699" s="14" t="s">
        <v>10642</v>
      </c>
      <c r="C4699" s="245" t="s">
        <v>4960</v>
      </c>
      <c r="D4699" s="15">
        <v>0</v>
      </c>
      <c r="E4699" s="15">
        <v>0</v>
      </c>
      <c r="F4699" s="15">
        <v>0</v>
      </c>
      <c r="G4699" s="15">
        <v>0</v>
      </c>
      <c r="H4699" s="15">
        <v>0</v>
      </c>
    </row>
    <row r="4700" spans="2:8">
      <c r="B4700" s="17" t="s">
        <v>10643</v>
      </c>
      <c r="C4700" s="246" t="s">
        <v>4961</v>
      </c>
      <c r="D4700" s="18">
        <v>0</v>
      </c>
      <c r="E4700" s="18">
        <v>0</v>
      </c>
      <c r="F4700" s="18">
        <v>0</v>
      </c>
      <c r="G4700" s="18">
        <v>0</v>
      </c>
      <c r="H4700" s="18">
        <v>0</v>
      </c>
    </row>
    <row r="4701" spans="2:8">
      <c r="B4701" s="14" t="s">
        <v>10644</v>
      </c>
      <c r="C4701" s="245" t="s">
        <v>4962</v>
      </c>
      <c r="D4701" s="15">
        <v>0</v>
      </c>
      <c r="E4701" s="15">
        <v>0</v>
      </c>
      <c r="F4701" s="15">
        <v>0</v>
      </c>
      <c r="G4701" s="15">
        <v>0</v>
      </c>
      <c r="H4701" s="15">
        <v>0</v>
      </c>
    </row>
    <row r="4702" spans="2:8">
      <c r="B4702" s="17" t="s">
        <v>10645</v>
      </c>
      <c r="C4702" s="246" t="s">
        <v>4963</v>
      </c>
      <c r="D4702" s="18">
        <v>0</v>
      </c>
      <c r="E4702" s="18">
        <v>0</v>
      </c>
      <c r="F4702" s="18">
        <v>0</v>
      </c>
      <c r="G4702" s="18">
        <v>0</v>
      </c>
      <c r="H4702" s="18">
        <v>0</v>
      </c>
    </row>
    <row r="4703" spans="2:8">
      <c r="B4703" s="14" t="s">
        <v>10646</v>
      </c>
      <c r="C4703" s="245" t="s">
        <v>4964</v>
      </c>
      <c r="D4703" s="15">
        <v>0</v>
      </c>
      <c r="E4703" s="15">
        <v>36</v>
      </c>
      <c r="F4703" s="15">
        <v>0</v>
      </c>
      <c r="G4703" s="15">
        <v>0</v>
      </c>
      <c r="H4703" s="15">
        <v>0</v>
      </c>
    </row>
    <row r="4704" spans="2:8">
      <c r="B4704" s="17" t="s">
        <v>10647</v>
      </c>
      <c r="C4704" s="246" t="s">
        <v>4965</v>
      </c>
      <c r="D4704" s="18">
        <v>0</v>
      </c>
      <c r="E4704" s="18">
        <v>0</v>
      </c>
      <c r="F4704" s="18">
        <v>0</v>
      </c>
      <c r="G4704" s="18">
        <v>0</v>
      </c>
      <c r="H4704" s="18">
        <v>0</v>
      </c>
    </row>
    <row r="4705" spans="2:8">
      <c r="B4705" s="14" t="s">
        <v>10648</v>
      </c>
      <c r="C4705" s="245" t="s">
        <v>4966</v>
      </c>
      <c r="D4705" s="15">
        <v>0</v>
      </c>
      <c r="E4705" s="15">
        <v>0</v>
      </c>
      <c r="F4705" s="15">
        <v>0</v>
      </c>
      <c r="G4705" s="15">
        <v>0</v>
      </c>
      <c r="H4705" s="15">
        <v>0</v>
      </c>
    </row>
    <row r="4706" spans="2:8">
      <c r="B4706" s="17" t="s">
        <v>10649</v>
      </c>
      <c r="C4706" s="246" t="s">
        <v>4967</v>
      </c>
      <c r="D4706" s="18">
        <v>0</v>
      </c>
      <c r="E4706" s="18">
        <v>0</v>
      </c>
      <c r="F4706" s="18">
        <v>0</v>
      </c>
      <c r="G4706" s="18">
        <v>0</v>
      </c>
      <c r="H4706" s="18">
        <v>0</v>
      </c>
    </row>
    <row r="4707" spans="2:8">
      <c r="B4707" s="14" t="s">
        <v>10650</v>
      </c>
      <c r="C4707" s="245" t="s">
        <v>4968</v>
      </c>
      <c r="D4707" s="15">
        <v>34</v>
      </c>
      <c r="E4707" s="15">
        <v>0</v>
      </c>
      <c r="F4707" s="15">
        <v>0</v>
      </c>
      <c r="G4707" s="15">
        <v>36</v>
      </c>
      <c r="H4707" s="15">
        <v>0</v>
      </c>
    </row>
    <row r="4708" spans="2:8">
      <c r="B4708" s="17" t="s">
        <v>10651</v>
      </c>
      <c r="C4708" s="246" t="s">
        <v>4969</v>
      </c>
      <c r="D4708" s="18">
        <v>0</v>
      </c>
      <c r="E4708" s="18">
        <v>0</v>
      </c>
      <c r="F4708" s="18">
        <v>0</v>
      </c>
      <c r="G4708" s="18">
        <v>0</v>
      </c>
      <c r="H4708" s="18">
        <v>0</v>
      </c>
    </row>
    <row r="4709" spans="2:8">
      <c r="B4709" s="14" t="s">
        <v>10652</v>
      </c>
      <c r="C4709" s="245" t="s">
        <v>4970</v>
      </c>
      <c r="D4709" s="15">
        <v>0</v>
      </c>
      <c r="E4709" s="15">
        <v>0</v>
      </c>
      <c r="F4709" s="15">
        <v>0</v>
      </c>
      <c r="G4709" s="15">
        <v>0</v>
      </c>
      <c r="H4709" s="15">
        <v>0</v>
      </c>
    </row>
    <row r="4710" spans="2:8">
      <c r="B4710" s="17" t="s">
        <v>10653</v>
      </c>
      <c r="C4710" s="246" t="s">
        <v>4971</v>
      </c>
      <c r="D4710" s="18">
        <v>0</v>
      </c>
      <c r="E4710" s="18">
        <v>0</v>
      </c>
      <c r="F4710" s="18">
        <v>0</v>
      </c>
      <c r="G4710" s="18">
        <v>0</v>
      </c>
      <c r="H4710" s="18">
        <v>0</v>
      </c>
    </row>
    <row r="4711" spans="2:8">
      <c r="B4711" s="14" t="s">
        <v>10654</v>
      </c>
      <c r="C4711" s="245" t="s">
        <v>4972</v>
      </c>
      <c r="D4711" s="15">
        <v>2</v>
      </c>
      <c r="E4711" s="15">
        <v>0</v>
      </c>
      <c r="F4711" s="15">
        <v>0</v>
      </c>
      <c r="G4711" s="15">
        <v>0</v>
      </c>
      <c r="H4711" s="15">
        <v>0</v>
      </c>
    </row>
    <row r="4712" spans="2:8">
      <c r="B4712" s="17" t="s">
        <v>10655</v>
      </c>
      <c r="C4712" s="246" t="s">
        <v>4973</v>
      </c>
      <c r="D4712" s="18">
        <v>0</v>
      </c>
      <c r="E4712" s="18">
        <v>0</v>
      </c>
      <c r="F4712" s="18">
        <v>0</v>
      </c>
      <c r="G4712" s="18">
        <v>0</v>
      </c>
      <c r="H4712" s="18">
        <v>0</v>
      </c>
    </row>
    <row r="4713" spans="2:8">
      <c r="B4713" s="14" t="s">
        <v>10656</v>
      </c>
      <c r="C4713" s="245" t="s">
        <v>1878</v>
      </c>
      <c r="D4713" s="15">
        <v>0</v>
      </c>
      <c r="E4713" s="15">
        <v>0</v>
      </c>
      <c r="F4713" s="15">
        <v>0</v>
      </c>
      <c r="G4713" s="15">
        <v>0</v>
      </c>
      <c r="H4713" s="15">
        <v>0</v>
      </c>
    </row>
    <row r="4714" spans="2:8">
      <c r="B4714" s="17" t="s">
        <v>10657</v>
      </c>
      <c r="C4714" s="246" t="s">
        <v>4974</v>
      </c>
      <c r="D4714" s="18">
        <v>0</v>
      </c>
      <c r="E4714" s="18">
        <v>0</v>
      </c>
      <c r="F4714" s="18">
        <v>0</v>
      </c>
      <c r="G4714" s="18">
        <v>0</v>
      </c>
      <c r="H4714" s="18">
        <v>0</v>
      </c>
    </row>
    <row r="4715" spans="2:8">
      <c r="B4715" s="14" t="s">
        <v>10658</v>
      </c>
      <c r="C4715" s="245" t="s">
        <v>4975</v>
      </c>
      <c r="D4715" s="15">
        <v>0</v>
      </c>
      <c r="E4715" s="15">
        <v>0</v>
      </c>
      <c r="F4715" s="15">
        <v>0</v>
      </c>
      <c r="G4715" s="15">
        <v>0</v>
      </c>
      <c r="H4715" s="15">
        <v>0</v>
      </c>
    </row>
    <row r="4716" spans="2:8">
      <c r="B4716" s="17" t="s">
        <v>10659</v>
      </c>
      <c r="C4716" s="246" t="s">
        <v>1898</v>
      </c>
      <c r="D4716" s="18">
        <v>0</v>
      </c>
      <c r="E4716" s="18">
        <v>0</v>
      </c>
      <c r="F4716" s="18">
        <v>0</v>
      </c>
      <c r="G4716" s="18">
        <v>0</v>
      </c>
      <c r="H4716" s="18">
        <v>0</v>
      </c>
    </row>
    <row r="4717" spans="2:8">
      <c r="B4717" s="14" t="s">
        <v>10660</v>
      </c>
      <c r="C4717" s="245" t="s">
        <v>4976</v>
      </c>
      <c r="D4717" s="15">
        <v>0</v>
      </c>
      <c r="E4717" s="15">
        <v>0</v>
      </c>
      <c r="F4717" s="15">
        <v>1</v>
      </c>
      <c r="G4717" s="15">
        <v>726</v>
      </c>
      <c r="H4717" s="15">
        <v>0</v>
      </c>
    </row>
    <row r="4718" spans="2:8">
      <c r="B4718" s="17" t="s">
        <v>10661</v>
      </c>
      <c r="C4718" s="246" t="s">
        <v>4977</v>
      </c>
      <c r="D4718" s="18">
        <v>0</v>
      </c>
      <c r="E4718" s="18">
        <v>0</v>
      </c>
      <c r="F4718" s="18">
        <v>0</v>
      </c>
      <c r="G4718" s="18">
        <v>0</v>
      </c>
      <c r="H4718" s="18">
        <v>0</v>
      </c>
    </row>
    <row r="4719" spans="2:8">
      <c r="B4719" s="14" t="s">
        <v>10662</v>
      </c>
      <c r="C4719" s="245" t="s">
        <v>4978</v>
      </c>
      <c r="D4719" s="15">
        <v>0</v>
      </c>
      <c r="E4719" s="15">
        <v>0</v>
      </c>
      <c r="F4719" s="15">
        <v>0</v>
      </c>
      <c r="G4719" s="15">
        <v>0</v>
      </c>
      <c r="H4719" s="15">
        <v>0</v>
      </c>
    </row>
    <row r="4720" spans="2:8">
      <c r="B4720" s="17" t="s">
        <v>10663</v>
      </c>
      <c r="C4720" s="246" t="s">
        <v>4979</v>
      </c>
      <c r="D4720" s="18">
        <v>0</v>
      </c>
      <c r="E4720" s="18">
        <v>0</v>
      </c>
      <c r="F4720" s="18">
        <v>0</v>
      </c>
      <c r="G4720" s="18">
        <v>0</v>
      </c>
      <c r="H4720" s="18">
        <v>0</v>
      </c>
    </row>
    <row r="4721" spans="2:8">
      <c r="B4721" s="14" t="s">
        <v>10664</v>
      </c>
      <c r="C4721" s="245" t="s">
        <v>4980</v>
      </c>
      <c r="D4721" s="15">
        <v>0</v>
      </c>
      <c r="E4721" s="15">
        <v>0</v>
      </c>
      <c r="F4721" s="15">
        <v>0</v>
      </c>
      <c r="G4721" s="15">
        <v>0</v>
      </c>
      <c r="H4721" s="15">
        <v>0</v>
      </c>
    </row>
    <row r="4722" spans="2:8">
      <c r="B4722" s="17" t="s">
        <v>10665</v>
      </c>
      <c r="C4722" s="246" t="s">
        <v>4981</v>
      </c>
      <c r="D4722" s="18">
        <v>0</v>
      </c>
      <c r="E4722" s="18">
        <v>0</v>
      </c>
      <c r="F4722" s="18">
        <v>0</v>
      </c>
      <c r="G4722" s="18">
        <v>0</v>
      </c>
      <c r="H4722" s="18">
        <v>0</v>
      </c>
    </row>
    <row r="4723" spans="2:8">
      <c r="B4723" s="14" t="s">
        <v>10666</v>
      </c>
      <c r="C4723" s="245" t="s">
        <v>4982</v>
      </c>
      <c r="D4723" s="15">
        <v>0</v>
      </c>
      <c r="E4723" s="15">
        <v>0</v>
      </c>
      <c r="F4723" s="15">
        <v>0</v>
      </c>
      <c r="G4723" s="15">
        <v>0</v>
      </c>
      <c r="H4723" s="15">
        <v>0</v>
      </c>
    </row>
    <row r="4724" spans="2:8">
      <c r="B4724" s="17" t="s">
        <v>10667</v>
      </c>
      <c r="C4724" s="246" t="s">
        <v>4983</v>
      </c>
      <c r="D4724" s="18">
        <v>0</v>
      </c>
      <c r="E4724" s="18">
        <v>0</v>
      </c>
      <c r="F4724" s="18">
        <v>0</v>
      </c>
      <c r="G4724" s="18">
        <v>0</v>
      </c>
      <c r="H4724" s="18">
        <v>0</v>
      </c>
    </row>
    <row r="4725" spans="2:8">
      <c r="B4725" s="14" t="s">
        <v>10668</v>
      </c>
      <c r="C4725" s="245" t="s">
        <v>4984</v>
      </c>
      <c r="D4725" s="15">
        <v>0</v>
      </c>
      <c r="E4725" s="15">
        <v>8</v>
      </c>
      <c r="F4725" s="15">
        <v>0</v>
      </c>
      <c r="G4725" s="15">
        <v>0</v>
      </c>
      <c r="H4725" s="15">
        <v>0</v>
      </c>
    </row>
    <row r="4726" spans="2:8">
      <c r="B4726" s="17" t="s">
        <v>10669</v>
      </c>
      <c r="C4726" s="246" t="s">
        <v>4985</v>
      </c>
      <c r="D4726" s="18">
        <v>0</v>
      </c>
      <c r="E4726" s="18">
        <v>0</v>
      </c>
      <c r="F4726" s="18">
        <v>0</v>
      </c>
      <c r="G4726" s="18">
        <v>0</v>
      </c>
      <c r="H4726" s="18">
        <v>0</v>
      </c>
    </row>
    <row r="4727" spans="2:8">
      <c r="B4727" s="14" t="s">
        <v>10670</v>
      </c>
      <c r="C4727" s="245" t="s">
        <v>1876</v>
      </c>
      <c r="D4727" s="15">
        <v>0</v>
      </c>
      <c r="E4727" s="15">
        <v>0</v>
      </c>
      <c r="F4727" s="15">
        <v>0</v>
      </c>
      <c r="G4727" s="15">
        <v>0</v>
      </c>
      <c r="H4727" s="15">
        <v>0</v>
      </c>
    </row>
    <row r="4728" spans="2:8">
      <c r="B4728" s="17" t="s">
        <v>10671</v>
      </c>
      <c r="C4728" s="246" t="s">
        <v>4986</v>
      </c>
      <c r="D4728" s="18">
        <v>0</v>
      </c>
      <c r="E4728" s="18">
        <v>0</v>
      </c>
      <c r="F4728" s="18">
        <v>0</v>
      </c>
      <c r="G4728" s="18">
        <v>0</v>
      </c>
      <c r="H4728" s="18">
        <v>0</v>
      </c>
    </row>
    <row r="4729" spans="2:8">
      <c r="B4729" s="14" t="s">
        <v>10672</v>
      </c>
      <c r="C4729" s="245" t="s">
        <v>4987</v>
      </c>
      <c r="D4729" s="15">
        <v>0</v>
      </c>
      <c r="E4729" s="15">
        <v>0</v>
      </c>
      <c r="F4729" s="15">
        <v>0</v>
      </c>
      <c r="G4729" s="15">
        <v>0</v>
      </c>
      <c r="H4729" s="15">
        <v>0</v>
      </c>
    </row>
    <row r="4730" spans="2:8">
      <c r="B4730" s="17" t="s">
        <v>10673</v>
      </c>
      <c r="C4730" s="246" t="s">
        <v>4988</v>
      </c>
      <c r="D4730" s="18">
        <v>0</v>
      </c>
      <c r="E4730" s="18">
        <v>0</v>
      </c>
      <c r="F4730" s="18">
        <v>0</v>
      </c>
      <c r="G4730" s="18">
        <v>0</v>
      </c>
      <c r="H4730" s="18">
        <v>0</v>
      </c>
    </row>
    <row r="4731" spans="2:8">
      <c r="B4731" s="14" t="s">
        <v>10674</v>
      </c>
      <c r="C4731" s="245" t="s">
        <v>1873</v>
      </c>
      <c r="D4731" s="15">
        <v>0</v>
      </c>
      <c r="E4731" s="15">
        <v>0</v>
      </c>
      <c r="F4731" s="15">
        <v>6</v>
      </c>
      <c r="G4731" s="15">
        <v>0</v>
      </c>
      <c r="H4731" s="15">
        <v>0</v>
      </c>
    </row>
    <row r="4732" spans="2:8">
      <c r="B4732" s="17" t="s">
        <v>10675</v>
      </c>
      <c r="C4732" s="246" t="s">
        <v>4989</v>
      </c>
      <c r="D4732" s="18">
        <v>0</v>
      </c>
      <c r="E4732" s="18">
        <v>0</v>
      </c>
      <c r="F4732" s="18">
        <v>0</v>
      </c>
      <c r="G4732" s="18">
        <v>0</v>
      </c>
      <c r="H4732" s="18">
        <v>0</v>
      </c>
    </row>
    <row r="4733" spans="2:8">
      <c r="B4733" s="14" t="s">
        <v>10676</v>
      </c>
      <c r="C4733" s="245" t="s">
        <v>4990</v>
      </c>
      <c r="D4733" s="15">
        <v>0</v>
      </c>
      <c r="E4733" s="15">
        <v>0</v>
      </c>
      <c r="F4733" s="15">
        <v>0</v>
      </c>
      <c r="G4733" s="15">
        <v>0</v>
      </c>
      <c r="H4733" s="15">
        <v>0</v>
      </c>
    </row>
    <row r="4734" spans="2:8">
      <c r="B4734" s="17" t="s">
        <v>10677</v>
      </c>
      <c r="C4734" s="246" t="s">
        <v>4991</v>
      </c>
      <c r="D4734" s="18">
        <v>4</v>
      </c>
      <c r="E4734" s="18">
        <v>0</v>
      </c>
      <c r="F4734" s="18">
        <v>0</v>
      </c>
      <c r="G4734" s="18">
        <v>0</v>
      </c>
      <c r="H4734" s="18">
        <v>0</v>
      </c>
    </row>
    <row r="4735" spans="2:8">
      <c r="B4735" s="14" t="s">
        <v>10678</v>
      </c>
      <c r="C4735" s="245" t="s">
        <v>4992</v>
      </c>
      <c r="D4735" s="15">
        <v>0</v>
      </c>
      <c r="E4735" s="15">
        <v>0</v>
      </c>
      <c r="F4735" s="15">
        <v>0</v>
      </c>
      <c r="G4735" s="15">
        <v>0</v>
      </c>
      <c r="H4735" s="15">
        <v>0</v>
      </c>
    </row>
    <row r="4736" spans="2:8">
      <c r="B4736" s="17" t="s">
        <v>10679</v>
      </c>
      <c r="C4736" s="246" t="s">
        <v>4993</v>
      </c>
      <c r="D4736" s="18">
        <v>0</v>
      </c>
      <c r="E4736" s="18">
        <v>0</v>
      </c>
      <c r="F4736" s="18">
        <v>0</v>
      </c>
      <c r="G4736" s="18">
        <v>0</v>
      </c>
      <c r="H4736" s="18">
        <v>0</v>
      </c>
    </row>
    <row r="4737" spans="2:8">
      <c r="B4737" s="14" t="s">
        <v>10680</v>
      </c>
      <c r="C4737" s="245" t="s">
        <v>4994</v>
      </c>
      <c r="D4737" s="15">
        <v>0</v>
      </c>
      <c r="E4737" s="15">
        <v>0</v>
      </c>
      <c r="F4737" s="15">
        <v>0</v>
      </c>
      <c r="G4737" s="15">
        <v>0</v>
      </c>
      <c r="H4737" s="15">
        <v>0</v>
      </c>
    </row>
    <row r="4738" spans="2:8">
      <c r="B4738" s="17" t="s">
        <v>10681</v>
      </c>
      <c r="C4738" s="246" t="s">
        <v>4995</v>
      </c>
      <c r="D4738" s="18">
        <v>0</v>
      </c>
      <c r="E4738" s="18">
        <v>0</v>
      </c>
      <c r="F4738" s="18">
        <v>0</v>
      </c>
      <c r="G4738" s="18">
        <v>0</v>
      </c>
      <c r="H4738" s="18">
        <v>0</v>
      </c>
    </row>
    <row r="4739" spans="2:8">
      <c r="B4739" s="14" t="s">
        <v>10682</v>
      </c>
      <c r="C4739" s="245" t="s">
        <v>4996</v>
      </c>
      <c r="D4739" s="15">
        <v>0</v>
      </c>
      <c r="E4739" s="15">
        <v>0</v>
      </c>
      <c r="F4739" s="15">
        <v>0</v>
      </c>
      <c r="G4739" s="15">
        <v>0</v>
      </c>
      <c r="H4739" s="15">
        <v>0</v>
      </c>
    </row>
    <row r="4740" spans="2:8">
      <c r="B4740" s="17" t="s">
        <v>10683</v>
      </c>
      <c r="C4740" s="246" t="s">
        <v>4997</v>
      </c>
      <c r="D4740" s="18">
        <v>0</v>
      </c>
      <c r="E4740" s="18">
        <v>0</v>
      </c>
      <c r="F4740" s="18">
        <v>0</v>
      </c>
      <c r="G4740" s="18">
        <v>0</v>
      </c>
      <c r="H4740" s="18">
        <v>0</v>
      </c>
    </row>
    <row r="4741" spans="2:8">
      <c r="B4741" s="14" t="s">
        <v>10684</v>
      </c>
      <c r="C4741" s="245" t="s">
        <v>4998</v>
      </c>
      <c r="D4741" s="15">
        <v>0</v>
      </c>
      <c r="E4741" s="15">
        <v>0</v>
      </c>
      <c r="F4741" s="15">
        <v>0</v>
      </c>
      <c r="G4741" s="15">
        <v>0</v>
      </c>
      <c r="H4741" s="15">
        <v>0</v>
      </c>
    </row>
    <row r="4742" spans="2:8">
      <c r="B4742" s="17" t="s">
        <v>10685</v>
      </c>
      <c r="C4742" s="246" t="s">
        <v>1901</v>
      </c>
      <c r="D4742" s="18">
        <v>0</v>
      </c>
      <c r="E4742" s="18">
        <v>0</v>
      </c>
      <c r="F4742" s="18">
        <v>0</v>
      </c>
      <c r="G4742" s="18">
        <v>0</v>
      </c>
      <c r="H4742" s="18">
        <v>0</v>
      </c>
    </row>
    <row r="4743" spans="2:8">
      <c r="B4743" s="14" t="s">
        <v>10686</v>
      </c>
      <c r="C4743" s="245" t="s">
        <v>4999</v>
      </c>
      <c r="D4743" s="15">
        <v>0</v>
      </c>
      <c r="E4743" s="15">
        <v>0</v>
      </c>
      <c r="F4743" s="15">
        <v>0</v>
      </c>
      <c r="G4743" s="15">
        <v>0</v>
      </c>
      <c r="H4743" s="15">
        <v>0</v>
      </c>
    </row>
    <row r="4744" spans="2:8">
      <c r="B4744" s="17" t="s">
        <v>10687</v>
      </c>
      <c r="C4744" s="246" t="s">
        <v>5000</v>
      </c>
      <c r="D4744" s="18">
        <v>0</v>
      </c>
      <c r="E4744" s="18">
        <v>0</v>
      </c>
      <c r="F4744" s="18">
        <v>0</v>
      </c>
      <c r="G4744" s="18">
        <v>0</v>
      </c>
      <c r="H4744" s="18">
        <v>0</v>
      </c>
    </row>
    <row r="4745" spans="2:8">
      <c r="B4745" s="14" t="s">
        <v>10688</v>
      </c>
      <c r="C4745" s="245" t="s">
        <v>5001</v>
      </c>
      <c r="D4745" s="15">
        <v>0</v>
      </c>
      <c r="E4745" s="15">
        <v>0</v>
      </c>
      <c r="F4745" s="15">
        <v>0</v>
      </c>
      <c r="G4745" s="15">
        <v>0</v>
      </c>
      <c r="H4745" s="15">
        <v>0</v>
      </c>
    </row>
    <row r="4746" spans="2:8">
      <c r="B4746" s="17" t="s">
        <v>10689</v>
      </c>
      <c r="C4746" s="246" t="s">
        <v>5002</v>
      </c>
      <c r="D4746" s="18">
        <v>0</v>
      </c>
      <c r="E4746" s="18">
        <v>0</v>
      </c>
      <c r="F4746" s="18">
        <v>0</v>
      </c>
      <c r="G4746" s="18">
        <v>0</v>
      </c>
      <c r="H4746" s="18">
        <v>0</v>
      </c>
    </row>
    <row r="4747" spans="2:8">
      <c r="B4747" s="14" t="s">
        <v>10690</v>
      </c>
      <c r="C4747" s="245" t="s">
        <v>5003</v>
      </c>
      <c r="D4747" s="15">
        <v>107</v>
      </c>
      <c r="E4747" s="15">
        <v>193</v>
      </c>
      <c r="F4747" s="15">
        <v>8</v>
      </c>
      <c r="G4747" s="15">
        <v>5</v>
      </c>
      <c r="H4747" s="15">
        <v>0</v>
      </c>
    </row>
    <row r="4748" spans="2:8">
      <c r="B4748" s="17" t="s">
        <v>10691</v>
      </c>
      <c r="C4748" s="246" t="s">
        <v>5004</v>
      </c>
      <c r="D4748" s="18">
        <v>0</v>
      </c>
      <c r="E4748" s="18">
        <v>0</v>
      </c>
      <c r="F4748" s="18">
        <v>0</v>
      </c>
      <c r="G4748" s="18">
        <v>0</v>
      </c>
      <c r="H4748" s="18">
        <v>0</v>
      </c>
    </row>
    <row r="4749" spans="2:8">
      <c r="B4749" s="14" t="s">
        <v>10692</v>
      </c>
      <c r="C4749" s="245" t="s">
        <v>5005</v>
      </c>
      <c r="D4749" s="15">
        <v>0</v>
      </c>
      <c r="E4749" s="15">
        <v>0</v>
      </c>
      <c r="F4749" s="15">
        <v>0</v>
      </c>
      <c r="G4749" s="15">
        <v>0</v>
      </c>
      <c r="H4749" s="15">
        <v>0</v>
      </c>
    </row>
    <row r="4750" spans="2:8">
      <c r="B4750" s="17" t="s">
        <v>10693</v>
      </c>
      <c r="C4750" s="246" t="s">
        <v>5006</v>
      </c>
      <c r="D4750" s="18">
        <v>0</v>
      </c>
      <c r="E4750" s="18">
        <v>0</v>
      </c>
      <c r="F4750" s="18">
        <v>0</v>
      </c>
      <c r="G4750" s="18">
        <v>0</v>
      </c>
      <c r="H4750" s="18">
        <v>0</v>
      </c>
    </row>
    <row r="4751" spans="2:8">
      <c r="B4751" s="14" t="s">
        <v>10694</v>
      </c>
      <c r="C4751" s="245" t="s">
        <v>5007</v>
      </c>
      <c r="D4751" s="15">
        <v>0</v>
      </c>
      <c r="E4751" s="15">
        <v>0</v>
      </c>
      <c r="F4751" s="15">
        <v>0</v>
      </c>
      <c r="G4751" s="15">
        <v>0</v>
      </c>
      <c r="H4751" s="15">
        <v>0</v>
      </c>
    </row>
    <row r="4752" spans="2:8">
      <c r="B4752" s="17" t="s">
        <v>10695</v>
      </c>
      <c r="C4752" s="246" t="s">
        <v>5008</v>
      </c>
      <c r="D4752" s="18">
        <v>0</v>
      </c>
      <c r="E4752" s="18">
        <v>0</v>
      </c>
      <c r="F4752" s="18">
        <v>0</v>
      </c>
      <c r="G4752" s="18">
        <v>0</v>
      </c>
      <c r="H4752" s="18">
        <v>0</v>
      </c>
    </row>
    <row r="4753" spans="2:8">
      <c r="B4753" s="14" t="s">
        <v>10696</v>
      </c>
      <c r="C4753" s="245" t="s">
        <v>5009</v>
      </c>
      <c r="D4753" s="15">
        <v>0</v>
      </c>
      <c r="E4753" s="15">
        <v>0</v>
      </c>
      <c r="F4753" s="15">
        <v>0</v>
      </c>
      <c r="G4753" s="15">
        <v>0</v>
      </c>
      <c r="H4753" s="15">
        <v>0</v>
      </c>
    </row>
    <row r="4754" spans="2:8">
      <c r="B4754" s="17" t="s">
        <v>10697</v>
      </c>
      <c r="C4754" s="246" t="s">
        <v>5010</v>
      </c>
      <c r="D4754" s="18">
        <v>0</v>
      </c>
      <c r="E4754" s="18">
        <v>0</v>
      </c>
      <c r="F4754" s="18">
        <v>0</v>
      </c>
      <c r="G4754" s="18">
        <v>0</v>
      </c>
      <c r="H4754" s="18">
        <v>0</v>
      </c>
    </row>
    <row r="4755" spans="2:8">
      <c r="B4755" s="14" t="s">
        <v>10698</v>
      </c>
      <c r="C4755" s="245" t="s">
        <v>5011</v>
      </c>
      <c r="D4755" s="15">
        <v>0</v>
      </c>
      <c r="E4755" s="15">
        <v>0</v>
      </c>
      <c r="F4755" s="15">
        <v>0</v>
      </c>
      <c r="G4755" s="15">
        <v>0</v>
      </c>
      <c r="H4755" s="15">
        <v>0</v>
      </c>
    </row>
    <row r="4756" spans="2:8">
      <c r="B4756" s="17" t="s">
        <v>10699</v>
      </c>
      <c r="C4756" s="246" t="s">
        <v>5012</v>
      </c>
      <c r="D4756" s="18">
        <v>0</v>
      </c>
      <c r="E4756" s="18">
        <v>0</v>
      </c>
      <c r="F4756" s="18">
        <v>0</v>
      </c>
      <c r="G4756" s="18">
        <v>0</v>
      </c>
      <c r="H4756" s="18">
        <v>0</v>
      </c>
    </row>
    <row r="4757" spans="2:8">
      <c r="B4757" s="14" t="s">
        <v>10700</v>
      </c>
      <c r="C4757" s="245" t="s">
        <v>5013</v>
      </c>
      <c r="D4757" s="15">
        <v>0</v>
      </c>
      <c r="E4757" s="15">
        <v>0</v>
      </c>
      <c r="F4757" s="15">
        <v>0</v>
      </c>
      <c r="G4757" s="15">
        <v>31</v>
      </c>
      <c r="H4757" s="15">
        <v>0</v>
      </c>
    </row>
    <row r="4758" spans="2:8">
      <c r="B4758" s="17" t="s">
        <v>10701</v>
      </c>
      <c r="C4758" s="246" t="s">
        <v>2548</v>
      </c>
      <c r="D4758" s="18">
        <v>0</v>
      </c>
      <c r="E4758" s="18">
        <v>0</v>
      </c>
      <c r="F4758" s="18">
        <v>0</v>
      </c>
      <c r="G4758" s="18">
        <v>0</v>
      </c>
      <c r="H4758" s="18">
        <v>0</v>
      </c>
    </row>
    <row r="4759" spans="2:8">
      <c r="B4759" s="14" t="s">
        <v>10702</v>
      </c>
      <c r="C4759" s="245" t="s">
        <v>3534</v>
      </c>
      <c r="D4759" s="15">
        <v>0</v>
      </c>
      <c r="E4759" s="15">
        <v>0</v>
      </c>
      <c r="F4759" s="15">
        <v>0</v>
      </c>
      <c r="G4759" s="15">
        <v>0</v>
      </c>
      <c r="H4759" s="15">
        <v>0</v>
      </c>
    </row>
    <row r="4760" spans="2:8">
      <c r="B4760" s="17" t="s">
        <v>10703</v>
      </c>
      <c r="C4760" s="246" t="s">
        <v>5014</v>
      </c>
      <c r="D4760" s="18">
        <v>0</v>
      </c>
      <c r="E4760" s="18">
        <v>0</v>
      </c>
      <c r="F4760" s="18">
        <v>0</v>
      </c>
      <c r="G4760" s="18">
        <v>0</v>
      </c>
      <c r="H4760" s="18">
        <v>0</v>
      </c>
    </row>
    <row r="4761" spans="2:8">
      <c r="B4761" s="14" t="s">
        <v>10704</v>
      </c>
      <c r="C4761" s="245" t="s">
        <v>5015</v>
      </c>
      <c r="D4761" s="15">
        <v>80</v>
      </c>
      <c r="E4761" s="15">
        <v>0</v>
      </c>
      <c r="F4761" s="15">
        <v>0</v>
      </c>
      <c r="G4761" s="15">
        <v>3</v>
      </c>
      <c r="H4761" s="15">
        <v>0</v>
      </c>
    </row>
    <row r="4762" spans="2:8">
      <c r="B4762" s="17" t="s">
        <v>10705</v>
      </c>
      <c r="C4762" s="246" t="s">
        <v>2179</v>
      </c>
      <c r="D4762" s="18">
        <v>0</v>
      </c>
      <c r="E4762" s="18">
        <v>0</v>
      </c>
      <c r="F4762" s="18">
        <v>0</v>
      </c>
      <c r="G4762" s="18">
        <v>0</v>
      </c>
      <c r="H4762" s="18">
        <v>0</v>
      </c>
    </row>
    <row r="4763" spans="2:8">
      <c r="B4763" s="14" t="s">
        <v>10706</v>
      </c>
      <c r="C4763" s="245" t="s">
        <v>2179</v>
      </c>
      <c r="D4763" s="15">
        <v>0</v>
      </c>
      <c r="E4763" s="15">
        <v>7</v>
      </c>
      <c r="F4763" s="15">
        <v>0</v>
      </c>
      <c r="G4763" s="15">
        <v>0</v>
      </c>
      <c r="H4763" s="15">
        <v>0</v>
      </c>
    </row>
    <row r="4764" spans="2:8">
      <c r="B4764" s="17" t="s">
        <v>10707</v>
      </c>
      <c r="C4764" s="246" t="s">
        <v>1560</v>
      </c>
      <c r="D4764" s="18">
        <v>0</v>
      </c>
      <c r="E4764" s="18">
        <v>0</v>
      </c>
      <c r="F4764" s="18">
        <v>0</v>
      </c>
      <c r="G4764" s="18">
        <v>0</v>
      </c>
      <c r="H4764" s="18">
        <v>0</v>
      </c>
    </row>
    <row r="4765" spans="2:8">
      <c r="B4765" s="14" t="s">
        <v>10708</v>
      </c>
      <c r="C4765" s="245" t="s">
        <v>1560</v>
      </c>
      <c r="D4765" s="15">
        <v>0</v>
      </c>
      <c r="E4765" s="15">
        <v>0</v>
      </c>
      <c r="F4765" s="15">
        <v>0</v>
      </c>
      <c r="G4765" s="15">
        <v>0</v>
      </c>
      <c r="H4765" s="15">
        <v>0</v>
      </c>
    </row>
    <row r="4766" spans="2:8">
      <c r="B4766" s="17" t="s">
        <v>10709</v>
      </c>
      <c r="C4766" s="246" t="s">
        <v>5016</v>
      </c>
      <c r="D4766" s="18">
        <v>0</v>
      </c>
      <c r="E4766" s="18">
        <v>0</v>
      </c>
      <c r="F4766" s="18">
        <v>0</v>
      </c>
      <c r="G4766" s="18">
        <v>0</v>
      </c>
      <c r="H4766" s="18">
        <v>0</v>
      </c>
    </row>
    <row r="4767" spans="2:8">
      <c r="B4767" s="14" t="s">
        <v>10710</v>
      </c>
      <c r="C4767" s="245" t="s">
        <v>5017</v>
      </c>
      <c r="D4767" s="15">
        <v>0</v>
      </c>
      <c r="E4767" s="15">
        <v>0</v>
      </c>
      <c r="F4767" s="15">
        <v>0</v>
      </c>
      <c r="G4767" s="15">
        <v>0</v>
      </c>
      <c r="H4767" s="15">
        <v>0</v>
      </c>
    </row>
    <row r="4768" spans="2:8">
      <c r="B4768" s="17" t="s">
        <v>10711</v>
      </c>
      <c r="C4768" s="246" t="s">
        <v>4765</v>
      </c>
      <c r="D4768" s="18">
        <v>0</v>
      </c>
      <c r="E4768" s="18">
        <v>0</v>
      </c>
      <c r="F4768" s="18">
        <v>0</v>
      </c>
      <c r="G4768" s="18">
        <v>0</v>
      </c>
      <c r="H4768" s="18">
        <v>0</v>
      </c>
    </row>
    <row r="4769" spans="2:8">
      <c r="B4769" s="14" t="s">
        <v>10712</v>
      </c>
      <c r="C4769" s="245" t="s">
        <v>5018</v>
      </c>
      <c r="D4769" s="15">
        <v>0</v>
      </c>
      <c r="E4769" s="15">
        <v>0</v>
      </c>
      <c r="F4769" s="15">
        <v>0</v>
      </c>
      <c r="G4769" s="15">
        <v>0</v>
      </c>
      <c r="H4769" s="15">
        <v>0</v>
      </c>
    </row>
    <row r="4770" spans="2:8">
      <c r="B4770" s="17" t="s">
        <v>10713</v>
      </c>
      <c r="C4770" s="246" t="s">
        <v>5019</v>
      </c>
      <c r="D4770" s="18">
        <v>0</v>
      </c>
      <c r="E4770" s="18">
        <v>0</v>
      </c>
      <c r="F4770" s="18">
        <v>0</v>
      </c>
      <c r="G4770" s="18">
        <v>0</v>
      </c>
      <c r="H4770" s="18">
        <v>0</v>
      </c>
    </row>
    <row r="4771" spans="2:8">
      <c r="B4771" s="14" t="s">
        <v>10714</v>
      </c>
      <c r="C4771" s="245" t="s">
        <v>1924</v>
      </c>
      <c r="D4771" s="15">
        <v>0</v>
      </c>
      <c r="E4771" s="15">
        <v>0</v>
      </c>
      <c r="F4771" s="15">
        <v>0</v>
      </c>
      <c r="G4771" s="15">
        <v>0</v>
      </c>
      <c r="H4771" s="15">
        <v>0</v>
      </c>
    </row>
    <row r="4772" spans="2:8">
      <c r="B4772" s="17" t="s">
        <v>10715</v>
      </c>
      <c r="C4772" s="246" t="s">
        <v>2553</v>
      </c>
      <c r="D4772" s="18">
        <v>0</v>
      </c>
      <c r="E4772" s="18">
        <v>0</v>
      </c>
      <c r="F4772" s="18">
        <v>0</v>
      </c>
      <c r="G4772" s="18">
        <v>0</v>
      </c>
      <c r="H4772" s="18">
        <v>0</v>
      </c>
    </row>
    <row r="4773" spans="2:8">
      <c r="B4773" s="14" t="s">
        <v>10716</v>
      </c>
      <c r="C4773" s="245" t="s">
        <v>5020</v>
      </c>
      <c r="D4773" s="15">
        <v>0</v>
      </c>
      <c r="E4773" s="15">
        <v>0</v>
      </c>
      <c r="F4773" s="15">
        <v>0</v>
      </c>
      <c r="G4773" s="15">
        <v>0</v>
      </c>
      <c r="H4773" s="15">
        <v>0</v>
      </c>
    </row>
    <row r="4774" spans="2:8">
      <c r="B4774" s="17" t="s">
        <v>10717</v>
      </c>
      <c r="C4774" s="246" t="s">
        <v>5021</v>
      </c>
      <c r="D4774" s="18">
        <v>0</v>
      </c>
      <c r="E4774" s="18">
        <v>0</v>
      </c>
      <c r="F4774" s="18">
        <v>0</v>
      </c>
      <c r="G4774" s="18">
        <v>14</v>
      </c>
      <c r="H4774" s="18">
        <v>0</v>
      </c>
    </row>
    <row r="4775" spans="2:8">
      <c r="B4775" s="14" t="s">
        <v>10718</v>
      </c>
      <c r="C4775" s="245" t="s">
        <v>5022</v>
      </c>
      <c r="D4775" s="15">
        <v>0</v>
      </c>
      <c r="E4775" s="15">
        <v>0</v>
      </c>
      <c r="F4775" s="15">
        <v>0</v>
      </c>
      <c r="G4775" s="15">
        <v>0</v>
      </c>
      <c r="H4775" s="15">
        <v>0</v>
      </c>
    </row>
    <row r="4776" spans="2:8">
      <c r="B4776" s="17" t="s">
        <v>10719</v>
      </c>
      <c r="C4776" s="246" t="s">
        <v>5023</v>
      </c>
      <c r="D4776" s="18">
        <v>0</v>
      </c>
      <c r="E4776" s="18">
        <v>0</v>
      </c>
      <c r="F4776" s="18">
        <v>0</v>
      </c>
      <c r="G4776" s="18">
        <v>0</v>
      </c>
      <c r="H4776" s="18">
        <v>0</v>
      </c>
    </row>
    <row r="4777" spans="2:8">
      <c r="B4777" s="14" t="s">
        <v>10720</v>
      </c>
      <c r="C4777" s="245" t="s">
        <v>5024</v>
      </c>
      <c r="D4777" s="15">
        <v>0</v>
      </c>
      <c r="E4777" s="15">
        <v>0</v>
      </c>
      <c r="F4777" s="15">
        <v>0</v>
      </c>
      <c r="G4777" s="15">
        <v>0</v>
      </c>
      <c r="H4777" s="15">
        <v>0</v>
      </c>
    </row>
    <row r="4778" spans="2:8">
      <c r="B4778" s="17" t="s">
        <v>10721</v>
      </c>
      <c r="C4778" s="246" t="s">
        <v>5025</v>
      </c>
      <c r="D4778" s="18">
        <v>0</v>
      </c>
      <c r="E4778" s="18">
        <v>0</v>
      </c>
      <c r="F4778" s="18">
        <v>0</v>
      </c>
      <c r="G4778" s="18">
        <v>0</v>
      </c>
      <c r="H4778" s="18">
        <v>0</v>
      </c>
    </row>
    <row r="4779" spans="2:8">
      <c r="B4779" s="14" t="s">
        <v>10722</v>
      </c>
      <c r="C4779" s="245" t="s">
        <v>1258</v>
      </c>
      <c r="D4779" s="15">
        <v>0</v>
      </c>
      <c r="E4779" s="15">
        <v>0</v>
      </c>
      <c r="F4779" s="15">
        <v>0</v>
      </c>
      <c r="G4779" s="15">
        <v>2</v>
      </c>
      <c r="H4779" s="15">
        <v>0</v>
      </c>
    </row>
    <row r="4780" spans="2:8">
      <c r="B4780" s="17" t="s">
        <v>10723</v>
      </c>
      <c r="C4780" s="246" t="s">
        <v>5026</v>
      </c>
      <c r="D4780" s="18">
        <v>0</v>
      </c>
      <c r="E4780" s="18">
        <v>0</v>
      </c>
      <c r="F4780" s="18">
        <v>0</v>
      </c>
      <c r="G4780" s="18">
        <v>0</v>
      </c>
      <c r="H4780" s="18">
        <v>0</v>
      </c>
    </row>
    <row r="4781" spans="2:8">
      <c r="B4781" s="14" t="s">
        <v>10724</v>
      </c>
      <c r="C4781" s="245" t="s">
        <v>5027</v>
      </c>
      <c r="D4781" s="15">
        <v>10</v>
      </c>
      <c r="E4781" s="15">
        <v>0</v>
      </c>
      <c r="F4781" s="15">
        <v>5</v>
      </c>
      <c r="G4781" s="15">
        <v>0</v>
      </c>
      <c r="H4781" s="15">
        <v>0</v>
      </c>
    </row>
    <row r="4782" spans="2:8">
      <c r="B4782" s="17" t="s">
        <v>10725</v>
      </c>
      <c r="C4782" s="246" t="s">
        <v>5028</v>
      </c>
      <c r="D4782" s="18">
        <v>0</v>
      </c>
      <c r="E4782" s="18">
        <v>0</v>
      </c>
      <c r="F4782" s="18">
        <v>0</v>
      </c>
      <c r="G4782" s="18">
        <v>0</v>
      </c>
      <c r="H4782" s="18">
        <v>0</v>
      </c>
    </row>
    <row r="4783" spans="2:8">
      <c r="B4783" s="14" t="s">
        <v>10726</v>
      </c>
      <c r="C4783" s="245" t="s">
        <v>5029</v>
      </c>
      <c r="D4783" s="15">
        <v>0</v>
      </c>
      <c r="E4783" s="15">
        <v>0</v>
      </c>
      <c r="F4783" s="15">
        <v>0</v>
      </c>
      <c r="G4783" s="15">
        <v>0</v>
      </c>
      <c r="H4783" s="15">
        <v>0</v>
      </c>
    </row>
    <row r="4784" spans="2:8">
      <c r="B4784" s="17" t="s">
        <v>10727</v>
      </c>
      <c r="C4784" s="246" t="s">
        <v>5030</v>
      </c>
      <c r="D4784" s="18">
        <v>326</v>
      </c>
      <c r="E4784" s="18">
        <v>561</v>
      </c>
      <c r="F4784" s="18">
        <v>153</v>
      </c>
      <c r="G4784" s="18">
        <v>596</v>
      </c>
      <c r="H4784" s="18">
        <v>0</v>
      </c>
    </row>
    <row r="4785" spans="2:8">
      <c r="B4785" s="14" t="s">
        <v>10728</v>
      </c>
      <c r="C4785" s="245" t="s">
        <v>3225</v>
      </c>
      <c r="D4785" s="15">
        <v>0</v>
      </c>
      <c r="E4785" s="15">
        <v>0</v>
      </c>
      <c r="F4785" s="15">
        <v>13</v>
      </c>
      <c r="G4785" s="15">
        <v>0</v>
      </c>
      <c r="H4785" s="15">
        <v>0</v>
      </c>
    </row>
    <row r="4786" spans="2:8">
      <c r="B4786" s="17" t="s">
        <v>10729</v>
      </c>
      <c r="C4786" s="246" t="s">
        <v>2478</v>
      </c>
      <c r="D4786" s="18">
        <v>0</v>
      </c>
      <c r="E4786" s="18">
        <v>0</v>
      </c>
      <c r="F4786" s="18">
        <v>0</v>
      </c>
      <c r="G4786" s="18">
        <v>0</v>
      </c>
      <c r="H4786" s="18">
        <v>0</v>
      </c>
    </row>
    <row r="4787" spans="2:8">
      <c r="B4787" s="14" t="s">
        <v>10730</v>
      </c>
      <c r="C4787" s="245" t="s">
        <v>1884</v>
      </c>
      <c r="D4787" s="15">
        <v>0</v>
      </c>
      <c r="E4787" s="15">
        <v>0</v>
      </c>
      <c r="F4787" s="15">
        <v>0</v>
      </c>
      <c r="G4787" s="15">
        <v>0</v>
      </c>
      <c r="H4787" s="15">
        <v>0</v>
      </c>
    </row>
    <row r="4788" spans="2:8">
      <c r="B4788" s="17" t="s">
        <v>10731</v>
      </c>
      <c r="C4788" s="246" t="s">
        <v>1885</v>
      </c>
      <c r="D4788" s="18">
        <v>0</v>
      </c>
      <c r="E4788" s="18">
        <v>0</v>
      </c>
      <c r="F4788" s="18">
        <v>0</v>
      </c>
      <c r="G4788" s="18">
        <v>0</v>
      </c>
      <c r="H4788" s="18">
        <v>0</v>
      </c>
    </row>
    <row r="4789" spans="2:8">
      <c r="B4789" s="14" t="s">
        <v>10732</v>
      </c>
      <c r="C4789" s="245" t="s">
        <v>5031</v>
      </c>
      <c r="D4789" s="15">
        <v>0</v>
      </c>
      <c r="E4789" s="15">
        <v>0</v>
      </c>
      <c r="F4789" s="15">
        <v>0</v>
      </c>
      <c r="G4789" s="15">
        <v>0</v>
      </c>
      <c r="H4789" s="15">
        <v>0</v>
      </c>
    </row>
    <row r="4790" spans="2:8">
      <c r="B4790" s="17" t="s">
        <v>10733</v>
      </c>
      <c r="C4790" s="246" t="s">
        <v>5032</v>
      </c>
      <c r="D4790" s="18">
        <v>0</v>
      </c>
      <c r="E4790" s="18">
        <v>0</v>
      </c>
      <c r="F4790" s="18">
        <v>0</v>
      </c>
      <c r="G4790" s="18">
        <v>0</v>
      </c>
      <c r="H4790" s="18">
        <v>0</v>
      </c>
    </row>
    <row r="4791" spans="2:8">
      <c r="B4791" s="14" t="s">
        <v>10734</v>
      </c>
      <c r="C4791" s="245" t="s">
        <v>5033</v>
      </c>
      <c r="D4791" s="15">
        <v>0</v>
      </c>
      <c r="E4791" s="15">
        <v>0</v>
      </c>
      <c r="F4791" s="15">
        <v>0</v>
      </c>
      <c r="G4791" s="15">
        <v>0</v>
      </c>
      <c r="H4791" s="15">
        <v>0</v>
      </c>
    </row>
    <row r="4792" spans="2:8">
      <c r="B4792" s="17" t="s">
        <v>10735</v>
      </c>
      <c r="C4792" s="246" t="s">
        <v>5034</v>
      </c>
      <c r="D4792" s="18">
        <v>0</v>
      </c>
      <c r="E4792" s="18">
        <v>0</v>
      </c>
      <c r="F4792" s="18">
        <v>0</v>
      </c>
      <c r="G4792" s="18">
        <v>0</v>
      </c>
      <c r="H4792" s="18">
        <v>0</v>
      </c>
    </row>
    <row r="4793" spans="2:8">
      <c r="B4793" s="14" t="s">
        <v>10736</v>
      </c>
      <c r="C4793" s="245" t="s">
        <v>5035</v>
      </c>
      <c r="D4793" s="15">
        <v>0</v>
      </c>
      <c r="E4793" s="15">
        <v>0</v>
      </c>
      <c r="F4793" s="15">
        <v>0</v>
      </c>
      <c r="G4793" s="15">
        <v>0</v>
      </c>
      <c r="H4793" s="15">
        <v>0</v>
      </c>
    </row>
    <row r="4794" spans="2:8">
      <c r="B4794" s="17" t="s">
        <v>10737</v>
      </c>
      <c r="C4794" s="246" t="s">
        <v>5036</v>
      </c>
      <c r="D4794" s="18">
        <v>0</v>
      </c>
      <c r="E4794" s="18">
        <v>0</v>
      </c>
      <c r="F4794" s="18">
        <v>0</v>
      </c>
      <c r="G4794" s="18">
        <v>0</v>
      </c>
      <c r="H4794" s="18">
        <v>0</v>
      </c>
    </row>
    <row r="4795" spans="2:8">
      <c r="B4795" s="14" t="s">
        <v>10738</v>
      </c>
      <c r="C4795" s="245" t="s">
        <v>5037</v>
      </c>
      <c r="D4795" s="15">
        <v>0</v>
      </c>
      <c r="E4795" s="15">
        <v>0</v>
      </c>
      <c r="F4795" s="15">
        <v>0</v>
      </c>
      <c r="G4795" s="15">
        <v>0</v>
      </c>
      <c r="H4795" s="15">
        <v>0</v>
      </c>
    </row>
    <row r="4796" spans="2:8">
      <c r="B4796" s="17" t="s">
        <v>10739</v>
      </c>
      <c r="C4796" s="246" t="s">
        <v>5038</v>
      </c>
      <c r="D4796" s="18">
        <v>0</v>
      </c>
      <c r="E4796" s="18">
        <v>0</v>
      </c>
      <c r="F4796" s="18">
        <v>0</v>
      </c>
      <c r="G4796" s="18">
        <v>0</v>
      </c>
      <c r="H4796" s="18">
        <v>0</v>
      </c>
    </row>
    <row r="4797" spans="2:8">
      <c r="B4797" s="14" t="s">
        <v>10740</v>
      </c>
      <c r="C4797" s="245" t="s">
        <v>5039</v>
      </c>
      <c r="D4797" s="15">
        <v>0</v>
      </c>
      <c r="E4797" s="15">
        <v>0</v>
      </c>
      <c r="F4797" s="15">
        <v>0</v>
      </c>
      <c r="G4797" s="15">
        <v>0</v>
      </c>
      <c r="H4797" s="15">
        <v>0</v>
      </c>
    </row>
    <row r="4798" spans="2:8">
      <c r="B4798" s="17" t="s">
        <v>10741</v>
      </c>
      <c r="C4798" s="246" t="s">
        <v>5040</v>
      </c>
      <c r="D4798" s="18">
        <v>11</v>
      </c>
      <c r="E4798" s="18">
        <v>0</v>
      </c>
      <c r="F4798" s="18">
        <v>8</v>
      </c>
      <c r="G4798" s="18">
        <v>0</v>
      </c>
      <c r="H4798" s="18">
        <v>0</v>
      </c>
    </row>
    <row r="4799" spans="2:8">
      <c r="B4799" s="14" t="s">
        <v>10742</v>
      </c>
      <c r="C4799" s="245" t="s">
        <v>5041</v>
      </c>
      <c r="D4799" s="15">
        <v>0</v>
      </c>
      <c r="E4799" s="15">
        <v>0</v>
      </c>
      <c r="F4799" s="15">
        <v>0</v>
      </c>
      <c r="G4799" s="15">
        <v>0</v>
      </c>
      <c r="H4799" s="15">
        <v>0</v>
      </c>
    </row>
    <row r="4800" spans="2:8">
      <c r="B4800" s="17" t="s">
        <v>10743</v>
      </c>
      <c r="C4800" s="246" t="s">
        <v>1891</v>
      </c>
      <c r="D4800" s="18">
        <v>0</v>
      </c>
      <c r="E4800" s="18">
        <v>0</v>
      </c>
      <c r="F4800" s="18">
        <v>0</v>
      </c>
      <c r="G4800" s="18">
        <v>0</v>
      </c>
      <c r="H4800" s="18">
        <v>0</v>
      </c>
    </row>
    <row r="4801" spans="2:8">
      <c r="B4801" s="14" t="s">
        <v>10744</v>
      </c>
      <c r="C4801" s="245" t="s">
        <v>5042</v>
      </c>
      <c r="D4801" s="15">
        <v>0</v>
      </c>
      <c r="E4801" s="15">
        <v>0</v>
      </c>
      <c r="F4801" s="15">
        <v>0</v>
      </c>
      <c r="G4801" s="15">
        <v>0</v>
      </c>
      <c r="H4801" s="15">
        <v>0</v>
      </c>
    </row>
    <row r="4802" spans="2:8">
      <c r="B4802" s="17" t="s">
        <v>10745</v>
      </c>
      <c r="C4802" s="246" t="s">
        <v>5043</v>
      </c>
      <c r="D4802" s="18">
        <v>0</v>
      </c>
      <c r="E4802" s="18">
        <v>0</v>
      </c>
      <c r="F4802" s="18">
        <v>0</v>
      </c>
      <c r="G4802" s="18">
        <v>0</v>
      </c>
      <c r="H4802" s="18">
        <v>0</v>
      </c>
    </row>
    <row r="4803" spans="2:8">
      <c r="B4803" s="14" t="s">
        <v>10746</v>
      </c>
      <c r="C4803" s="245" t="s">
        <v>5044</v>
      </c>
      <c r="D4803" s="15">
        <v>0</v>
      </c>
      <c r="E4803" s="15">
        <v>0</v>
      </c>
      <c r="F4803" s="15">
        <v>0</v>
      </c>
      <c r="G4803" s="15">
        <v>0</v>
      </c>
      <c r="H4803" s="15">
        <v>0</v>
      </c>
    </row>
    <row r="4804" spans="2:8">
      <c r="B4804" s="17" t="s">
        <v>10747</v>
      </c>
      <c r="C4804" s="246" t="s">
        <v>5045</v>
      </c>
      <c r="D4804" s="18">
        <v>0</v>
      </c>
      <c r="E4804" s="18">
        <v>0</v>
      </c>
      <c r="F4804" s="18">
        <v>0</v>
      </c>
      <c r="G4804" s="18">
        <v>0</v>
      </c>
      <c r="H4804" s="18">
        <v>0</v>
      </c>
    </row>
    <row r="4805" spans="2:8">
      <c r="B4805" s="14" t="s">
        <v>10748</v>
      </c>
      <c r="C4805" s="245" t="s">
        <v>5046</v>
      </c>
      <c r="D4805" s="15">
        <v>0</v>
      </c>
      <c r="E4805" s="15">
        <v>0</v>
      </c>
      <c r="F4805" s="15">
        <v>10</v>
      </c>
      <c r="G4805" s="15">
        <v>0</v>
      </c>
      <c r="H4805" s="15">
        <v>0</v>
      </c>
    </row>
    <row r="4806" spans="2:8">
      <c r="B4806" s="17" t="s">
        <v>10749</v>
      </c>
      <c r="C4806" s="246" t="s">
        <v>1036</v>
      </c>
      <c r="D4806" s="18">
        <v>122</v>
      </c>
      <c r="E4806" s="18">
        <v>0</v>
      </c>
      <c r="F4806" s="18">
        <v>0</v>
      </c>
      <c r="G4806" s="18">
        <v>0</v>
      </c>
      <c r="H4806" s="18">
        <v>0</v>
      </c>
    </row>
    <row r="4807" spans="2:8">
      <c r="B4807" s="14" t="s">
        <v>10750</v>
      </c>
      <c r="C4807" s="245" t="s">
        <v>3344</v>
      </c>
      <c r="D4807" s="15">
        <v>0</v>
      </c>
      <c r="E4807" s="15">
        <v>0</v>
      </c>
      <c r="F4807" s="15">
        <v>0</v>
      </c>
      <c r="G4807" s="15">
        <v>0</v>
      </c>
      <c r="H4807" s="15">
        <v>0</v>
      </c>
    </row>
    <row r="4808" spans="2:8">
      <c r="B4808" s="17" t="s">
        <v>10751</v>
      </c>
      <c r="C4808" s="246" t="s">
        <v>5047</v>
      </c>
      <c r="D4808" s="18">
        <v>0</v>
      </c>
      <c r="E4808" s="18">
        <v>0</v>
      </c>
      <c r="F4808" s="18">
        <v>0</v>
      </c>
      <c r="G4808" s="18">
        <v>0</v>
      </c>
      <c r="H4808" s="18">
        <v>0</v>
      </c>
    </row>
    <row r="4809" spans="2:8">
      <c r="B4809" s="14" t="s">
        <v>10752</v>
      </c>
      <c r="C4809" s="245" t="s">
        <v>5048</v>
      </c>
      <c r="D4809" s="15">
        <v>0</v>
      </c>
      <c r="E4809" s="15">
        <v>0</v>
      </c>
      <c r="F4809" s="15">
        <v>0</v>
      </c>
      <c r="G4809" s="15">
        <v>0</v>
      </c>
      <c r="H4809" s="15">
        <v>0</v>
      </c>
    </row>
    <row r="4810" spans="2:8">
      <c r="B4810" s="17" t="s">
        <v>10753</v>
      </c>
      <c r="C4810" s="246" t="s">
        <v>5049</v>
      </c>
      <c r="D4810" s="18">
        <v>0</v>
      </c>
      <c r="E4810" s="18">
        <v>0</v>
      </c>
      <c r="F4810" s="18">
        <v>0</v>
      </c>
      <c r="G4810" s="18">
        <v>0</v>
      </c>
      <c r="H4810" s="18">
        <v>0</v>
      </c>
    </row>
    <row r="4811" spans="2:8">
      <c r="B4811" s="14" t="s">
        <v>10754</v>
      </c>
      <c r="C4811" s="245" t="s">
        <v>5050</v>
      </c>
      <c r="D4811" s="15">
        <v>0</v>
      </c>
      <c r="E4811" s="15">
        <v>0</v>
      </c>
      <c r="F4811" s="15">
        <v>0</v>
      </c>
      <c r="G4811" s="15">
        <v>0</v>
      </c>
      <c r="H4811" s="15">
        <v>0</v>
      </c>
    </row>
    <row r="4812" spans="2:8">
      <c r="B4812" s="17" t="s">
        <v>10755</v>
      </c>
      <c r="C4812" s="246" t="s">
        <v>5051</v>
      </c>
      <c r="D4812" s="18">
        <v>16</v>
      </c>
      <c r="E4812" s="18">
        <v>16</v>
      </c>
      <c r="F4812" s="18">
        <v>34</v>
      </c>
      <c r="G4812" s="18">
        <v>50</v>
      </c>
      <c r="H4812" s="18">
        <v>0</v>
      </c>
    </row>
    <row r="4813" spans="2:8">
      <c r="B4813" s="14" t="s">
        <v>10756</v>
      </c>
      <c r="C4813" s="245" t="s">
        <v>5052</v>
      </c>
      <c r="D4813" s="15">
        <v>0</v>
      </c>
      <c r="E4813" s="15">
        <v>0</v>
      </c>
      <c r="F4813" s="15">
        <v>0</v>
      </c>
      <c r="G4813" s="15">
        <v>0</v>
      </c>
      <c r="H4813" s="15">
        <v>0</v>
      </c>
    </row>
    <row r="4814" spans="2:8">
      <c r="B4814" s="17" t="s">
        <v>10757</v>
      </c>
      <c r="C4814" s="246" t="s">
        <v>5053</v>
      </c>
      <c r="D4814" s="18">
        <v>0</v>
      </c>
      <c r="E4814" s="18">
        <v>0</v>
      </c>
      <c r="F4814" s="18">
        <v>0</v>
      </c>
      <c r="G4814" s="18">
        <v>0</v>
      </c>
      <c r="H4814" s="18">
        <v>0</v>
      </c>
    </row>
    <row r="4815" spans="2:8">
      <c r="B4815" s="14" t="s">
        <v>10758</v>
      </c>
      <c r="C4815" s="245" t="s">
        <v>5054</v>
      </c>
      <c r="D4815" s="15">
        <v>0</v>
      </c>
      <c r="E4815" s="15">
        <v>0</v>
      </c>
      <c r="F4815" s="15">
        <v>0</v>
      </c>
      <c r="G4815" s="15">
        <v>0</v>
      </c>
      <c r="H4815" s="15">
        <v>0</v>
      </c>
    </row>
    <row r="4816" spans="2:8">
      <c r="B4816" s="17" t="s">
        <v>10759</v>
      </c>
      <c r="C4816" s="246" t="s">
        <v>5055</v>
      </c>
      <c r="D4816" s="18">
        <v>0</v>
      </c>
      <c r="E4816" s="18">
        <v>0</v>
      </c>
      <c r="F4816" s="18">
        <v>0</v>
      </c>
      <c r="G4816" s="18">
        <v>0</v>
      </c>
      <c r="H4816" s="18">
        <v>0</v>
      </c>
    </row>
    <row r="4817" spans="2:8">
      <c r="B4817" s="14" t="s">
        <v>10760</v>
      </c>
      <c r="C4817" s="245" t="s">
        <v>5056</v>
      </c>
      <c r="D4817" s="15">
        <v>3393</v>
      </c>
      <c r="E4817" s="15">
        <v>8231</v>
      </c>
      <c r="F4817" s="15">
        <v>0</v>
      </c>
      <c r="G4817" s="15">
        <v>0</v>
      </c>
      <c r="H4817" s="15">
        <v>0</v>
      </c>
    </row>
    <row r="4818" spans="2:8">
      <c r="B4818" s="17" t="s">
        <v>10761</v>
      </c>
      <c r="C4818" s="246" t="s">
        <v>5057</v>
      </c>
      <c r="D4818" s="18">
        <v>0</v>
      </c>
      <c r="E4818" s="18">
        <v>0</v>
      </c>
      <c r="F4818" s="18">
        <v>0</v>
      </c>
      <c r="G4818" s="18">
        <v>0</v>
      </c>
      <c r="H4818" s="18">
        <v>0</v>
      </c>
    </row>
    <row r="4819" spans="2:8">
      <c r="B4819" s="14" t="s">
        <v>10762</v>
      </c>
      <c r="C4819" s="245" t="s">
        <v>5058</v>
      </c>
      <c r="D4819" s="15">
        <v>0</v>
      </c>
      <c r="E4819" s="15">
        <v>0</v>
      </c>
      <c r="F4819" s="15">
        <v>0</v>
      </c>
      <c r="G4819" s="15">
        <v>0</v>
      </c>
      <c r="H4819" s="15">
        <v>0</v>
      </c>
    </row>
    <row r="4820" spans="2:8">
      <c r="B4820" s="17" t="s">
        <v>10763</v>
      </c>
      <c r="C4820" s="246" t="s">
        <v>5059</v>
      </c>
      <c r="D4820" s="18">
        <v>0</v>
      </c>
      <c r="E4820" s="18">
        <v>0</v>
      </c>
      <c r="F4820" s="18">
        <v>0</v>
      </c>
      <c r="G4820" s="18">
        <v>0</v>
      </c>
      <c r="H4820" s="18">
        <v>0</v>
      </c>
    </row>
    <row r="4821" spans="2:8">
      <c r="B4821" s="14" t="s">
        <v>10764</v>
      </c>
      <c r="C4821" s="245" t="s">
        <v>5060</v>
      </c>
      <c r="D4821" s="15">
        <v>0</v>
      </c>
      <c r="E4821" s="15">
        <v>0</v>
      </c>
      <c r="F4821" s="15">
        <v>0</v>
      </c>
      <c r="G4821" s="15">
        <v>0</v>
      </c>
      <c r="H4821" s="15">
        <v>0</v>
      </c>
    </row>
    <row r="4822" spans="2:8">
      <c r="B4822" s="17" t="s">
        <v>10765</v>
      </c>
      <c r="C4822" s="246" t="s">
        <v>5061</v>
      </c>
      <c r="D4822" s="18">
        <v>0</v>
      </c>
      <c r="E4822" s="18">
        <v>0</v>
      </c>
      <c r="F4822" s="18">
        <v>0</v>
      </c>
      <c r="G4822" s="18">
        <v>0</v>
      </c>
      <c r="H4822" s="18">
        <v>0</v>
      </c>
    </row>
    <row r="4823" spans="2:8">
      <c r="B4823" s="14" t="s">
        <v>10766</v>
      </c>
      <c r="C4823" s="245" t="s">
        <v>5062</v>
      </c>
      <c r="D4823" s="15">
        <v>0</v>
      </c>
      <c r="E4823" s="15">
        <v>0</v>
      </c>
      <c r="F4823" s="15">
        <v>0</v>
      </c>
      <c r="G4823" s="15">
        <v>0</v>
      </c>
      <c r="H4823" s="15">
        <v>0</v>
      </c>
    </row>
    <row r="4824" spans="2:8">
      <c r="B4824" s="17" t="s">
        <v>10767</v>
      </c>
      <c r="C4824" s="246" t="s">
        <v>5063</v>
      </c>
      <c r="D4824" s="18">
        <v>0</v>
      </c>
      <c r="E4824" s="18">
        <v>0</v>
      </c>
      <c r="F4824" s="18">
        <v>0</v>
      </c>
      <c r="G4824" s="18">
        <v>0</v>
      </c>
      <c r="H4824" s="18">
        <v>0</v>
      </c>
    </row>
    <row r="4825" spans="2:8">
      <c r="B4825" s="14" t="s">
        <v>10768</v>
      </c>
      <c r="C4825" s="245" t="s">
        <v>5064</v>
      </c>
      <c r="D4825" s="15">
        <v>0</v>
      </c>
      <c r="E4825" s="15">
        <v>0</v>
      </c>
      <c r="F4825" s="15">
        <v>0</v>
      </c>
      <c r="G4825" s="15">
        <v>0</v>
      </c>
      <c r="H4825" s="15">
        <v>0</v>
      </c>
    </row>
    <row r="4826" spans="2:8">
      <c r="B4826" s="17" t="s">
        <v>10769</v>
      </c>
      <c r="C4826" s="246" t="s">
        <v>5065</v>
      </c>
      <c r="D4826" s="18">
        <v>0</v>
      </c>
      <c r="E4826" s="18">
        <v>0</v>
      </c>
      <c r="F4826" s="18">
        <v>0</v>
      </c>
      <c r="G4826" s="18">
        <v>0</v>
      </c>
      <c r="H4826" s="18">
        <v>0</v>
      </c>
    </row>
    <row r="4827" spans="2:8">
      <c r="B4827" s="14" t="s">
        <v>10770</v>
      </c>
      <c r="C4827" s="245" t="s">
        <v>5066</v>
      </c>
      <c r="D4827" s="15">
        <v>0</v>
      </c>
      <c r="E4827" s="15">
        <v>0</v>
      </c>
      <c r="F4827" s="15">
        <v>0</v>
      </c>
      <c r="G4827" s="15">
        <v>0</v>
      </c>
      <c r="H4827" s="15">
        <v>0</v>
      </c>
    </row>
    <row r="4828" spans="2:8">
      <c r="B4828" s="17" t="s">
        <v>10771</v>
      </c>
      <c r="C4828" s="246" t="s">
        <v>5067</v>
      </c>
      <c r="D4828" s="18">
        <v>0</v>
      </c>
      <c r="E4828" s="18">
        <v>0</v>
      </c>
      <c r="F4828" s="18">
        <v>0</v>
      </c>
      <c r="G4828" s="18">
        <v>0</v>
      </c>
      <c r="H4828" s="18">
        <v>0</v>
      </c>
    </row>
    <row r="4829" spans="2:8">
      <c r="B4829" s="14" t="s">
        <v>10772</v>
      </c>
      <c r="C4829" s="245" t="s">
        <v>5068</v>
      </c>
      <c r="D4829" s="15">
        <v>0</v>
      </c>
      <c r="E4829" s="15">
        <v>0</v>
      </c>
      <c r="F4829" s="15">
        <v>0</v>
      </c>
      <c r="G4829" s="15">
        <v>0</v>
      </c>
      <c r="H4829" s="15">
        <v>0</v>
      </c>
    </row>
    <row r="4830" spans="2:8">
      <c r="B4830" s="17" t="s">
        <v>10773</v>
      </c>
      <c r="C4830" s="246" t="s">
        <v>5069</v>
      </c>
      <c r="D4830" s="18">
        <v>0</v>
      </c>
      <c r="E4830" s="18">
        <v>0</v>
      </c>
      <c r="F4830" s="18">
        <v>0</v>
      </c>
      <c r="G4830" s="18">
        <v>15</v>
      </c>
      <c r="H4830" s="18">
        <v>0</v>
      </c>
    </row>
    <row r="4831" spans="2:8">
      <c r="B4831" s="14" t="s">
        <v>10774</v>
      </c>
      <c r="C4831" s="245" t="s">
        <v>5070</v>
      </c>
      <c r="D4831" s="15">
        <v>0</v>
      </c>
      <c r="E4831" s="15">
        <v>0</v>
      </c>
      <c r="F4831" s="15">
        <v>0</v>
      </c>
      <c r="G4831" s="15">
        <v>0</v>
      </c>
      <c r="H4831" s="15">
        <v>0</v>
      </c>
    </row>
    <row r="4832" spans="2:8">
      <c r="B4832" s="17" t="s">
        <v>10775</v>
      </c>
      <c r="C4832" s="246" t="s">
        <v>5071</v>
      </c>
      <c r="D4832" s="18">
        <v>0</v>
      </c>
      <c r="E4832" s="18">
        <v>0</v>
      </c>
      <c r="F4832" s="18">
        <v>0</v>
      </c>
      <c r="G4832" s="18">
        <v>0</v>
      </c>
      <c r="H4832" s="18">
        <v>0</v>
      </c>
    </row>
    <row r="4833" spans="2:8">
      <c r="B4833" s="14" t="s">
        <v>10776</v>
      </c>
      <c r="C4833" s="245" t="s">
        <v>5072</v>
      </c>
      <c r="D4833" s="15">
        <v>0</v>
      </c>
      <c r="E4833" s="15">
        <v>0</v>
      </c>
      <c r="F4833" s="15">
        <v>0</v>
      </c>
      <c r="G4833" s="15">
        <v>0</v>
      </c>
      <c r="H4833" s="15">
        <v>0</v>
      </c>
    </row>
    <row r="4834" spans="2:8">
      <c r="B4834" s="17" t="s">
        <v>10777</v>
      </c>
      <c r="C4834" s="246" t="s">
        <v>5073</v>
      </c>
      <c r="D4834" s="18">
        <v>0</v>
      </c>
      <c r="E4834" s="18">
        <v>0</v>
      </c>
      <c r="F4834" s="18">
        <v>0</v>
      </c>
      <c r="G4834" s="18">
        <v>0</v>
      </c>
      <c r="H4834" s="18">
        <v>0</v>
      </c>
    </row>
    <row r="4835" spans="2:8">
      <c r="B4835" s="14" t="s">
        <v>10778</v>
      </c>
      <c r="C4835" s="245" t="s">
        <v>5074</v>
      </c>
      <c r="D4835" s="15">
        <v>0</v>
      </c>
      <c r="E4835" s="15">
        <v>0</v>
      </c>
      <c r="F4835" s="15">
        <v>0</v>
      </c>
      <c r="G4835" s="15">
        <v>0</v>
      </c>
      <c r="H4835" s="15">
        <v>0</v>
      </c>
    </row>
    <row r="4836" spans="2:8">
      <c r="B4836" s="17" t="s">
        <v>10779</v>
      </c>
      <c r="C4836" s="246" t="s">
        <v>5075</v>
      </c>
      <c r="D4836" s="18">
        <v>0</v>
      </c>
      <c r="E4836" s="18">
        <v>0</v>
      </c>
      <c r="F4836" s="18">
        <v>0</v>
      </c>
      <c r="G4836" s="18">
        <v>0</v>
      </c>
      <c r="H4836" s="18">
        <v>0</v>
      </c>
    </row>
    <row r="4837" spans="2:8">
      <c r="B4837" s="14" t="s">
        <v>10780</v>
      </c>
      <c r="C4837" s="245" t="s">
        <v>5076</v>
      </c>
      <c r="D4837" s="15">
        <v>0</v>
      </c>
      <c r="E4837" s="15">
        <v>0</v>
      </c>
      <c r="F4837" s="15">
        <v>0</v>
      </c>
      <c r="G4837" s="15">
        <v>0</v>
      </c>
      <c r="H4837" s="15">
        <v>0</v>
      </c>
    </row>
    <row r="4838" spans="2:8">
      <c r="B4838" s="17" t="s">
        <v>10781</v>
      </c>
      <c r="C4838" s="246" t="s">
        <v>5077</v>
      </c>
      <c r="D4838" s="18">
        <v>0</v>
      </c>
      <c r="E4838" s="18">
        <v>0</v>
      </c>
      <c r="F4838" s="18">
        <v>0</v>
      </c>
      <c r="G4838" s="18">
        <v>0</v>
      </c>
      <c r="H4838" s="18">
        <v>0</v>
      </c>
    </row>
    <row r="4839" spans="2:8">
      <c r="B4839" s="14" t="s">
        <v>10782</v>
      </c>
      <c r="C4839" s="245" t="s">
        <v>5078</v>
      </c>
      <c r="D4839" s="15">
        <v>0</v>
      </c>
      <c r="E4839" s="15">
        <v>0</v>
      </c>
      <c r="F4839" s="15">
        <v>0</v>
      </c>
      <c r="G4839" s="15">
        <v>0</v>
      </c>
      <c r="H4839" s="15">
        <v>0</v>
      </c>
    </row>
    <row r="4840" spans="2:8">
      <c r="B4840" s="17" t="s">
        <v>10783</v>
      </c>
      <c r="C4840" s="246" t="s">
        <v>5079</v>
      </c>
      <c r="D4840" s="18">
        <v>0</v>
      </c>
      <c r="E4840" s="18">
        <v>0</v>
      </c>
      <c r="F4840" s="18">
        <v>0</v>
      </c>
      <c r="G4840" s="18">
        <v>0</v>
      </c>
      <c r="H4840" s="18">
        <v>0</v>
      </c>
    </row>
    <row r="4841" spans="2:8">
      <c r="B4841" s="14" t="s">
        <v>10784</v>
      </c>
      <c r="C4841" s="245" t="s">
        <v>5080</v>
      </c>
      <c r="D4841" s="15">
        <v>0</v>
      </c>
      <c r="E4841" s="15">
        <v>0</v>
      </c>
      <c r="F4841" s="15">
        <v>0</v>
      </c>
      <c r="G4841" s="15">
        <v>0</v>
      </c>
      <c r="H4841" s="15">
        <v>0</v>
      </c>
    </row>
    <row r="4842" spans="2:8">
      <c r="B4842" s="17" t="s">
        <v>10785</v>
      </c>
      <c r="C4842" s="246" t="s">
        <v>5081</v>
      </c>
      <c r="D4842" s="18">
        <v>0</v>
      </c>
      <c r="E4842" s="18">
        <v>0</v>
      </c>
      <c r="F4842" s="18">
        <v>0</v>
      </c>
      <c r="G4842" s="18">
        <v>0</v>
      </c>
      <c r="H4842" s="18">
        <v>0</v>
      </c>
    </row>
    <row r="4843" spans="2:8">
      <c r="B4843" s="14" t="s">
        <v>10786</v>
      </c>
      <c r="C4843" s="245" t="s">
        <v>5082</v>
      </c>
      <c r="D4843" s="15">
        <v>0</v>
      </c>
      <c r="E4843" s="15">
        <v>0</v>
      </c>
      <c r="F4843" s="15">
        <v>0</v>
      </c>
      <c r="G4843" s="15">
        <v>0</v>
      </c>
      <c r="H4843" s="15">
        <v>0</v>
      </c>
    </row>
    <row r="4844" spans="2:8">
      <c r="B4844" s="17" t="s">
        <v>10787</v>
      </c>
      <c r="C4844" s="246" t="s">
        <v>5083</v>
      </c>
      <c r="D4844" s="18">
        <v>0</v>
      </c>
      <c r="E4844" s="18">
        <v>0</v>
      </c>
      <c r="F4844" s="18">
        <v>0</v>
      </c>
      <c r="G4844" s="18">
        <v>0</v>
      </c>
      <c r="H4844" s="18">
        <v>0</v>
      </c>
    </row>
    <row r="4845" spans="2:8">
      <c r="B4845" s="14" t="s">
        <v>10788</v>
      </c>
      <c r="C4845" s="245" t="s">
        <v>5084</v>
      </c>
      <c r="D4845" s="15">
        <v>0</v>
      </c>
      <c r="E4845" s="15">
        <v>0</v>
      </c>
      <c r="F4845" s="15">
        <v>0</v>
      </c>
      <c r="G4845" s="15">
        <v>0</v>
      </c>
      <c r="H4845" s="15">
        <v>0</v>
      </c>
    </row>
    <row r="4846" spans="2:8">
      <c r="B4846" s="17" t="s">
        <v>10789</v>
      </c>
      <c r="C4846" s="246" t="s">
        <v>5085</v>
      </c>
      <c r="D4846" s="18">
        <v>0</v>
      </c>
      <c r="E4846" s="18">
        <v>0</v>
      </c>
      <c r="F4846" s="18">
        <v>0</v>
      </c>
      <c r="G4846" s="18">
        <v>0</v>
      </c>
      <c r="H4846" s="18">
        <v>0</v>
      </c>
    </row>
    <row r="4847" spans="2:8">
      <c r="B4847" s="14" t="s">
        <v>10790</v>
      </c>
      <c r="C4847" s="245" t="s">
        <v>5086</v>
      </c>
      <c r="D4847" s="15">
        <v>0</v>
      </c>
      <c r="E4847" s="15">
        <v>0</v>
      </c>
      <c r="F4847" s="15">
        <v>0</v>
      </c>
      <c r="G4847" s="15">
        <v>0</v>
      </c>
      <c r="H4847" s="15">
        <v>0</v>
      </c>
    </row>
    <row r="4848" spans="2:8">
      <c r="B4848" s="17" t="s">
        <v>10791</v>
      </c>
      <c r="C4848" s="246" t="s">
        <v>5087</v>
      </c>
      <c r="D4848" s="18">
        <v>0</v>
      </c>
      <c r="E4848" s="18">
        <v>0</v>
      </c>
      <c r="F4848" s="18">
        <v>0</v>
      </c>
      <c r="G4848" s="18">
        <v>0</v>
      </c>
      <c r="H4848" s="18">
        <v>0</v>
      </c>
    </row>
    <row r="4849" spans="2:8">
      <c r="B4849" s="14" t="s">
        <v>10792</v>
      </c>
      <c r="C4849" s="245" t="s">
        <v>5088</v>
      </c>
      <c r="D4849" s="15">
        <v>0</v>
      </c>
      <c r="E4849" s="15">
        <v>0</v>
      </c>
      <c r="F4849" s="15">
        <v>0</v>
      </c>
      <c r="G4849" s="15">
        <v>0</v>
      </c>
      <c r="H4849" s="15">
        <v>0</v>
      </c>
    </row>
    <row r="4850" spans="2:8">
      <c r="B4850" s="17" t="s">
        <v>10793</v>
      </c>
      <c r="C4850" s="246" t="s">
        <v>5089</v>
      </c>
      <c r="D4850" s="18">
        <v>0</v>
      </c>
      <c r="E4850" s="18">
        <v>0</v>
      </c>
      <c r="F4850" s="18">
        <v>0</v>
      </c>
      <c r="G4850" s="18">
        <v>0</v>
      </c>
      <c r="H4850" s="18">
        <v>0</v>
      </c>
    </row>
    <row r="4851" spans="2:8">
      <c r="B4851" s="14" t="s">
        <v>10794</v>
      </c>
      <c r="C4851" s="245" t="s">
        <v>5090</v>
      </c>
      <c r="D4851" s="15">
        <v>0</v>
      </c>
      <c r="E4851" s="15">
        <v>0</v>
      </c>
      <c r="F4851" s="15">
        <v>0</v>
      </c>
      <c r="G4851" s="15">
        <v>0</v>
      </c>
      <c r="H4851" s="15">
        <v>0</v>
      </c>
    </row>
    <row r="4852" spans="2:8">
      <c r="B4852" s="17" t="s">
        <v>10795</v>
      </c>
      <c r="C4852" s="246" t="s">
        <v>5091</v>
      </c>
      <c r="D4852" s="18">
        <v>0</v>
      </c>
      <c r="E4852" s="18">
        <v>0</v>
      </c>
      <c r="F4852" s="18">
        <v>0</v>
      </c>
      <c r="G4852" s="18">
        <v>0</v>
      </c>
      <c r="H4852" s="18">
        <v>0</v>
      </c>
    </row>
    <row r="4853" spans="2:8">
      <c r="B4853" s="14" t="s">
        <v>10796</v>
      </c>
      <c r="C4853" s="245" t="s">
        <v>5092</v>
      </c>
      <c r="D4853" s="15">
        <v>0</v>
      </c>
      <c r="E4853" s="15">
        <v>0</v>
      </c>
      <c r="F4853" s="15">
        <v>0</v>
      </c>
      <c r="G4853" s="15">
        <v>0</v>
      </c>
      <c r="H4853" s="15">
        <v>0</v>
      </c>
    </row>
    <row r="4854" spans="2:8">
      <c r="B4854" s="17" t="s">
        <v>10797</v>
      </c>
      <c r="C4854" s="246" t="s">
        <v>5093</v>
      </c>
      <c r="D4854" s="18">
        <v>0</v>
      </c>
      <c r="E4854" s="18">
        <v>0</v>
      </c>
      <c r="F4854" s="18">
        <v>0</v>
      </c>
      <c r="G4854" s="18">
        <v>0</v>
      </c>
      <c r="H4854" s="18">
        <v>0</v>
      </c>
    </row>
    <row r="4855" spans="2:8">
      <c r="B4855" s="14" t="s">
        <v>10798</v>
      </c>
      <c r="C4855" s="245" t="s">
        <v>5094</v>
      </c>
      <c r="D4855" s="15">
        <v>0</v>
      </c>
      <c r="E4855" s="15">
        <v>0</v>
      </c>
      <c r="F4855" s="15">
        <v>0</v>
      </c>
      <c r="G4855" s="15">
        <v>0</v>
      </c>
      <c r="H4855" s="15">
        <v>0</v>
      </c>
    </row>
    <row r="4856" spans="2:8">
      <c r="B4856" s="17" t="s">
        <v>10799</v>
      </c>
      <c r="C4856" s="246" t="s">
        <v>5095</v>
      </c>
      <c r="D4856" s="18">
        <v>71</v>
      </c>
      <c r="E4856" s="18">
        <v>0</v>
      </c>
      <c r="F4856" s="18">
        <v>0</v>
      </c>
      <c r="G4856" s="18">
        <v>0</v>
      </c>
      <c r="H4856" s="18">
        <v>0</v>
      </c>
    </row>
    <row r="4857" spans="2:8">
      <c r="B4857" s="14" t="s">
        <v>10800</v>
      </c>
      <c r="C4857" s="245" t="s">
        <v>5096</v>
      </c>
      <c r="D4857" s="15">
        <v>0</v>
      </c>
      <c r="E4857" s="15">
        <v>0</v>
      </c>
      <c r="F4857" s="15">
        <v>0</v>
      </c>
      <c r="G4857" s="15">
        <v>0</v>
      </c>
      <c r="H4857" s="15">
        <v>0</v>
      </c>
    </row>
    <row r="4858" spans="2:8">
      <c r="B4858" s="17" t="s">
        <v>10801</v>
      </c>
      <c r="C4858" s="246" t="s">
        <v>5097</v>
      </c>
      <c r="D4858" s="18">
        <v>0</v>
      </c>
      <c r="E4858" s="18">
        <v>0</v>
      </c>
      <c r="F4858" s="18">
        <v>0</v>
      </c>
      <c r="G4858" s="18">
        <v>0</v>
      </c>
      <c r="H4858" s="18">
        <v>0</v>
      </c>
    </row>
    <row r="4859" spans="2:8">
      <c r="B4859" s="14" t="s">
        <v>10802</v>
      </c>
      <c r="C4859" s="245" t="s">
        <v>5098</v>
      </c>
      <c r="D4859" s="15">
        <v>0</v>
      </c>
      <c r="E4859" s="15">
        <v>0</v>
      </c>
      <c r="F4859" s="15">
        <v>0</v>
      </c>
      <c r="G4859" s="15">
        <v>0</v>
      </c>
      <c r="H4859" s="15">
        <v>0</v>
      </c>
    </row>
    <row r="4860" spans="2:8">
      <c r="B4860" s="17" t="s">
        <v>10803</v>
      </c>
      <c r="C4860" s="246" t="s">
        <v>5099</v>
      </c>
      <c r="D4860" s="18">
        <v>0</v>
      </c>
      <c r="E4860" s="18">
        <v>0</v>
      </c>
      <c r="F4860" s="18">
        <v>0</v>
      </c>
      <c r="G4860" s="18">
        <v>0</v>
      </c>
      <c r="H4860" s="18">
        <v>0</v>
      </c>
    </row>
    <row r="4861" spans="2:8">
      <c r="B4861" s="14" t="s">
        <v>10804</v>
      </c>
      <c r="C4861" s="245" t="s">
        <v>5100</v>
      </c>
      <c r="D4861" s="15">
        <v>0</v>
      </c>
      <c r="E4861" s="15">
        <v>0</v>
      </c>
      <c r="F4861" s="15">
        <v>0</v>
      </c>
      <c r="G4861" s="15">
        <v>0</v>
      </c>
      <c r="H4861" s="15">
        <v>0</v>
      </c>
    </row>
    <row r="4862" spans="2:8">
      <c r="B4862" s="17" t="s">
        <v>10805</v>
      </c>
      <c r="C4862" s="246" t="s">
        <v>5101</v>
      </c>
      <c r="D4862" s="18">
        <v>0</v>
      </c>
      <c r="E4862" s="18">
        <v>0</v>
      </c>
      <c r="F4862" s="18">
        <v>0</v>
      </c>
      <c r="G4862" s="18">
        <v>0</v>
      </c>
      <c r="H4862" s="18">
        <v>0</v>
      </c>
    </row>
    <row r="4863" spans="2:8">
      <c r="B4863" s="14" t="s">
        <v>10806</v>
      </c>
      <c r="C4863" s="245" t="s">
        <v>5102</v>
      </c>
      <c r="D4863" s="15">
        <v>0</v>
      </c>
      <c r="E4863" s="15">
        <v>0</v>
      </c>
      <c r="F4863" s="15">
        <v>0</v>
      </c>
      <c r="G4863" s="15">
        <v>0</v>
      </c>
      <c r="H4863" s="15">
        <v>0</v>
      </c>
    </row>
    <row r="4864" spans="2:8">
      <c r="B4864" s="17" t="s">
        <v>10807</v>
      </c>
      <c r="C4864" s="246" t="s">
        <v>5103</v>
      </c>
      <c r="D4864" s="18">
        <v>0</v>
      </c>
      <c r="E4864" s="18">
        <v>0</v>
      </c>
      <c r="F4864" s="18">
        <v>0</v>
      </c>
      <c r="G4864" s="18">
        <v>0</v>
      </c>
      <c r="H4864" s="18">
        <v>0</v>
      </c>
    </row>
    <row r="4865" spans="2:8">
      <c r="B4865" s="14" t="s">
        <v>10808</v>
      </c>
      <c r="C4865" s="245" t="s">
        <v>5104</v>
      </c>
      <c r="D4865" s="15">
        <v>0</v>
      </c>
      <c r="E4865" s="15">
        <v>0</v>
      </c>
      <c r="F4865" s="15">
        <v>0</v>
      </c>
      <c r="G4865" s="15">
        <v>0</v>
      </c>
      <c r="H4865" s="15">
        <v>0</v>
      </c>
    </row>
    <row r="4866" spans="2:8">
      <c r="B4866" s="17" t="s">
        <v>10809</v>
      </c>
      <c r="C4866" s="246" t="s">
        <v>5105</v>
      </c>
      <c r="D4866" s="18">
        <v>0</v>
      </c>
      <c r="E4866" s="18">
        <v>0</v>
      </c>
      <c r="F4866" s="18">
        <v>0</v>
      </c>
      <c r="G4866" s="18">
        <v>0</v>
      </c>
      <c r="H4866" s="18">
        <v>0</v>
      </c>
    </row>
    <row r="4867" spans="2:8">
      <c r="B4867" s="14" t="s">
        <v>10810</v>
      </c>
      <c r="C4867" s="245" t="s">
        <v>5106</v>
      </c>
      <c r="D4867" s="15">
        <v>0</v>
      </c>
      <c r="E4867" s="15">
        <v>0</v>
      </c>
      <c r="F4867" s="15">
        <v>0</v>
      </c>
      <c r="G4867" s="15">
        <v>0</v>
      </c>
      <c r="H4867" s="15">
        <v>0</v>
      </c>
    </row>
    <row r="4868" spans="2:8">
      <c r="B4868" s="17" t="s">
        <v>10811</v>
      </c>
      <c r="C4868" s="246" t="s">
        <v>5107</v>
      </c>
      <c r="D4868" s="18">
        <v>0</v>
      </c>
      <c r="E4868" s="18">
        <v>0</v>
      </c>
      <c r="F4868" s="18">
        <v>0</v>
      </c>
      <c r="G4868" s="18">
        <v>0</v>
      </c>
      <c r="H4868" s="18">
        <v>0</v>
      </c>
    </row>
    <row r="4869" spans="2:8">
      <c r="B4869" s="14" t="s">
        <v>10812</v>
      </c>
      <c r="C4869" s="245" t="s">
        <v>5108</v>
      </c>
      <c r="D4869" s="15">
        <v>0</v>
      </c>
      <c r="E4869" s="15">
        <v>0</v>
      </c>
      <c r="F4869" s="15">
        <v>0</v>
      </c>
      <c r="G4869" s="15">
        <v>0</v>
      </c>
      <c r="H4869" s="15">
        <v>0</v>
      </c>
    </row>
    <row r="4870" spans="2:8">
      <c r="B4870" s="17" t="s">
        <v>10813</v>
      </c>
      <c r="C4870" s="246" t="s">
        <v>5109</v>
      </c>
      <c r="D4870" s="18">
        <v>0</v>
      </c>
      <c r="E4870" s="18">
        <v>0</v>
      </c>
      <c r="F4870" s="18">
        <v>0</v>
      </c>
      <c r="G4870" s="18">
        <v>0</v>
      </c>
      <c r="H4870" s="18">
        <v>0</v>
      </c>
    </row>
    <row r="4871" spans="2:8">
      <c r="B4871" s="14" t="s">
        <v>10814</v>
      </c>
      <c r="C4871" s="245" t="s">
        <v>5110</v>
      </c>
      <c r="D4871" s="15">
        <v>0</v>
      </c>
      <c r="E4871" s="15">
        <v>0</v>
      </c>
      <c r="F4871" s="15">
        <v>0</v>
      </c>
      <c r="G4871" s="15">
        <v>0</v>
      </c>
      <c r="H4871" s="15">
        <v>0</v>
      </c>
    </row>
    <row r="4872" spans="2:8">
      <c r="B4872" s="17" t="s">
        <v>10815</v>
      </c>
      <c r="C4872" s="246" t="s">
        <v>5111</v>
      </c>
      <c r="D4872" s="18">
        <v>0</v>
      </c>
      <c r="E4872" s="18">
        <v>0</v>
      </c>
      <c r="F4872" s="18">
        <v>0</v>
      </c>
      <c r="G4872" s="18">
        <v>0</v>
      </c>
      <c r="H4872" s="18">
        <v>0</v>
      </c>
    </row>
    <row r="4873" spans="2:8">
      <c r="B4873" s="14" t="s">
        <v>10816</v>
      </c>
      <c r="C4873" s="245" t="s">
        <v>5112</v>
      </c>
      <c r="D4873" s="15">
        <v>0</v>
      </c>
      <c r="E4873" s="15">
        <v>0</v>
      </c>
      <c r="F4873" s="15">
        <v>0</v>
      </c>
      <c r="G4873" s="15">
        <v>0</v>
      </c>
      <c r="H4873" s="15">
        <v>0</v>
      </c>
    </row>
    <row r="4874" spans="2:8">
      <c r="B4874" s="17" t="s">
        <v>10817</v>
      </c>
      <c r="C4874" s="246" t="s">
        <v>5113</v>
      </c>
      <c r="D4874" s="18">
        <v>0</v>
      </c>
      <c r="E4874" s="18">
        <v>0</v>
      </c>
      <c r="F4874" s="18">
        <v>0</v>
      </c>
      <c r="G4874" s="18">
        <v>0</v>
      </c>
      <c r="H4874" s="18">
        <v>0</v>
      </c>
    </row>
    <row r="4875" spans="2:8">
      <c r="B4875" s="14" t="s">
        <v>10818</v>
      </c>
      <c r="C4875" s="245" t="s">
        <v>5114</v>
      </c>
      <c r="D4875" s="15">
        <v>0</v>
      </c>
      <c r="E4875" s="15">
        <v>0</v>
      </c>
      <c r="F4875" s="15">
        <v>0</v>
      </c>
      <c r="G4875" s="15">
        <v>0</v>
      </c>
      <c r="H4875" s="15">
        <v>0</v>
      </c>
    </row>
    <row r="4876" spans="2:8">
      <c r="B4876" s="17" t="s">
        <v>10819</v>
      </c>
      <c r="C4876" s="246" t="s">
        <v>5115</v>
      </c>
      <c r="D4876" s="18">
        <v>0</v>
      </c>
      <c r="E4876" s="18">
        <v>0</v>
      </c>
      <c r="F4876" s="18">
        <v>0</v>
      </c>
      <c r="G4876" s="18">
        <v>0</v>
      </c>
      <c r="H4876" s="18">
        <v>0</v>
      </c>
    </row>
    <row r="4877" spans="2:8">
      <c r="B4877" s="14" t="s">
        <v>10820</v>
      </c>
      <c r="C4877" s="245" t="s">
        <v>5116</v>
      </c>
      <c r="D4877" s="15">
        <v>0</v>
      </c>
      <c r="E4877" s="15">
        <v>0</v>
      </c>
      <c r="F4877" s="15">
        <v>0</v>
      </c>
      <c r="G4877" s="15">
        <v>0</v>
      </c>
      <c r="H4877" s="15">
        <v>0</v>
      </c>
    </row>
    <row r="4878" spans="2:8">
      <c r="B4878" s="17" t="s">
        <v>10821</v>
      </c>
      <c r="C4878" s="246" t="s">
        <v>5117</v>
      </c>
      <c r="D4878" s="18">
        <v>0</v>
      </c>
      <c r="E4878" s="18">
        <v>0</v>
      </c>
      <c r="F4878" s="18">
        <v>0</v>
      </c>
      <c r="G4878" s="18">
        <v>0</v>
      </c>
      <c r="H4878" s="18">
        <v>0</v>
      </c>
    </row>
    <row r="4879" spans="2:8">
      <c r="B4879" s="14" t="s">
        <v>10822</v>
      </c>
      <c r="C4879" s="245" t="s">
        <v>5118</v>
      </c>
      <c r="D4879" s="15">
        <v>0</v>
      </c>
      <c r="E4879" s="15">
        <v>0</v>
      </c>
      <c r="F4879" s="15">
        <v>0</v>
      </c>
      <c r="G4879" s="15">
        <v>0</v>
      </c>
      <c r="H4879" s="15">
        <v>0</v>
      </c>
    </row>
    <row r="4880" spans="2:8">
      <c r="B4880" s="17" t="s">
        <v>10823</v>
      </c>
      <c r="C4880" s="246" t="s">
        <v>5119</v>
      </c>
      <c r="D4880" s="18">
        <v>0</v>
      </c>
      <c r="E4880" s="18">
        <v>0</v>
      </c>
      <c r="F4880" s="18">
        <v>0</v>
      </c>
      <c r="G4880" s="18">
        <v>0</v>
      </c>
      <c r="H4880" s="18">
        <v>0</v>
      </c>
    </row>
    <row r="4881" spans="2:8">
      <c r="B4881" s="14" t="s">
        <v>10824</v>
      </c>
      <c r="C4881" s="245" t="s">
        <v>5120</v>
      </c>
      <c r="D4881" s="15">
        <v>0</v>
      </c>
      <c r="E4881" s="15">
        <v>0</v>
      </c>
      <c r="F4881" s="15">
        <v>0</v>
      </c>
      <c r="G4881" s="15">
        <v>0</v>
      </c>
      <c r="H4881" s="15">
        <v>0</v>
      </c>
    </row>
    <row r="4882" spans="2:8">
      <c r="B4882" s="17" t="s">
        <v>10825</v>
      </c>
      <c r="C4882" s="246" t="s">
        <v>5121</v>
      </c>
      <c r="D4882" s="18">
        <v>0</v>
      </c>
      <c r="E4882" s="18">
        <v>0</v>
      </c>
      <c r="F4882" s="18">
        <v>0</v>
      </c>
      <c r="G4882" s="18">
        <v>0</v>
      </c>
      <c r="H4882" s="18">
        <v>0</v>
      </c>
    </row>
    <row r="4883" spans="2:8">
      <c r="B4883" s="14" t="s">
        <v>10826</v>
      </c>
      <c r="C4883" s="245" t="s">
        <v>1989</v>
      </c>
      <c r="D4883" s="15">
        <v>0</v>
      </c>
      <c r="E4883" s="15">
        <v>0</v>
      </c>
      <c r="F4883" s="15">
        <v>0</v>
      </c>
      <c r="G4883" s="15">
        <v>0</v>
      </c>
      <c r="H4883" s="15">
        <v>0</v>
      </c>
    </row>
    <row r="4884" spans="2:8">
      <c r="B4884" s="17" t="s">
        <v>10827</v>
      </c>
      <c r="C4884" s="246" t="s">
        <v>5122</v>
      </c>
      <c r="D4884" s="18">
        <v>0</v>
      </c>
      <c r="E4884" s="18">
        <v>0</v>
      </c>
      <c r="F4884" s="18">
        <v>0</v>
      </c>
      <c r="G4884" s="18">
        <v>0</v>
      </c>
      <c r="H4884" s="18">
        <v>0</v>
      </c>
    </row>
    <row r="4885" spans="2:8">
      <c r="B4885" s="14" t="s">
        <v>10828</v>
      </c>
      <c r="C4885" s="245" t="s">
        <v>5123</v>
      </c>
      <c r="D4885" s="15">
        <v>0</v>
      </c>
      <c r="E4885" s="15">
        <v>0</v>
      </c>
      <c r="F4885" s="15">
        <v>0</v>
      </c>
      <c r="G4885" s="15">
        <v>0</v>
      </c>
      <c r="H4885" s="15">
        <v>0</v>
      </c>
    </row>
    <row r="4886" spans="2:8">
      <c r="B4886" s="17" t="s">
        <v>10829</v>
      </c>
      <c r="C4886" s="246" t="s">
        <v>5124</v>
      </c>
      <c r="D4886" s="18">
        <v>0</v>
      </c>
      <c r="E4886" s="18">
        <v>0</v>
      </c>
      <c r="F4886" s="18">
        <v>0</v>
      </c>
      <c r="G4886" s="18">
        <v>0</v>
      </c>
      <c r="H4886" s="18">
        <v>0</v>
      </c>
    </row>
    <row r="4887" spans="2:8">
      <c r="B4887" s="14" t="s">
        <v>10830</v>
      </c>
      <c r="C4887" s="245" t="s">
        <v>5125</v>
      </c>
      <c r="D4887" s="15">
        <v>0</v>
      </c>
      <c r="E4887" s="15">
        <v>0</v>
      </c>
      <c r="F4887" s="15">
        <v>0</v>
      </c>
      <c r="G4887" s="15">
        <v>0</v>
      </c>
      <c r="H4887" s="15">
        <v>0</v>
      </c>
    </row>
    <row r="4888" spans="2:8">
      <c r="B4888" s="17" t="s">
        <v>10831</v>
      </c>
      <c r="C4888" s="246" t="s">
        <v>5126</v>
      </c>
      <c r="D4888" s="18">
        <v>0</v>
      </c>
      <c r="E4888" s="18">
        <v>0</v>
      </c>
      <c r="F4888" s="18">
        <v>0</v>
      </c>
      <c r="G4888" s="18">
        <v>0</v>
      </c>
      <c r="H4888" s="18">
        <v>0</v>
      </c>
    </row>
    <row r="4889" spans="2:8">
      <c r="B4889" s="14" t="s">
        <v>10832</v>
      </c>
      <c r="C4889" s="245" t="s">
        <v>5127</v>
      </c>
      <c r="D4889" s="15">
        <v>0</v>
      </c>
      <c r="E4889" s="15">
        <v>0</v>
      </c>
      <c r="F4889" s="15">
        <v>0</v>
      </c>
      <c r="G4889" s="15">
        <v>0</v>
      </c>
      <c r="H4889" s="15">
        <v>0</v>
      </c>
    </row>
    <row r="4890" spans="2:8">
      <c r="B4890" s="17" t="s">
        <v>10833</v>
      </c>
      <c r="C4890" s="246" t="s">
        <v>5128</v>
      </c>
      <c r="D4890" s="18">
        <v>0</v>
      </c>
      <c r="E4890" s="18">
        <v>0</v>
      </c>
      <c r="F4890" s="18">
        <v>0</v>
      </c>
      <c r="G4890" s="18">
        <v>0</v>
      </c>
      <c r="H4890" s="18">
        <v>0</v>
      </c>
    </row>
    <row r="4891" spans="2:8">
      <c r="B4891" s="14" t="s">
        <v>10834</v>
      </c>
      <c r="C4891" s="245" t="s">
        <v>5129</v>
      </c>
      <c r="D4891" s="15">
        <v>0</v>
      </c>
      <c r="E4891" s="15">
        <v>0</v>
      </c>
      <c r="F4891" s="15">
        <v>0</v>
      </c>
      <c r="G4891" s="15">
        <v>0</v>
      </c>
      <c r="H4891" s="15">
        <v>0</v>
      </c>
    </row>
    <row r="4892" spans="2:8">
      <c r="B4892" s="17" t="s">
        <v>10835</v>
      </c>
      <c r="C4892" s="246" t="s">
        <v>5130</v>
      </c>
      <c r="D4892" s="18">
        <v>0</v>
      </c>
      <c r="E4892" s="18">
        <v>0</v>
      </c>
      <c r="F4892" s="18">
        <v>0</v>
      </c>
      <c r="G4892" s="18">
        <v>0</v>
      </c>
      <c r="H4892" s="18">
        <v>0</v>
      </c>
    </row>
    <row r="4893" spans="2:8">
      <c r="B4893" s="14" t="s">
        <v>10836</v>
      </c>
      <c r="C4893" s="245" t="s">
        <v>5131</v>
      </c>
      <c r="D4893" s="15">
        <v>0</v>
      </c>
      <c r="E4893" s="15">
        <v>0</v>
      </c>
      <c r="F4893" s="15">
        <v>0</v>
      </c>
      <c r="G4893" s="15">
        <v>0</v>
      </c>
      <c r="H4893" s="15">
        <v>0</v>
      </c>
    </row>
    <row r="4894" spans="2:8">
      <c r="B4894" s="17" t="s">
        <v>10837</v>
      </c>
      <c r="C4894" s="246" t="s">
        <v>5132</v>
      </c>
      <c r="D4894" s="18">
        <v>0</v>
      </c>
      <c r="E4894" s="18">
        <v>0</v>
      </c>
      <c r="F4894" s="18">
        <v>0</v>
      </c>
      <c r="G4894" s="18">
        <v>0</v>
      </c>
      <c r="H4894" s="18">
        <v>0</v>
      </c>
    </row>
    <row r="4895" spans="2:8">
      <c r="B4895" s="14" t="s">
        <v>10838</v>
      </c>
      <c r="C4895" s="245" t="s">
        <v>5133</v>
      </c>
      <c r="D4895" s="15">
        <v>0</v>
      </c>
      <c r="E4895" s="15">
        <v>0</v>
      </c>
      <c r="F4895" s="15">
        <v>0</v>
      </c>
      <c r="G4895" s="15">
        <v>0</v>
      </c>
      <c r="H4895" s="15">
        <v>0</v>
      </c>
    </row>
    <row r="4896" spans="2:8">
      <c r="B4896" s="17" t="s">
        <v>10839</v>
      </c>
      <c r="C4896" s="246" t="s">
        <v>5134</v>
      </c>
      <c r="D4896" s="18">
        <v>0</v>
      </c>
      <c r="E4896" s="18">
        <v>0</v>
      </c>
      <c r="F4896" s="18">
        <v>0</v>
      </c>
      <c r="G4896" s="18">
        <v>0</v>
      </c>
      <c r="H4896" s="18">
        <v>0</v>
      </c>
    </row>
    <row r="4897" spans="2:8">
      <c r="B4897" s="14" t="s">
        <v>10840</v>
      </c>
      <c r="C4897" s="245" t="s">
        <v>5135</v>
      </c>
      <c r="D4897" s="15">
        <v>0</v>
      </c>
      <c r="E4897" s="15">
        <v>0</v>
      </c>
      <c r="F4897" s="15">
        <v>0</v>
      </c>
      <c r="G4897" s="15">
        <v>0</v>
      </c>
      <c r="H4897" s="15">
        <v>0</v>
      </c>
    </row>
    <row r="4898" spans="2:8">
      <c r="B4898" s="17" t="s">
        <v>10841</v>
      </c>
      <c r="C4898" s="246" t="s">
        <v>5136</v>
      </c>
      <c r="D4898" s="18">
        <v>0</v>
      </c>
      <c r="E4898" s="18">
        <v>0</v>
      </c>
      <c r="F4898" s="18">
        <v>0</v>
      </c>
      <c r="G4898" s="18">
        <v>8</v>
      </c>
      <c r="H4898" s="18">
        <v>0</v>
      </c>
    </row>
    <row r="4899" spans="2:8">
      <c r="B4899" s="14" t="s">
        <v>10842</v>
      </c>
      <c r="C4899" s="245" t="s">
        <v>5137</v>
      </c>
      <c r="D4899" s="15">
        <v>0</v>
      </c>
      <c r="E4899" s="15">
        <v>0</v>
      </c>
      <c r="F4899" s="15">
        <v>0</v>
      </c>
      <c r="G4899" s="15">
        <v>0</v>
      </c>
      <c r="H4899" s="15">
        <v>0</v>
      </c>
    </row>
    <row r="4900" spans="2:8">
      <c r="B4900" s="17" t="s">
        <v>10843</v>
      </c>
      <c r="C4900" s="246" t="s">
        <v>5138</v>
      </c>
      <c r="D4900" s="18">
        <v>0</v>
      </c>
      <c r="E4900" s="18">
        <v>0</v>
      </c>
      <c r="F4900" s="18">
        <v>0</v>
      </c>
      <c r="G4900" s="18">
        <v>0</v>
      </c>
      <c r="H4900" s="18">
        <v>0</v>
      </c>
    </row>
    <row r="4901" spans="2:8">
      <c r="B4901" s="14" t="s">
        <v>10844</v>
      </c>
      <c r="C4901" s="245" t="s">
        <v>5139</v>
      </c>
      <c r="D4901" s="15">
        <v>0</v>
      </c>
      <c r="E4901" s="15">
        <v>0</v>
      </c>
      <c r="F4901" s="15">
        <v>3</v>
      </c>
      <c r="G4901" s="15">
        <v>0</v>
      </c>
      <c r="H4901" s="15">
        <v>0</v>
      </c>
    </row>
    <row r="4902" spans="2:8">
      <c r="B4902" s="17" t="s">
        <v>10845</v>
      </c>
      <c r="C4902" s="246" t="s">
        <v>5140</v>
      </c>
      <c r="D4902" s="18">
        <v>0</v>
      </c>
      <c r="E4902" s="18">
        <v>0</v>
      </c>
      <c r="F4902" s="18">
        <v>0</v>
      </c>
      <c r="G4902" s="18">
        <v>0</v>
      </c>
      <c r="H4902" s="18">
        <v>0</v>
      </c>
    </row>
    <row r="4903" spans="2:8">
      <c r="B4903" s="14" t="s">
        <v>10846</v>
      </c>
      <c r="C4903" s="245" t="s">
        <v>5141</v>
      </c>
      <c r="D4903" s="15">
        <v>0</v>
      </c>
      <c r="E4903" s="15">
        <v>0</v>
      </c>
      <c r="F4903" s="15">
        <v>0</v>
      </c>
      <c r="G4903" s="15">
        <v>0</v>
      </c>
      <c r="H4903" s="15">
        <v>0</v>
      </c>
    </row>
    <row r="4904" spans="2:8">
      <c r="B4904" s="17" t="s">
        <v>10847</v>
      </c>
      <c r="C4904" s="246" t="s">
        <v>5142</v>
      </c>
      <c r="D4904" s="18">
        <v>0</v>
      </c>
      <c r="E4904" s="18">
        <v>0</v>
      </c>
      <c r="F4904" s="18">
        <v>0</v>
      </c>
      <c r="G4904" s="18">
        <v>0</v>
      </c>
      <c r="H4904" s="18">
        <v>0</v>
      </c>
    </row>
    <row r="4905" spans="2:8">
      <c r="B4905" s="14" t="s">
        <v>10848</v>
      </c>
      <c r="C4905" s="245" t="s">
        <v>5143</v>
      </c>
      <c r="D4905" s="15">
        <v>0</v>
      </c>
      <c r="E4905" s="15">
        <v>0</v>
      </c>
      <c r="F4905" s="15">
        <v>0</v>
      </c>
      <c r="G4905" s="15">
        <v>0</v>
      </c>
      <c r="H4905" s="15">
        <v>0</v>
      </c>
    </row>
    <row r="4906" spans="2:8">
      <c r="B4906" s="17" t="s">
        <v>10849</v>
      </c>
      <c r="C4906" s="246" t="s">
        <v>5144</v>
      </c>
      <c r="D4906" s="18">
        <v>10</v>
      </c>
      <c r="E4906" s="18">
        <v>0</v>
      </c>
      <c r="F4906" s="18">
        <v>0</v>
      </c>
      <c r="G4906" s="18">
        <v>0</v>
      </c>
      <c r="H4906" s="18">
        <v>0</v>
      </c>
    </row>
    <row r="4907" spans="2:8">
      <c r="B4907" s="14" t="s">
        <v>10850</v>
      </c>
      <c r="C4907" s="245" t="s">
        <v>5145</v>
      </c>
      <c r="D4907" s="15">
        <v>0</v>
      </c>
      <c r="E4907" s="15">
        <v>0</v>
      </c>
      <c r="F4907" s="15">
        <v>0</v>
      </c>
      <c r="G4907" s="15">
        <v>50</v>
      </c>
      <c r="H4907" s="15">
        <v>0</v>
      </c>
    </row>
    <row r="4908" spans="2:8">
      <c r="B4908" s="17" t="s">
        <v>10851</v>
      </c>
      <c r="C4908" s="246" t="s">
        <v>5146</v>
      </c>
      <c r="D4908" s="18">
        <v>0</v>
      </c>
      <c r="E4908" s="18">
        <v>0</v>
      </c>
      <c r="F4908" s="18">
        <v>0</v>
      </c>
      <c r="G4908" s="18">
        <v>0</v>
      </c>
      <c r="H4908" s="18">
        <v>0</v>
      </c>
    </row>
    <row r="4909" spans="2:8">
      <c r="B4909" s="14" t="s">
        <v>10852</v>
      </c>
      <c r="C4909" s="245" t="s">
        <v>5147</v>
      </c>
      <c r="D4909" s="15">
        <v>0</v>
      </c>
      <c r="E4909" s="15">
        <v>0</v>
      </c>
      <c r="F4909" s="15">
        <v>0</v>
      </c>
      <c r="G4909" s="15">
        <v>0</v>
      </c>
      <c r="H4909" s="15">
        <v>0</v>
      </c>
    </row>
    <row r="4910" spans="2:8">
      <c r="B4910" s="17" t="s">
        <v>10853</v>
      </c>
      <c r="C4910" s="246" t="s">
        <v>5148</v>
      </c>
      <c r="D4910" s="18">
        <v>0</v>
      </c>
      <c r="E4910" s="18">
        <v>0</v>
      </c>
      <c r="F4910" s="18">
        <v>0</v>
      </c>
      <c r="G4910" s="18">
        <v>0</v>
      </c>
      <c r="H4910" s="18">
        <v>0</v>
      </c>
    </row>
    <row r="4911" spans="2:8">
      <c r="B4911" s="14" t="s">
        <v>10854</v>
      </c>
      <c r="C4911" s="245" t="s">
        <v>5149</v>
      </c>
      <c r="D4911" s="15">
        <v>0</v>
      </c>
      <c r="E4911" s="15">
        <v>0</v>
      </c>
      <c r="F4911" s="15">
        <v>0</v>
      </c>
      <c r="G4911" s="15">
        <v>0</v>
      </c>
      <c r="H4911" s="15">
        <v>0</v>
      </c>
    </row>
    <row r="4912" spans="2:8">
      <c r="B4912" s="17" t="s">
        <v>10855</v>
      </c>
      <c r="C4912" s="246" t="s">
        <v>5150</v>
      </c>
      <c r="D4912" s="18">
        <v>0</v>
      </c>
      <c r="E4912" s="18">
        <v>0</v>
      </c>
      <c r="F4912" s="18">
        <v>0</v>
      </c>
      <c r="G4912" s="18">
        <v>0</v>
      </c>
      <c r="H4912" s="18">
        <v>0</v>
      </c>
    </row>
    <row r="4913" spans="2:8">
      <c r="B4913" s="14" t="s">
        <v>10856</v>
      </c>
      <c r="C4913" s="245" t="s">
        <v>5151</v>
      </c>
      <c r="D4913" s="15">
        <v>0</v>
      </c>
      <c r="E4913" s="15">
        <v>0</v>
      </c>
      <c r="F4913" s="15">
        <v>0</v>
      </c>
      <c r="G4913" s="15">
        <v>0</v>
      </c>
      <c r="H4913" s="15">
        <v>0</v>
      </c>
    </row>
    <row r="4914" spans="2:8">
      <c r="B4914" s="17" t="s">
        <v>10857</v>
      </c>
      <c r="C4914" s="246" t="s">
        <v>5152</v>
      </c>
      <c r="D4914" s="18">
        <v>0</v>
      </c>
      <c r="E4914" s="18">
        <v>0</v>
      </c>
      <c r="F4914" s="18">
        <v>0</v>
      </c>
      <c r="G4914" s="18">
        <v>0</v>
      </c>
      <c r="H4914" s="18">
        <v>0</v>
      </c>
    </row>
    <row r="4915" spans="2:8">
      <c r="B4915" s="14" t="s">
        <v>10858</v>
      </c>
      <c r="C4915" s="245" t="s">
        <v>5153</v>
      </c>
      <c r="D4915" s="15">
        <v>71</v>
      </c>
      <c r="E4915" s="15">
        <v>10</v>
      </c>
      <c r="F4915" s="15">
        <v>24</v>
      </c>
      <c r="G4915" s="15">
        <v>0</v>
      </c>
      <c r="H4915" s="15">
        <v>0</v>
      </c>
    </row>
    <row r="4916" spans="2:8">
      <c r="B4916" s="17" t="s">
        <v>10859</v>
      </c>
      <c r="C4916" s="246" t="s">
        <v>5154</v>
      </c>
      <c r="D4916" s="18">
        <v>0</v>
      </c>
      <c r="E4916" s="18">
        <v>0</v>
      </c>
      <c r="F4916" s="18">
        <v>0</v>
      </c>
      <c r="G4916" s="18">
        <v>0</v>
      </c>
      <c r="H4916" s="18">
        <v>0</v>
      </c>
    </row>
    <row r="4917" spans="2:8">
      <c r="B4917" s="14" t="s">
        <v>10860</v>
      </c>
      <c r="C4917" s="245" t="s">
        <v>5155</v>
      </c>
      <c r="D4917" s="15">
        <v>0</v>
      </c>
      <c r="E4917" s="15">
        <v>0</v>
      </c>
      <c r="F4917" s="15">
        <v>0</v>
      </c>
      <c r="G4917" s="15">
        <v>0</v>
      </c>
      <c r="H4917" s="15">
        <v>0</v>
      </c>
    </row>
    <row r="4918" spans="2:8">
      <c r="B4918" s="17" t="s">
        <v>10861</v>
      </c>
      <c r="C4918" s="246" t="s">
        <v>5156</v>
      </c>
      <c r="D4918" s="18">
        <v>0</v>
      </c>
      <c r="E4918" s="18">
        <v>0</v>
      </c>
      <c r="F4918" s="18">
        <v>0</v>
      </c>
      <c r="G4918" s="18">
        <v>0</v>
      </c>
      <c r="H4918" s="18">
        <v>0</v>
      </c>
    </row>
    <row r="4919" spans="2:8">
      <c r="B4919" s="14" t="s">
        <v>10862</v>
      </c>
      <c r="C4919" s="245" t="s">
        <v>5157</v>
      </c>
      <c r="D4919" s="15">
        <v>0</v>
      </c>
      <c r="E4919" s="15">
        <v>0</v>
      </c>
      <c r="F4919" s="15">
        <v>0</v>
      </c>
      <c r="G4919" s="15">
        <v>0</v>
      </c>
      <c r="H4919" s="15">
        <v>0</v>
      </c>
    </row>
    <row r="4920" spans="2:8">
      <c r="B4920" s="17" t="s">
        <v>10863</v>
      </c>
      <c r="C4920" s="246" t="s">
        <v>5158</v>
      </c>
      <c r="D4920" s="18">
        <v>0</v>
      </c>
      <c r="E4920" s="18">
        <v>0</v>
      </c>
      <c r="F4920" s="18">
        <v>0</v>
      </c>
      <c r="G4920" s="18">
        <v>0</v>
      </c>
      <c r="H4920" s="18">
        <v>0</v>
      </c>
    </row>
    <row r="4921" spans="2:8">
      <c r="B4921" s="14" t="s">
        <v>10864</v>
      </c>
      <c r="C4921" s="245" t="s">
        <v>5159</v>
      </c>
      <c r="D4921" s="15">
        <v>3</v>
      </c>
      <c r="E4921" s="15">
        <v>0</v>
      </c>
      <c r="F4921" s="15">
        <v>0</v>
      </c>
      <c r="G4921" s="15">
        <v>0</v>
      </c>
      <c r="H4921" s="15">
        <v>0</v>
      </c>
    </row>
    <row r="4922" spans="2:8">
      <c r="B4922" s="17" t="s">
        <v>10865</v>
      </c>
      <c r="C4922" s="246" t="s">
        <v>5160</v>
      </c>
      <c r="D4922" s="18">
        <v>0</v>
      </c>
      <c r="E4922" s="18">
        <v>0</v>
      </c>
      <c r="F4922" s="18">
        <v>0</v>
      </c>
      <c r="G4922" s="18">
        <v>0</v>
      </c>
      <c r="H4922" s="18">
        <v>0</v>
      </c>
    </row>
    <row r="4923" spans="2:8">
      <c r="B4923" s="14" t="s">
        <v>10866</v>
      </c>
      <c r="C4923" s="245" t="s">
        <v>5161</v>
      </c>
      <c r="D4923" s="15">
        <v>0</v>
      </c>
      <c r="E4923" s="15">
        <v>0</v>
      </c>
      <c r="F4923" s="15">
        <v>2</v>
      </c>
      <c r="G4923" s="15">
        <v>23</v>
      </c>
      <c r="H4923" s="15">
        <v>0</v>
      </c>
    </row>
    <row r="4924" spans="2:8">
      <c r="B4924" s="17" t="s">
        <v>10867</v>
      </c>
      <c r="C4924" s="246" t="s">
        <v>5162</v>
      </c>
      <c r="D4924" s="18">
        <v>0</v>
      </c>
      <c r="E4924" s="18">
        <v>0</v>
      </c>
      <c r="F4924" s="18">
        <v>0</v>
      </c>
      <c r="G4924" s="18">
        <v>0</v>
      </c>
      <c r="H4924" s="18">
        <v>0</v>
      </c>
    </row>
    <row r="4925" spans="2:8">
      <c r="B4925" s="14" t="s">
        <v>10868</v>
      </c>
      <c r="C4925" s="245" t="s">
        <v>5163</v>
      </c>
      <c r="D4925" s="15">
        <v>0</v>
      </c>
      <c r="E4925" s="15">
        <v>0</v>
      </c>
      <c r="F4925" s="15">
        <v>0</v>
      </c>
      <c r="G4925" s="15">
        <v>0</v>
      </c>
      <c r="H4925" s="15">
        <v>0</v>
      </c>
    </row>
    <row r="4926" spans="2:8">
      <c r="B4926" s="17" t="s">
        <v>10869</v>
      </c>
      <c r="C4926" s="246" t="s">
        <v>5164</v>
      </c>
      <c r="D4926" s="18">
        <v>0</v>
      </c>
      <c r="E4926" s="18">
        <v>0</v>
      </c>
      <c r="F4926" s="18">
        <v>0</v>
      </c>
      <c r="G4926" s="18">
        <v>0</v>
      </c>
      <c r="H4926" s="18">
        <v>0</v>
      </c>
    </row>
    <row r="4927" spans="2:8">
      <c r="B4927" s="14" t="s">
        <v>10870</v>
      </c>
      <c r="C4927" s="245" t="s">
        <v>5165</v>
      </c>
      <c r="D4927" s="15">
        <v>0</v>
      </c>
      <c r="E4927" s="15">
        <v>0</v>
      </c>
      <c r="F4927" s="15">
        <v>0</v>
      </c>
      <c r="G4927" s="15">
        <v>0</v>
      </c>
      <c r="H4927" s="15">
        <v>0</v>
      </c>
    </row>
    <row r="4928" spans="2:8">
      <c r="B4928" s="17" t="s">
        <v>10871</v>
      </c>
      <c r="C4928" s="246" t="s">
        <v>5166</v>
      </c>
      <c r="D4928" s="18">
        <v>0</v>
      </c>
      <c r="E4928" s="18">
        <v>0</v>
      </c>
      <c r="F4928" s="18">
        <v>0</v>
      </c>
      <c r="G4928" s="18">
        <v>0</v>
      </c>
      <c r="H4928" s="18">
        <v>0</v>
      </c>
    </row>
    <row r="4929" spans="2:8">
      <c r="B4929" s="14" t="s">
        <v>10872</v>
      </c>
      <c r="C4929" s="245" t="s">
        <v>5167</v>
      </c>
      <c r="D4929" s="15">
        <v>0</v>
      </c>
      <c r="E4929" s="15">
        <v>0</v>
      </c>
      <c r="F4929" s="15">
        <v>0</v>
      </c>
      <c r="G4929" s="15">
        <v>0</v>
      </c>
      <c r="H4929" s="15">
        <v>0</v>
      </c>
    </row>
    <row r="4930" spans="2:8">
      <c r="B4930" s="17" t="s">
        <v>10873</v>
      </c>
      <c r="C4930" s="246" t="s">
        <v>5168</v>
      </c>
      <c r="D4930" s="18">
        <v>0</v>
      </c>
      <c r="E4930" s="18">
        <v>0</v>
      </c>
      <c r="F4930" s="18">
        <v>0</v>
      </c>
      <c r="G4930" s="18">
        <v>0</v>
      </c>
      <c r="H4930" s="18">
        <v>0</v>
      </c>
    </row>
    <row r="4931" spans="2:8">
      <c r="B4931" s="14" t="s">
        <v>10874</v>
      </c>
      <c r="C4931" s="245" t="s">
        <v>5169</v>
      </c>
      <c r="D4931" s="15">
        <v>0</v>
      </c>
      <c r="E4931" s="15">
        <v>0</v>
      </c>
      <c r="F4931" s="15">
        <v>0</v>
      </c>
      <c r="G4931" s="15">
        <v>0</v>
      </c>
      <c r="H4931" s="15">
        <v>0</v>
      </c>
    </row>
    <row r="4932" spans="2:8">
      <c r="B4932" s="17" t="s">
        <v>10875</v>
      </c>
      <c r="C4932" s="246" t="s">
        <v>5170</v>
      </c>
      <c r="D4932" s="18">
        <v>0</v>
      </c>
      <c r="E4932" s="18">
        <v>0</v>
      </c>
      <c r="F4932" s="18">
        <v>0</v>
      </c>
      <c r="G4932" s="18">
        <v>0</v>
      </c>
      <c r="H4932" s="18">
        <v>0</v>
      </c>
    </row>
    <row r="4933" spans="2:8">
      <c r="B4933" s="14" t="s">
        <v>10876</v>
      </c>
      <c r="C4933" s="245" t="s">
        <v>5171</v>
      </c>
      <c r="D4933" s="15">
        <v>0</v>
      </c>
      <c r="E4933" s="15">
        <v>0</v>
      </c>
      <c r="F4933" s="15">
        <v>0</v>
      </c>
      <c r="G4933" s="15">
        <v>0</v>
      </c>
      <c r="H4933" s="15">
        <v>0</v>
      </c>
    </row>
    <row r="4934" spans="2:8">
      <c r="B4934" s="17" t="s">
        <v>10877</v>
      </c>
      <c r="C4934" s="246" t="s">
        <v>5172</v>
      </c>
      <c r="D4934" s="18">
        <v>0</v>
      </c>
      <c r="E4934" s="18">
        <v>0</v>
      </c>
      <c r="F4934" s="18">
        <v>0</v>
      </c>
      <c r="G4934" s="18">
        <v>0</v>
      </c>
      <c r="H4934" s="18">
        <v>0</v>
      </c>
    </row>
    <row r="4935" spans="2:8">
      <c r="B4935" s="14" t="s">
        <v>10878</v>
      </c>
      <c r="C4935" s="245" t="s">
        <v>5173</v>
      </c>
      <c r="D4935" s="15">
        <v>0</v>
      </c>
      <c r="E4935" s="15">
        <v>0</v>
      </c>
      <c r="F4935" s="15">
        <v>0</v>
      </c>
      <c r="G4935" s="15">
        <v>0</v>
      </c>
      <c r="H4935" s="15">
        <v>0</v>
      </c>
    </row>
    <row r="4936" spans="2:8">
      <c r="B4936" s="17" t="s">
        <v>10879</v>
      </c>
      <c r="C4936" s="246" t="s">
        <v>5174</v>
      </c>
      <c r="D4936" s="18">
        <v>0</v>
      </c>
      <c r="E4936" s="18">
        <v>0</v>
      </c>
      <c r="F4936" s="18">
        <v>0</v>
      </c>
      <c r="G4936" s="18">
        <v>0</v>
      </c>
      <c r="H4936" s="18">
        <v>0</v>
      </c>
    </row>
    <row r="4937" spans="2:8">
      <c r="B4937" s="14" t="s">
        <v>10880</v>
      </c>
      <c r="C4937" s="245" t="s">
        <v>5175</v>
      </c>
      <c r="D4937" s="15">
        <v>0</v>
      </c>
      <c r="E4937" s="15">
        <v>0</v>
      </c>
      <c r="F4937" s="15">
        <v>0</v>
      </c>
      <c r="G4937" s="15">
        <v>0</v>
      </c>
      <c r="H4937" s="15">
        <v>0</v>
      </c>
    </row>
    <row r="4938" spans="2:8">
      <c r="B4938" s="17" t="s">
        <v>10881</v>
      </c>
      <c r="C4938" s="246" t="s">
        <v>5176</v>
      </c>
      <c r="D4938" s="18">
        <v>0</v>
      </c>
      <c r="E4938" s="18">
        <v>0</v>
      </c>
      <c r="F4938" s="18">
        <v>0</v>
      </c>
      <c r="G4938" s="18">
        <v>0</v>
      </c>
      <c r="H4938" s="18">
        <v>0</v>
      </c>
    </row>
    <row r="4939" spans="2:8">
      <c r="B4939" s="14" t="s">
        <v>10882</v>
      </c>
      <c r="C4939" s="245" t="s">
        <v>5177</v>
      </c>
      <c r="D4939" s="15">
        <v>0</v>
      </c>
      <c r="E4939" s="15">
        <v>0</v>
      </c>
      <c r="F4939" s="15">
        <v>0</v>
      </c>
      <c r="G4939" s="15">
        <v>0</v>
      </c>
      <c r="H4939" s="15">
        <v>0</v>
      </c>
    </row>
    <row r="4940" spans="2:8">
      <c r="B4940" s="17" t="s">
        <v>10883</v>
      </c>
      <c r="C4940" s="246" t="s">
        <v>5178</v>
      </c>
      <c r="D4940" s="18">
        <v>0</v>
      </c>
      <c r="E4940" s="18">
        <v>0</v>
      </c>
      <c r="F4940" s="18">
        <v>0</v>
      </c>
      <c r="G4940" s="18">
        <v>0</v>
      </c>
      <c r="H4940" s="18">
        <v>0</v>
      </c>
    </row>
    <row r="4941" spans="2:8">
      <c r="B4941" s="14" t="s">
        <v>10884</v>
      </c>
      <c r="C4941" s="245" t="s">
        <v>5179</v>
      </c>
      <c r="D4941" s="15">
        <v>0</v>
      </c>
      <c r="E4941" s="15">
        <v>0</v>
      </c>
      <c r="F4941" s="15">
        <v>0</v>
      </c>
      <c r="G4941" s="15">
        <v>0</v>
      </c>
      <c r="H4941" s="15">
        <v>0</v>
      </c>
    </row>
    <row r="4942" spans="2:8">
      <c r="B4942" s="17" t="s">
        <v>10885</v>
      </c>
      <c r="C4942" s="246" t="s">
        <v>5180</v>
      </c>
      <c r="D4942" s="18">
        <v>0</v>
      </c>
      <c r="E4942" s="18">
        <v>0</v>
      </c>
      <c r="F4942" s="18">
        <v>0</v>
      </c>
      <c r="G4942" s="18">
        <v>0</v>
      </c>
      <c r="H4942" s="18">
        <v>0</v>
      </c>
    </row>
    <row r="4943" spans="2:8">
      <c r="B4943" s="14" t="s">
        <v>10886</v>
      </c>
      <c r="C4943" s="245" t="s">
        <v>3254</v>
      </c>
      <c r="D4943" s="15">
        <v>0</v>
      </c>
      <c r="E4943" s="15">
        <v>0</v>
      </c>
      <c r="F4943" s="15">
        <v>0</v>
      </c>
      <c r="G4943" s="15">
        <v>0</v>
      </c>
      <c r="H4943" s="15">
        <v>0</v>
      </c>
    </row>
    <row r="4944" spans="2:8">
      <c r="B4944" s="17" t="s">
        <v>10887</v>
      </c>
      <c r="C4944" s="246" t="s">
        <v>2078</v>
      </c>
      <c r="D4944" s="18">
        <v>0</v>
      </c>
      <c r="E4944" s="18">
        <v>0</v>
      </c>
      <c r="F4944" s="18">
        <v>0</v>
      </c>
      <c r="G4944" s="18">
        <v>0</v>
      </c>
      <c r="H4944" s="18">
        <v>0</v>
      </c>
    </row>
    <row r="4945" spans="2:8">
      <c r="B4945" s="14" t="s">
        <v>10888</v>
      </c>
      <c r="C4945" s="245" t="s">
        <v>5181</v>
      </c>
      <c r="D4945" s="15">
        <v>0</v>
      </c>
      <c r="E4945" s="15">
        <v>0</v>
      </c>
      <c r="F4945" s="15">
        <v>0</v>
      </c>
      <c r="G4945" s="15">
        <v>0</v>
      </c>
      <c r="H4945" s="15">
        <v>0</v>
      </c>
    </row>
    <row r="4946" spans="2:8">
      <c r="B4946" s="17" t="s">
        <v>10889</v>
      </c>
      <c r="C4946" s="246" t="s">
        <v>5182</v>
      </c>
      <c r="D4946" s="18">
        <v>0</v>
      </c>
      <c r="E4946" s="18">
        <v>0</v>
      </c>
      <c r="F4946" s="18">
        <v>0</v>
      </c>
      <c r="G4946" s="18">
        <v>0</v>
      </c>
      <c r="H4946" s="18">
        <v>0</v>
      </c>
    </row>
    <row r="4947" spans="2:8">
      <c r="B4947" s="14" t="s">
        <v>10890</v>
      </c>
      <c r="C4947" s="245" t="s">
        <v>5183</v>
      </c>
      <c r="D4947" s="15">
        <v>0</v>
      </c>
      <c r="E4947" s="15">
        <v>0</v>
      </c>
      <c r="F4947" s="15">
        <v>0</v>
      </c>
      <c r="G4947" s="15">
        <v>0</v>
      </c>
      <c r="H4947" s="15">
        <v>0</v>
      </c>
    </row>
    <row r="4948" spans="2:8">
      <c r="B4948" s="17" t="s">
        <v>10891</v>
      </c>
      <c r="C4948" s="246" t="s">
        <v>5184</v>
      </c>
      <c r="D4948" s="18">
        <v>0</v>
      </c>
      <c r="E4948" s="18">
        <v>0</v>
      </c>
      <c r="F4948" s="18">
        <v>0</v>
      </c>
      <c r="G4948" s="18">
        <v>0</v>
      </c>
      <c r="H4948" s="18">
        <v>0</v>
      </c>
    </row>
    <row r="4949" spans="2:8">
      <c r="B4949" s="14" t="s">
        <v>10892</v>
      </c>
      <c r="C4949" s="245" t="s">
        <v>5185</v>
      </c>
      <c r="D4949" s="15">
        <v>0</v>
      </c>
      <c r="E4949" s="15">
        <v>0</v>
      </c>
      <c r="F4949" s="15">
        <v>0</v>
      </c>
      <c r="G4949" s="15">
        <v>0</v>
      </c>
      <c r="H4949" s="15">
        <v>0</v>
      </c>
    </row>
    <row r="4950" spans="2:8">
      <c r="B4950" s="17" t="s">
        <v>10893</v>
      </c>
      <c r="C4950" s="246" t="s">
        <v>5186</v>
      </c>
      <c r="D4950" s="18">
        <v>0</v>
      </c>
      <c r="E4950" s="18">
        <v>0</v>
      </c>
      <c r="F4950" s="18">
        <v>0</v>
      </c>
      <c r="G4950" s="18">
        <v>0</v>
      </c>
      <c r="H4950" s="18">
        <v>0</v>
      </c>
    </row>
    <row r="4951" spans="2:8">
      <c r="B4951" s="14" t="s">
        <v>10894</v>
      </c>
      <c r="C4951" s="245" t="s">
        <v>5187</v>
      </c>
      <c r="D4951" s="15">
        <v>0</v>
      </c>
      <c r="E4951" s="15">
        <v>0</v>
      </c>
      <c r="F4951" s="15">
        <v>0</v>
      </c>
      <c r="G4951" s="15">
        <v>0</v>
      </c>
      <c r="H4951" s="15">
        <v>0</v>
      </c>
    </row>
    <row r="4952" spans="2:8">
      <c r="B4952" s="17" t="s">
        <v>10895</v>
      </c>
      <c r="C4952" s="246" t="s">
        <v>5188</v>
      </c>
      <c r="D4952" s="18">
        <v>0</v>
      </c>
      <c r="E4952" s="18">
        <v>0</v>
      </c>
      <c r="F4952" s="18">
        <v>0</v>
      </c>
      <c r="G4952" s="18">
        <v>0</v>
      </c>
      <c r="H4952" s="18">
        <v>0</v>
      </c>
    </row>
    <row r="4953" spans="2:8">
      <c r="B4953" s="14" t="s">
        <v>10896</v>
      </c>
      <c r="C4953" s="245" t="s">
        <v>5189</v>
      </c>
      <c r="D4953" s="15">
        <v>0</v>
      </c>
      <c r="E4953" s="15">
        <v>0</v>
      </c>
      <c r="F4953" s="15">
        <v>0</v>
      </c>
      <c r="G4953" s="15">
        <v>0</v>
      </c>
      <c r="H4953" s="15">
        <v>0</v>
      </c>
    </row>
    <row r="4954" spans="2:8">
      <c r="B4954" s="17" t="s">
        <v>10897</v>
      </c>
      <c r="C4954" s="246" t="s">
        <v>5190</v>
      </c>
      <c r="D4954" s="18">
        <v>0</v>
      </c>
      <c r="E4954" s="18">
        <v>0</v>
      </c>
      <c r="F4954" s="18">
        <v>0</v>
      </c>
      <c r="G4954" s="18">
        <v>0</v>
      </c>
      <c r="H4954" s="18">
        <v>0</v>
      </c>
    </row>
    <row r="4955" spans="2:8">
      <c r="B4955" s="14" t="s">
        <v>10898</v>
      </c>
      <c r="C4955" s="245" t="s">
        <v>5191</v>
      </c>
      <c r="D4955" s="15">
        <v>0</v>
      </c>
      <c r="E4955" s="15">
        <v>0</v>
      </c>
      <c r="F4955" s="15">
        <v>0</v>
      </c>
      <c r="G4955" s="15">
        <v>4</v>
      </c>
      <c r="H4955" s="15">
        <v>0</v>
      </c>
    </row>
    <row r="4956" spans="2:8">
      <c r="B4956" s="17" t="s">
        <v>10899</v>
      </c>
      <c r="C4956" s="246" t="s">
        <v>5192</v>
      </c>
      <c r="D4956" s="18">
        <v>0</v>
      </c>
      <c r="E4956" s="18">
        <v>0</v>
      </c>
      <c r="F4956" s="18">
        <v>0</v>
      </c>
      <c r="G4956" s="18">
        <v>0</v>
      </c>
      <c r="H4956" s="18">
        <v>0</v>
      </c>
    </row>
    <row r="4957" spans="2:8">
      <c r="B4957" s="14" t="s">
        <v>10900</v>
      </c>
      <c r="C4957" s="245" t="s">
        <v>5193</v>
      </c>
      <c r="D4957" s="15">
        <v>0</v>
      </c>
      <c r="E4957" s="15">
        <v>0</v>
      </c>
      <c r="F4957" s="15">
        <v>0</v>
      </c>
      <c r="G4957" s="15">
        <v>0</v>
      </c>
      <c r="H4957" s="15">
        <v>0</v>
      </c>
    </row>
    <row r="4958" spans="2:8">
      <c r="B4958" s="17" t="s">
        <v>10901</v>
      </c>
      <c r="C4958" s="246" t="s">
        <v>5194</v>
      </c>
      <c r="D4958" s="18">
        <v>0</v>
      </c>
      <c r="E4958" s="18">
        <v>0</v>
      </c>
      <c r="F4958" s="18">
        <v>0</v>
      </c>
      <c r="G4958" s="18">
        <v>0</v>
      </c>
      <c r="H4958" s="18">
        <v>0</v>
      </c>
    </row>
    <row r="4959" spans="2:8">
      <c r="B4959" s="14" t="s">
        <v>10902</v>
      </c>
      <c r="C4959" s="245" t="s">
        <v>5195</v>
      </c>
      <c r="D4959" s="15">
        <v>0</v>
      </c>
      <c r="E4959" s="15">
        <v>0</v>
      </c>
      <c r="F4959" s="15">
        <v>0</v>
      </c>
      <c r="G4959" s="15">
        <v>0</v>
      </c>
      <c r="H4959" s="15">
        <v>0</v>
      </c>
    </row>
    <row r="4960" spans="2:8">
      <c r="B4960" s="17" t="s">
        <v>10903</v>
      </c>
      <c r="C4960" s="246" t="s">
        <v>5196</v>
      </c>
      <c r="D4960" s="18">
        <v>0</v>
      </c>
      <c r="E4960" s="18">
        <v>0</v>
      </c>
      <c r="F4960" s="18">
        <v>0</v>
      </c>
      <c r="G4960" s="18">
        <v>0</v>
      </c>
      <c r="H4960" s="18">
        <v>0</v>
      </c>
    </row>
    <row r="4961" spans="2:8">
      <c r="B4961" s="14" t="s">
        <v>10904</v>
      </c>
      <c r="C4961" s="245" t="s">
        <v>5197</v>
      </c>
      <c r="D4961" s="15">
        <v>0</v>
      </c>
      <c r="E4961" s="15">
        <v>0</v>
      </c>
      <c r="F4961" s="15">
        <v>0</v>
      </c>
      <c r="G4961" s="15">
        <v>0</v>
      </c>
      <c r="H4961" s="15">
        <v>0</v>
      </c>
    </row>
    <row r="4962" spans="2:8">
      <c r="B4962" s="17" t="s">
        <v>10905</v>
      </c>
      <c r="C4962" s="246" t="s">
        <v>5198</v>
      </c>
      <c r="D4962" s="18">
        <v>0</v>
      </c>
      <c r="E4962" s="18">
        <v>0</v>
      </c>
      <c r="F4962" s="18">
        <v>0</v>
      </c>
      <c r="G4962" s="18">
        <v>0</v>
      </c>
      <c r="H4962" s="18">
        <v>0</v>
      </c>
    </row>
    <row r="4963" spans="2:8">
      <c r="B4963" s="14" t="s">
        <v>10906</v>
      </c>
      <c r="C4963" s="245" t="s">
        <v>5199</v>
      </c>
      <c r="D4963" s="15">
        <v>0</v>
      </c>
      <c r="E4963" s="15">
        <v>0</v>
      </c>
      <c r="F4963" s="15">
        <v>0</v>
      </c>
      <c r="G4963" s="15">
        <v>0</v>
      </c>
      <c r="H4963" s="15">
        <v>0</v>
      </c>
    </row>
    <row r="4964" spans="2:8">
      <c r="B4964" s="17" t="s">
        <v>10907</v>
      </c>
      <c r="C4964" s="246" t="s">
        <v>5200</v>
      </c>
      <c r="D4964" s="18">
        <v>0</v>
      </c>
      <c r="E4964" s="18">
        <v>0</v>
      </c>
      <c r="F4964" s="18">
        <v>0</v>
      </c>
      <c r="G4964" s="18">
        <v>0</v>
      </c>
      <c r="H4964" s="18">
        <v>0</v>
      </c>
    </row>
    <row r="4965" spans="2:8">
      <c r="B4965" s="14" t="s">
        <v>10908</v>
      </c>
      <c r="C4965" s="245" t="s">
        <v>5201</v>
      </c>
      <c r="D4965" s="15">
        <v>0</v>
      </c>
      <c r="E4965" s="15">
        <v>0</v>
      </c>
      <c r="F4965" s="15">
        <v>0</v>
      </c>
      <c r="G4965" s="15">
        <v>0</v>
      </c>
      <c r="H4965" s="15">
        <v>0</v>
      </c>
    </row>
    <row r="4966" spans="2:8">
      <c r="B4966" s="17" t="s">
        <v>10909</v>
      </c>
      <c r="C4966" s="246" t="s">
        <v>5202</v>
      </c>
      <c r="D4966" s="18">
        <v>0</v>
      </c>
      <c r="E4966" s="18">
        <v>0</v>
      </c>
      <c r="F4966" s="18">
        <v>0</v>
      </c>
      <c r="G4966" s="18">
        <v>0</v>
      </c>
      <c r="H4966" s="18">
        <v>0</v>
      </c>
    </row>
    <row r="4967" spans="2:8">
      <c r="B4967" s="14" t="s">
        <v>10910</v>
      </c>
      <c r="C4967" s="245" t="s">
        <v>5203</v>
      </c>
      <c r="D4967" s="15">
        <v>0</v>
      </c>
      <c r="E4967" s="15">
        <v>0</v>
      </c>
      <c r="F4967" s="15">
        <v>0</v>
      </c>
      <c r="G4967" s="15">
        <v>0</v>
      </c>
      <c r="H4967" s="15">
        <v>0</v>
      </c>
    </row>
    <row r="4968" spans="2:8">
      <c r="B4968" s="17" t="s">
        <v>10911</v>
      </c>
      <c r="C4968" s="246" t="s">
        <v>5204</v>
      </c>
      <c r="D4968" s="18">
        <v>0</v>
      </c>
      <c r="E4968" s="18">
        <v>0</v>
      </c>
      <c r="F4968" s="18">
        <v>0</v>
      </c>
      <c r="G4968" s="18">
        <v>0</v>
      </c>
      <c r="H4968" s="18">
        <v>0</v>
      </c>
    </row>
    <row r="4969" spans="2:8">
      <c r="B4969" s="14" t="s">
        <v>10912</v>
      </c>
      <c r="C4969" s="245" t="s">
        <v>5205</v>
      </c>
      <c r="D4969" s="15">
        <v>0</v>
      </c>
      <c r="E4969" s="15">
        <v>0</v>
      </c>
      <c r="F4969" s="15">
        <v>0</v>
      </c>
      <c r="G4969" s="15">
        <v>0</v>
      </c>
      <c r="H4969" s="15">
        <v>0</v>
      </c>
    </row>
    <row r="4970" spans="2:8">
      <c r="B4970" s="17" t="s">
        <v>10913</v>
      </c>
      <c r="C4970" s="246" t="s">
        <v>5206</v>
      </c>
      <c r="D4970" s="18">
        <v>0</v>
      </c>
      <c r="E4970" s="18">
        <v>0</v>
      </c>
      <c r="F4970" s="18">
        <v>0</v>
      </c>
      <c r="G4970" s="18">
        <v>0</v>
      </c>
      <c r="H4970" s="18">
        <v>0</v>
      </c>
    </row>
    <row r="4971" spans="2:8">
      <c r="B4971" s="14" t="s">
        <v>10914</v>
      </c>
      <c r="C4971" s="245" t="s">
        <v>5207</v>
      </c>
      <c r="D4971" s="15">
        <v>0</v>
      </c>
      <c r="E4971" s="15">
        <v>0</v>
      </c>
      <c r="F4971" s="15">
        <v>0</v>
      </c>
      <c r="G4971" s="15">
        <v>0</v>
      </c>
      <c r="H4971" s="15">
        <v>0</v>
      </c>
    </row>
    <row r="4972" spans="2:8">
      <c r="B4972" s="17" t="s">
        <v>10915</v>
      </c>
      <c r="C4972" s="246" t="s">
        <v>5208</v>
      </c>
      <c r="D4972" s="18">
        <v>0</v>
      </c>
      <c r="E4972" s="18">
        <v>0</v>
      </c>
      <c r="F4972" s="18">
        <v>0</v>
      </c>
      <c r="G4972" s="18">
        <v>0</v>
      </c>
      <c r="H4972" s="18">
        <v>0</v>
      </c>
    </row>
    <row r="4973" spans="2:8">
      <c r="B4973" s="14" t="s">
        <v>10916</v>
      </c>
      <c r="C4973" s="245" t="s">
        <v>5209</v>
      </c>
      <c r="D4973" s="15">
        <v>0</v>
      </c>
      <c r="E4973" s="15">
        <v>0</v>
      </c>
      <c r="F4973" s="15">
        <v>0</v>
      </c>
      <c r="G4973" s="15">
        <v>0</v>
      </c>
      <c r="H4973" s="15">
        <v>0</v>
      </c>
    </row>
    <row r="4974" spans="2:8">
      <c r="B4974" s="17" t="s">
        <v>10917</v>
      </c>
      <c r="C4974" s="246" t="s">
        <v>5210</v>
      </c>
      <c r="D4974" s="18">
        <v>0</v>
      </c>
      <c r="E4974" s="18">
        <v>0</v>
      </c>
      <c r="F4974" s="18">
        <v>0</v>
      </c>
      <c r="G4974" s="18">
        <v>0</v>
      </c>
      <c r="H4974" s="18">
        <v>0</v>
      </c>
    </row>
    <row r="4975" spans="2:8">
      <c r="B4975" s="14" t="s">
        <v>10918</v>
      </c>
      <c r="C4975" s="245" t="s">
        <v>5211</v>
      </c>
      <c r="D4975" s="15">
        <v>0</v>
      </c>
      <c r="E4975" s="15">
        <v>0</v>
      </c>
      <c r="F4975" s="15">
        <v>0</v>
      </c>
      <c r="G4975" s="15">
        <v>0</v>
      </c>
      <c r="H4975" s="15">
        <v>0</v>
      </c>
    </row>
    <row r="4976" spans="2:8">
      <c r="B4976" s="17" t="s">
        <v>10919</v>
      </c>
      <c r="C4976" s="246" t="s">
        <v>5212</v>
      </c>
      <c r="D4976" s="18">
        <v>0</v>
      </c>
      <c r="E4976" s="18">
        <v>0</v>
      </c>
      <c r="F4976" s="18">
        <v>0</v>
      </c>
      <c r="G4976" s="18">
        <v>0</v>
      </c>
      <c r="H4976" s="18">
        <v>0</v>
      </c>
    </row>
    <row r="4977" spans="2:8">
      <c r="B4977" s="14" t="s">
        <v>10920</v>
      </c>
      <c r="C4977" s="245" t="s">
        <v>5213</v>
      </c>
      <c r="D4977" s="15">
        <v>0</v>
      </c>
      <c r="E4977" s="15">
        <v>0</v>
      </c>
      <c r="F4977" s="15">
        <v>0</v>
      </c>
      <c r="G4977" s="15">
        <v>0</v>
      </c>
      <c r="H4977" s="15">
        <v>0</v>
      </c>
    </row>
    <row r="4978" spans="2:8">
      <c r="B4978" s="17" t="s">
        <v>10921</v>
      </c>
      <c r="C4978" s="246" t="s">
        <v>5214</v>
      </c>
      <c r="D4978" s="18">
        <v>0</v>
      </c>
      <c r="E4978" s="18">
        <v>0</v>
      </c>
      <c r="F4978" s="18">
        <v>0</v>
      </c>
      <c r="G4978" s="18">
        <v>0</v>
      </c>
      <c r="H4978" s="18">
        <v>0</v>
      </c>
    </row>
    <row r="4979" spans="2:8">
      <c r="B4979" s="14" t="s">
        <v>10922</v>
      </c>
      <c r="C4979" s="245" t="s">
        <v>5215</v>
      </c>
      <c r="D4979" s="15">
        <v>0</v>
      </c>
      <c r="E4979" s="15">
        <v>0</v>
      </c>
      <c r="F4979" s="15">
        <v>0</v>
      </c>
      <c r="G4979" s="15">
        <v>0</v>
      </c>
      <c r="H4979" s="15">
        <v>0</v>
      </c>
    </row>
    <row r="4980" spans="2:8">
      <c r="B4980" s="17" t="s">
        <v>10923</v>
      </c>
      <c r="C4980" s="246" t="s">
        <v>5216</v>
      </c>
      <c r="D4980" s="18">
        <v>0</v>
      </c>
      <c r="E4980" s="18">
        <v>0</v>
      </c>
      <c r="F4980" s="18">
        <v>0</v>
      </c>
      <c r="G4980" s="18">
        <v>0</v>
      </c>
      <c r="H4980" s="18">
        <v>0</v>
      </c>
    </row>
    <row r="4981" spans="2:8">
      <c r="B4981" s="14" t="s">
        <v>10924</v>
      </c>
      <c r="C4981" s="245" t="s">
        <v>5217</v>
      </c>
      <c r="D4981" s="15">
        <v>0</v>
      </c>
      <c r="E4981" s="15">
        <v>0</v>
      </c>
      <c r="F4981" s="15">
        <v>0</v>
      </c>
      <c r="G4981" s="15">
        <v>0</v>
      </c>
      <c r="H4981" s="15">
        <v>0</v>
      </c>
    </row>
    <row r="4982" spans="2:8">
      <c r="B4982" s="17" t="s">
        <v>10925</v>
      </c>
      <c r="C4982" s="246" t="s">
        <v>3594</v>
      </c>
      <c r="D4982" s="18">
        <v>0</v>
      </c>
      <c r="E4982" s="18">
        <v>0</v>
      </c>
      <c r="F4982" s="18">
        <v>0</v>
      </c>
      <c r="G4982" s="18">
        <v>0</v>
      </c>
      <c r="H4982" s="18">
        <v>0</v>
      </c>
    </row>
    <row r="4983" spans="2:8">
      <c r="B4983" s="14" t="s">
        <v>10926</v>
      </c>
      <c r="C4983" s="245" t="s">
        <v>5218</v>
      </c>
      <c r="D4983" s="15">
        <v>0</v>
      </c>
      <c r="E4983" s="15">
        <v>0</v>
      </c>
      <c r="F4983" s="15">
        <v>0</v>
      </c>
      <c r="G4983" s="15">
        <v>0</v>
      </c>
      <c r="H4983" s="15">
        <v>0</v>
      </c>
    </row>
    <row r="4984" spans="2:8">
      <c r="B4984" s="17" t="s">
        <v>10927</v>
      </c>
      <c r="C4984" s="246" t="s">
        <v>5219</v>
      </c>
      <c r="D4984" s="18">
        <v>0</v>
      </c>
      <c r="E4984" s="18">
        <v>0</v>
      </c>
      <c r="F4984" s="18">
        <v>0</v>
      </c>
      <c r="G4984" s="18">
        <v>0</v>
      </c>
      <c r="H4984" s="18">
        <v>0</v>
      </c>
    </row>
    <row r="4985" spans="2:8">
      <c r="B4985" s="14" t="s">
        <v>10928</v>
      </c>
      <c r="C4985" s="245" t="s">
        <v>5220</v>
      </c>
      <c r="D4985" s="15">
        <v>0</v>
      </c>
      <c r="E4985" s="15">
        <v>0</v>
      </c>
      <c r="F4985" s="15">
        <v>0</v>
      </c>
      <c r="G4985" s="15">
        <v>0</v>
      </c>
      <c r="H4985" s="15">
        <v>0</v>
      </c>
    </row>
    <row r="4986" spans="2:8">
      <c r="B4986" s="17" t="s">
        <v>10929</v>
      </c>
      <c r="C4986" s="246" t="s">
        <v>5221</v>
      </c>
      <c r="D4986" s="18">
        <v>0</v>
      </c>
      <c r="E4986" s="18">
        <v>0</v>
      </c>
      <c r="F4986" s="18">
        <v>0</v>
      </c>
      <c r="G4986" s="18">
        <v>0</v>
      </c>
      <c r="H4986" s="18">
        <v>0</v>
      </c>
    </row>
    <row r="4987" spans="2:8">
      <c r="B4987" s="14" t="s">
        <v>10930</v>
      </c>
      <c r="C4987" s="245" t="s">
        <v>5222</v>
      </c>
      <c r="D4987" s="15">
        <v>0</v>
      </c>
      <c r="E4987" s="15">
        <v>0</v>
      </c>
      <c r="F4987" s="15">
        <v>0</v>
      </c>
      <c r="G4987" s="15">
        <v>0</v>
      </c>
      <c r="H4987" s="15">
        <v>0</v>
      </c>
    </row>
    <row r="4988" spans="2:8">
      <c r="B4988" s="17" t="s">
        <v>10931</v>
      </c>
      <c r="C4988" s="246" t="s">
        <v>5223</v>
      </c>
      <c r="D4988" s="18">
        <v>0</v>
      </c>
      <c r="E4988" s="18">
        <v>0</v>
      </c>
      <c r="F4988" s="18">
        <v>0</v>
      </c>
      <c r="G4988" s="18">
        <v>0</v>
      </c>
      <c r="H4988" s="18">
        <v>0</v>
      </c>
    </row>
    <row r="4989" spans="2:8">
      <c r="B4989" s="14" t="s">
        <v>10932</v>
      </c>
      <c r="C4989" s="245" t="s">
        <v>5224</v>
      </c>
      <c r="D4989" s="15">
        <v>0</v>
      </c>
      <c r="E4989" s="15">
        <v>0</v>
      </c>
      <c r="F4989" s="15">
        <v>0</v>
      </c>
      <c r="G4989" s="15">
        <v>0</v>
      </c>
      <c r="H4989" s="15">
        <v>0</v>
      </c>
    </row>
    <row r="4990" spans="2:8">
      <c r="B4990" s="17" t="s">
        <v>10933</v>
      </c>
      <c r="C4990" s="246" t="s">
        <v>5225</v>
      </c>
      <c r="D4990" s="18">
        <v>0</v>
      </c>
      <c r="E4990" s="18">
        <v>0</v>
      </c>
      <c r="F4990" s="18">
        <v>0</v>
      </c>
      <c r="G4990" s="18">
        <v>0</v>
      </c>
      <c r="H4990" s="18">
        <v>0</v>
      </c>
    </row>
    <row r="4991" spans="2:8">
      <c r="B4991" s="14" t="s">
        <v>10934</v>
      </c>
      <c r="C4991" s="245" t="s">
        <v>5226</v>
      </c>
      <c r="D4991" s="15">
        <v>0</v>
      </c>
      <c r="E4991" s="15">
        <v>0</v>
      </c>
      <c r="F4991" s="15">
        <v>0</v>
      </c>
      <c r="G4991" s="15">
        <v>0</v>
      </c>
      <c r="H4991" s="15">
        <v>0</v>
      </c>
    </row>
    <row r="4992" spans="2:8">
      <c r="B4992" s="17" t="s">
        <v>10935</v>
      </c>
      <c r="C4992" s="246" t="s">
        <v>5227</v>
      </c>
      <c r="D4992" s="18">
        <v>0</v>
      </c>
      <c r="E4992" s="18">
        <v>0</v>
      </c>
      <c r="F4992" s="18">
        <v>0</v>
      </c>
      <c r="G4992" s="18">
        <v>0</v>
      </c>
      <c r="H4992" s="18">
        <v>0</v>
      </c>
    </row>
    <row r="4993" spans="2:8">
      <c r="B4993" s="14" t="s">
        <v>10936</v>
      </c>
      <c r="C4993" s="245" t="s">
        <v>5228</v>
      </c>
      <c r="D4993" s="15">
        <v>0</v>
      </c>
      <c r="E4993" s="15">
        <v>0</v>
      </c>
      <c r="F4993" s="15">
        <v>0</v>
      </c>
      <c r="G4993" s="15">
        <v>0</v>
      </c>
      <c r="H4993" s="15">
        <v>0</v>
      </c>
    </row>
    <row r="4994" spans="2:8">
      <c r="B4994" s="17" t="s">
        <v>10937</v>
      </c>
      <c r="C4994" s="246" t="s">
        <v>5229</v>
      </c>
      <c r="D4994" s="18">
        <v>0</v>
      </c>
      <c r="E4994" s="18">
        <v>0</v>
      </c>
      <c r="F4994" s="18">
        <v>0</v>
      </c>
      <c r="G4994" s="18">
        <v>0</v>
      </c>
      <c r="H4994" s="18">
        <v>0</v>
      </c>
    </row>
    <row r="4995" spans="2:8">
      <c r="B4995" s="14" t="s">
        <v>10938</v>
      </c>
      <c r="C4995" s="245" t="s">
        <v>5230</v>
      </c>
      <c r="D4995" s="15">
        <v>10</v>
      </c>
      <c r="E4995" s="15">
        <v>23</v>
      </c>
      <c r="F4995" s="15">
        <v>12</v>
      </c>
      <c r="G4995" s="15">
        <v>0</v>
      </c>
      <c r="H4995" s="15">
        <v>0</v>
      </c>
    </row>
    <row r="4996" spans="2:8">
      <c r="B4996" s="17" t="s">
        <v>10939</v>
      </c>
      <c r="C4996" s="246" t="s">
        <v>5231</v>
      </c>
      <c r="D4996" s="18">
        <v>0</v>
      </c>
      <c r="E4996" s="18">
        <v>0</v>
      </c>
      <c r="F4996" s="18">
        <v>0</v>
      </c>
      <c r="G4996" s="18">
        <v>0</v>
      </c>
      <c r="H4996" s="18">
        <v>0</v>
      </c>
    </row>
    <row r="4997" spans="2:8">
      <c r="B4997" s="14" t="s">
        <v>10940</v>
      </c>
      <c r="C4997" s="245" t="s">
        <v>5232</v>
      </c>
      <c r="D4997" s="15">
        <v>0</v>
      </c>
      <c r="E4997" s="15">
        <v>0</v>
      </c>
      <c r="F4997" s="15">
        <v>0</v>
      </c>
      <c r="G4997" s="15">
        <v>0</v>
      </c>
      <c r="H4997" s="15">
        <v>0</v>
      </c>
    </row>
    <row r="4998" spans="2:8">
      <c r="B4998" s="17" t="s">
        <v>10941</v>
      </c>
      <c r="C4998" s="246" t="s">
        <v>5233</v>
      </c>
      <c r="D4998" s="18">
        <v>102</v>
      </c>
      <c r="E4998" s="18">
        <v>254</v>
      </c>
      <c r="F4998" s="18">
        <v>38</v>
      </c>
      <c r="G4998" s="18">
        <v>31</v>
      </c>
      <c r="H4998" s="18">
        <v>0</v>
      </c>
    </row>
    <row r="4999" spans="2:8">
      <c r="B4999" s="14" t="s">
        <v>10942</v>
      </c>
      <c r="C4999" s="245" t="s">
        <v>5234</v>
      </c>
      <c r="D4999" s="15">
        <v>0</v>
      </c>
      <c r="E4999" s="15">
        <v>0</v>
      </c>
      <c r="F4999" s="15">
        <v>0</v>
      </c>
      <c r="G4999" s="15">
        <v>0</v>
      </c>
      <c r="H4999" s="15">
        <v>0</v>
      </c>
    </row>
    <row r="5000" spans="2:8">
      <c r="B5000" s="17" t="s">
        <v>10943</v>
      </c>
      <c r="C5000" s="246" t="s">
        <v>5235</v>
      </c>
      <c r="D5000" s="18">
        <v>154</v>
      </c>
      <c r="E5000" s="18">
        <v>93</v>
      </c>
      <c r="F5000" s="18">
        <v>71</v>
      </c>
      <c r="G5000" s="18">
        <v>84</v>
      </c>
      <c r="H5000" s="18">
        <v>0</v>
      </c>
    </row>
    <row r="5001" spans="2:8">
      <c r="B5001" s="14" t="s">
        <v>10944</v>
      </c>
      <c r="C5001" s="245" t="s">
        <v>2716</v>
      </c>
      <c r="D5001" s="15">
        <v>11</v>
      </c>
      <c r="E5001" s="15">
        <v>12</v>
      </c>
      <c r="F5001" s="15">
        <v>24</v>
      </c>
      <c r="G5001" s="15">
        <v>9</v>
      </c>
      <c r="H5001" s="15">
        <v>0</v>
      </c>
    </row>
    <row r="5002" spans="2:8">
      <c r="B5002" s="17" t="s">
        <v>10945</v>
      </c>
      <c r="C5002" s="246" t="s">
        <v>5236</v>
      </c>
      <c r="D5002" s="18">
        <v>0</v>
      </c>
      <c r="E5002" s="18">
        <v>0</v>
      </c>
      <c r="F5002" s="18">
        <v>0</v>
      </c>
      <c r="G5002" s="18">
        <v>0</v>
      </c>
      <c r="H5002" s="18">
        <v>0</v>
      </c>
    </row>
    <row r="5003" spans="2:8">
      <c r="B5003" s="14" t="s">
        <v>10946</v>
      </c>
      <c r="C5003" s="245" t="s">
        <v>5237</v>
      </c>
      <c r="D5003" s="15">
        <v>0</v>
      </c>
      <c r="E5003" s="15">
        <v>0</v>
      </c>
      <c r="F5003" s="15">
        <v>0</v>
      </c>
      <c r="G5003" s="15">
        <v>0</v>
      </c>
      <c r="H5003" s="15">
        <v>0</v>
      </c>
    </row>
    <row r="5004" spans="2:8">
      <c r="B5004" s="17" t="s">
        <v>10947</v>
      </c>
      <c r="C5004" s="246" t="s">
        <v>5238</v>
      </c>
      <c r="D5004" s="18">
        <v>0</v>
      </c>
      <c r="E5004" s="18">
        <v>15</v>
      </c>
      <c r="F5004" s="18">
        <v>0</v>
      </c>
      <c r="G5004" s="18">
        <v>0</v>
      </c>
      <c r="H5004" s="18">
        <v>0</v>
      </c>
    </row>
    <row r="5005" spans="2:8">
      <c r="B5005" s="14" t="s">
        <v>10948</v>
      </c>
      <c r="C5005" s="245" t="s">
        <v>5239</v>
      </c>
      <c r="D5005" s="15">
        <v>0</v>
      </c>
      <c r="E5005" s="15">
        <v>0</v>
      </c>
      <c r="F5005" s="15">
        <v>0</v>
      </c>
      <c r="G5005" s="15">
        <v>0</v>
      </c>
      <c r="H5005" s="15">
        <v>0</v>
      </c>
    </row>
    <row r="5006" spans="2:8">
      <c r="B5006" s="17" t="s">
        <v>10949</v>
      </c>
      <c r="C5006" s="246" t="s">
        <v>5240</v>
      </c>
      <c r="D5006" s="18">
        <v>0</v>
      </c>
      <c r="E5006" s="18">
        <v>0</v>
      </c>
      <c r="F5006" s="18">
        <v>0</v>
      </c>
      <c r="G5006" s="18">
        <v>0</v>
      </c>
      <c r="H5006" s="18">
        <v>0</v>
      </c>
    </row>
    <row r="5007" spans="2:8">
      <c r="B5007" s="14" t="s">
        <v>10950</v>
      </c>
      <c r="C5007" s="245" t="s">
        <v>5241</v>
      </c>
      <c r="D5007" s="15">
        <v>2</v>
      </c>
      <c r="E5007" s="15">
        <v>0</v>
      </c>
      <c r="F5007" s="15">
        <v>0</v>
      </c>
      <c r="G5007" s="15">
        <v>0</v>
      </c>
      <c r="H5007" s="15">
        <v>0</v>
      </c>
    </row>
    <row r="5008" spans="2:8">
      <c r="B5008" s="17" t="s">
        <v>10951</v>
      </c>
      <c r="C5008" s="246" t="s">
        <v>1800</v>
      </c>
      <c r="D5008" s="18">
        <v>0</v>
      </c>
      <c r="E5008" s="18">
        <v>0</v>
      </c>
      <c r="F5008" s="18">
        <v>0</v>
      </c>
      <c r="G5008" s="18">
        <v>0</v>
      </c>
      <c r="H5008" s="18">
        <v>0</v>
      </c>
    </row>
    <row r="5009" spans="2:8">
      <c r="B5009" s="14" t="s">
        <v>10952</v>
      </c>
      <c r="C5009" s="245" t="s">
        <v>5242</v>
      </c>
      <c r="D5009" s="15">
        <v>0</v>
      </c>
      <c r="E5009" s="15">
        <v>0</v>
      </c>
      <c r="F5009" s="15">
        <v>0</v>
      </c>
      <c r="G5009" s="15">
        <v>0</v>
      </c>
      <c r="H5009" s="15">
        <v>0</v>
      </c>
    </row>
    <row r="5010" spans="2:8">
      <c r="B5010" s="17" t="s">
        <v>10953</v>
      </c>
      <c r="C5010" s="246" t="s">
        <v>5243</v>
      </c>
      <c r="D5010" s="18">
        <v>0</v>
      </c>
      <c r="E5010" s="18">
        <v>0</v>
      </c>
      <c r="F5010" s="18">
        <v>0</v>
      </c>
      <c r="G5010" s="18">
        <v>0</v>
      </c>
      <c r="H5010" s="18">
        <v>0</v>
      </c>
    </row>
    <row r="5011" spans="2:8">
      <c r="B5011" s="14" t="s">
        <v>10954</v>
      </c>
      <c r="C5011" s="245" t="s">
        <v>1823</v>
      </c>
      <c r="D5011" s="15">
        <v>0</v>
      </c>
      <c r="E5011" s="15">
        <v>0</v>
      </c>
      <c r="F5011" s="15">
        <v>0</v>
      </c>
      <c r="G5011" s="15">
        <v>0</v>
      </c>
      <c r="H5011" s="15">
        <v>0</v>
      </c>
    </row>
    <row r="5012" spans="2:8">
      <c r="B5012" s="17" t="s">
        <v>10955</v>
      </c>
      <c r="C5012" s="246" t="s">
        <v>1716</v>
      </c>
      <c r="D5012" s="18">
        <v>0</v>
      </c>
      <c r="E5012" s="18">
        <v>0</v>
      </c>
      <c r="F5012" s="18">
        <v>0</v>
      </c>
      <c r="G5012" s="18">
        <v>0</v>
      </c>
      <c r="H5012" s="18">
        <v>0</v>
      </c>
    </row>
    <row r="5013" spans="2:8">
      <c r="B5013" s="14" t="s">
        <v>10956</v>
      </c>
      <c r="C5013" s="245" t="s">
        <v>1716</v>
      </c>
      <c r="D5013" s="15">
        <v>0</v>
      </c>
      <c r="E5013" s="15">
        <v>0</v>
      </c>
      <c r="F5013" s="15">
        <v>0</v>
      </c>
      <c r="G5013" s="15">
        <v>0</v>
      </c>
      <c r="H5013" s="15">
        <v>0</v>
      </c>
    </row>
    <row r="5014" spans="2:8">
      <c r="B5014" s="17" t="s">
        <v>10957</v>
      </c>
      <c r="C5014" s="246" t="s">
        <v>2181</v>
      </c>
      <c r="D5014" s="18">
        <v>0</v>
      </c>
      <c r="E5014" s="18">
        <v>0</v>
      </c>
      <c r="F5014" s="18">
        <v>0</v>
      </c>
      <c r="G5014" s="18">
        <v>0</v>
      </c>
      <c r="H5014" s="18">
        <v>0</v>
      </c>
    </row>
    <row r="5015" spans="2:8">
      <c r="B5015" s="14" t="s">
        <v>10958</v>
      </c>
      <c r="C5015" s="245" t="s">
        <v>2182</v>
      </c>
      <c r="D5015" s="15">
        <v>0</v>
      </c>
      <c r="E5015" s="15">
        <v>0</v>
      </c>
      <c r="F5015" s="15">
        <v>0</v>
      </c>
      <c r="G5015" s="15">
        <v>0</v>
      </c>
      <c r="H5015" s="15">
        <v>0</v>
      </c>
    </row>
    <row r="5016" spans="2:8">
      <c r="B5016" s="17" t="s">
        <v>10959</v>
      </c>
      <c r="C5016" s="246" t="s">
        <v>5244</v>
      </c>
      <c r="D5016" s="18">
        <v>0</v>
      </c>
      <c r="E5016" s="18">
        <v>0</v>
      </c>
      <c r="F5016" s="18">
        <v>0</v>
      </c>
      <c r="G5016" s="18">
        <v>0</v>
      </c>
      <c r="H5016" s="18">
        <v>0</v>
      </c>
    </row>
    <row r="5017" spans="2:8">
      <c r="B5017" s="14" t="s">
        <v>10960</v>
      </c>
      <c r="C5017" s="245" t="s">
        <v>1375</v>
      </c>
      <c r="D5017" s="15">
        <v>0</v>
      </c>
      <c r="E5017" s="15">
        <v>0</v>
      </c>
      <c r="F5017" s="15">
        <v>0</v>
      </c>
      <c r="G5017" s="15">
        <v>0</v>
      </c>
      <c r="H5017" s="15">
        <v>0</v>
      </c>
    </row>
    <row r="5018" spans="2:8">
      <c r="B5018" s="17" t="s">
        <v>10961</v>
      </c>
      <c r="C5018" s="246" t="s">
        <v>1375</v>
      </c>
      <c r="D5018" s="18">
        <v>0</v>
      </c>
      <c r="E5018" s="18">
        <v>0</v>
      </c>
      <c r="F5018" s="18">
        <v>0</v>
      </c>
      <c r="G5018" s="18">
        <v>0</v>
      </c>
      <c r="H5018" s="18">
        <v>0</v>
      </c>
    </row>
    <row r="5019" spans="2:8">
      <c r="B5019" s="14" t="s">
        <v>10962</v>
      </c>
      <c r="C5019" s="245" t="s">
        <v>5245</v>
      </c>
      <c r="D5019" s="15">
        <v>0</v>
      </c>
      <c r="E5019" s="15">
        <v>0</v>
      </c>
      <c r="F5019" s="15">
        <v>0</v>
      </c>
      <c r="G5019" s="15">
        <v>0</v>
      </c>
      <c r="H5019" s="15">
        <v>0</v>
      </c>
    </row>
    <row r="5020" spans="2:8">
      <c r="B5020" s="17" t="s">
        <v>10963</v>
      </c>
      <c r="C5020" s="246" t="s">
        <v>1375</v>
      </c>
      <c r="D5020" s="18">
        <v>0</v>
      </c>
      <c r="E5020" s="18">
        <v>0</v>
      </c>
      <c r="F5020" s="18">
        <v>0</v>
      </c>
      <c r="G5020" s="18">
        <v>0</v>
      </c>
      <c r="H5020" s="18">
        <v>0</v>
      </c>
    </row>
    <row r="5021" spans="2:8">
      <c r="B5021" s="14" t="s">
        <v>10964</v>
      </c>
      <c r="C5021" s="245" t="s">
        <v>2201</v>
      </c>
      <c r="D5021" s="15">
        <v>0</v>
      </c>
      <c r="E5021" s="15">
        <v>0</v>
      </c>
      <c r="F5021" s="15">
        <v>0</v>
      </c>
      <c r="G5021" s="15">
        <v>10</v>
      </c>
      <c r="H5021" s="15">
        <v>0</v>
      </c>
    </row>
    <row r="5022" spans="2:8">
      <c r="B5022" s="17" t="s">
        <v>10965</v>
      </c>
      <c r="C5022" s="246" t="s">
        <v>2203</v>
      </c>
      <c r="D5022" s="18">
        <v>0</v>
      </c>
      <c r="E5022" s="18">
        <v>0</v>
      </c>
      <c r="F5022" s="18">
        <v>0</v>
      </c>
      <c r="G5022" s="18">
        <v>0</v>
      </c>
      <c r="H5022" s="18">
        <v>0</v>
      </c>
    </row>
    <row r="5023" spans="2:8">
      <c r="B5023" s="14" t="s">
        <v>10966</v>
      </c>
      <c r="C5023" s="245" t="s">
        <v>2204</v>
      </c>
      <c r="D5023" s="15">
        <v>0</v>
      </c>
      <c r="E5023" s="15">
        <v>0</v>
      </c>
      <c r="F5023" s="15">
        <v>0</v>
      </c>
      <c r="G5023" s="15">
        <v>0</v>
      </c>
      <c r="H5023" s="15">
        <v>0</v>
      </c>
    </row>
    <row r="5024" spans="2:8">
      <c r="B5024" s="17" t="s">
        <v>10967</v>
      </c>
      <c r="C5024" s="246" t="s">
        <v>2204</v>
      </c>
      <c r="D5024" s="18">
        <v>0</v>
      </c>
      <c r="E5024" s="18">
        <v>0</v>
      </c>
      <c r="F5024" s="18">
        <v>0</v>
      </c>
      <c r="G5024" s="18">
        <v>0</v>
      </c>
      <c r="H5024" s="18">
        <v>0</v>
      </c>
    </row>
    <row r="5025" spans="2:8">
      <c r="B5025" s="14" t="s">
        <v>10968</v>
      </c>
      <c r="C5025" s="245" t="s">
        <v>2219</v>
      </c>
      <c r="D5025" s="15">
        <v>0</v>
      </c>
      <c r="E5025" s="15">
        <v>0</v>
      </c>
      <c r="F5025" s="15">
        <v>0</v>
      </c>
      <c r="G5025" s="15">
        <v>0</v>
      </c>
      <c r="H5025" s="15">
        <v>0</v>
      </c>
    </row>
    <row r="5026" spans="2:8">
      <c r="B5026" s="17" t="s">
        <v>10969</v>
      </c>
      <c r="C5026" s="246" t="s">
        <v>5246</v>
      </c>
      <c r="D5026" s="18">
        <v>0</v>
      </c>
      <c r="E5026" s="18">
        <v>0</v>
      </c>
      <c r="F5026" s="18">
        <v>0</v>
      </c>
      <c r="G5026" s="18">
        <v>0</v>
      </c>
      <c r="H5026" s="18">
        <v>0</v>
      </c>
    </row>
    <row r="5027" spans="2:8">
      <c r="B5027" s="14" t="s">
        <v>10970</v>
      </c>
      <c r="C5027" s="245" t="s">
        <v>5247</v>
      </c>
      <c r="D5027" s="15">
        <v>0</v>
      </c>
      <c r="E5027" s="15">
        <v>0</v>
      </c>
      <c r="F5027" s="15">
        <v>0</v>
      </c>
      <c r="G5027" s="15">
        <v>44</v>
      </c>
      <c r="H5027" s="15">
        <v>0</v>
      </c>
    </row>
    <row r="5028" spans="2:8">
      <c r="B5028" s="17" t="s">
        <v>10971</v>
      </c>
      <c r="C5028" s="246" t="s">
        <v>5248</v>
      </c>
      <c r="D5028" s="18">
        <v>0</v>
      </c>
      <c r="E5028" s="18">
        <v>0</v>
      </c>
      <c r="F5028" s="18">
        <v>0</v>
      </c>
      <c r="G5028" s="18">
        <v>0</v>
      </c>
      <c r="H5028" s="18">
        <v>0</v>
      </c>
    </row>
    <row r="5029" spans="2:8">
      <c r="B5029" s="14" t="s">
        <v>10972</v>
      </c>
      <c r="C5029" s="245" t="s">
        <v>5249</v>
      </c>
      <c r="D5029" s="15">
        <v>0</v>
      </c>
      <c r="E5029" s="15">
        <v>0</v>
      </c>
      <c r="F5029" s="15">
        <v>0</v>
      </c>
      <c r="G5029" s="15">
        <v>0</v>
      </c>
      <c r="H5029" s="15">
        <v>0</v>
      </c>
    </row>
    <row r="5030" spans="2:8">
      <c r="B5030" s="17" t="s">
        <v>10973</v>
      </c>
      <c r="C5030" s="246" t="s">
        <v>5250</v>
      </c>
      <c r="D5030" s="18">
        <v>1</v>
      </c>
      <c r="E5030" s="18">
        <v>0</v>
      </c>
      <c r="F5030" s="18">
        <v>0</v>
      </c>
      <c r="G5030" s="18">
        <v>0</v>
      </c>
      <c r="H5030" s="18">
        <v>0</v>
      </c>
    </row>
    <row r="5031" spans="2:8">
      <c r="B5031" s="14" t="s">
        <v>10974</v>
      </c>
      <c r="C5031" s="245" t="s">
        <v>5251</v>
      </c>
      <c r="D5031" s="15">
        <v>0</v>
      </c>
      <c r="E5031" s="15">
        <v>0</v>
      </c>
      <c r="F5031" s="15">
        <v>0</v>
      </c>
      <c r="G5031" s="15">
        <v>0</v>
      </c>
      <c r="H5031" s="15">
        <v>0</v>
      </c>
    </row>
    <row r="5032" spans="2:8">
      <c r="B5032" s="17" t="s">
        <v>10975</v>
      </c>
      <c r="C5032" s="246" t="s">
        <v>5252</v>
      </c>
      <c r="D5032" s="18">
        <v>0</v>
      </c>
      <c r="E5032" s="18">
        <v>0</v>
      </c>
      <c r="F5032" s="18">
        <v>0</v>
      </c>
      <c r="G5032" s="18">
        <v>0</v>
      </c>
      <c r="H5032" s="18">
        <v>0</v>
      </c>
    </row>
    <row r="5033" spans="2:8">
      <c r="B5033" s="14" t="s">
        <v>10976</v>
      </c>
      <c r="C5033" s="245" t="s">
        <v>5253</v>
      </c>
      <c r="D5033" s="15">
        <v>0</v>
      </c>
      <c r="E5033" s="15">
        <v>0</v>
      </c>
      <c r="F5033" s="15">
        <v>0</v>
      </c>
      <c r="G5033" s="15">
        <v>0</v>
      </c>
      <c r="H5033" s="15">
        <v>0</v>
      </c>
    </row>
    <row r="5034" spans="2:8">
      <c r="B5034" s="17" t="s">
        <v>10977</v>
      </c>
      <c r="C5034" s="246" t="s">
        <v>5254</v>
      </c>
      <c r="D5034" s="18">
        <v>0</v>
      </c>
      <c r="E5034" s="18">
        <v>0</v>
      </c>
      <c r="F5034" s="18">
        <v>0</v>
      </c>
      <c r="G5034" s="18">
        <v>0</v>
      </c>
      <c r="H5034" s="18">
        <v>0</v>
      </c>
    </row>
    <row r="5035" spans="2:8">
      <c r="B5035" s="14" t="s">
        <v>10978</v>
      </c>
      <c r="C5035" s="245" t="s">
        <v>2509</v>
      </c>
      <c r="D5035" s="15">
        <v>0</v>
      </c>
      <c r="E5035" s="15">
        <v>0</v>
      </c>
      <c r="F5035" s="15">
        <v>0</v>
      </c>
      <c r="G5035" s="15">
        <v>0</v>
      </c>
      <c r="H5035" s="15">
        <v>0</v>
      </c>
    </row>
    <row r="5036" spans="2:8">
      <c r="B5036" s="17" t="s">
        <v>10979</v>
      </c>
      <c r="C5036" s="246" t="s">
        <v>2190</v>
      </c>
      <c r="D5036" s="18">
        <v>0</v>
      </c>
      <c r="E5036" s="18">
        <v>0</v>
      </c>
      <c r="F5036" s="18">
        <v>0</v>
      </c>
      <c r="G5036" s="18">
        <v>0</v>
      </c>
      <c r="H5036" s="18">
        <v>0</v>
      </c>
    </row>
    <row r="5037" spans="2:8">
      <c r="B5037" s="14" t="s">
        <v>10980</v>
      </c>
      <c r="C5037" s="245" t="s">
        <v>2190</v>
      </c>
      <c r="D5037" s="15">
        <v>0</v>
      </c>
      <c r="E5037" s="15">
        <v>0</v>
      </c>
      <c r="F5037" s="15">
        <v>0</v>
      </c>
      <c r="G5037" s="15">
        <v>0</v>
      </c>
      <c r="H5037" s="15">
        <v>0</v>
      </c>
    </row>
    <row r="5038" spans="2:8">
      <c r="B5038" s="17" t="s">
        <v>10981</v>
      </c>
      <c r="C5038" s="246" t="s">
        <v>5255</v>
      </c>
      <c r="D5038" s="18">
        <v>0</v>
      </c>
      <c r="E5038" s="18">
        <v>0</v>
      </c>
      <c r="F5038" s="18">
        <v>0</v>
      </c>
      <c r="G5038" s="18">
        <v>0</v>
      </c>
      <c r="H5038" s="18">
        <v>0</v>
      </c>
    </row>
    <row r="5039" spans="2:8">
      <c r="B5039" s="14" t="s">
        <v>10982</v>
      </c>
      <c r="C5039" s="245" t="s">
        <v>5256</v>
      </c>
      <c r="D5039" s="15">
        <v>0</v>
      </c>
      <c r="E5039" s="15">
        <v>0</v>
      </c>
      <c r="F5039" s="15">
        <v>0</v>
      </c>
      <c r="G5039" s="15">
        <v>0</v>
      </c>
      <c r="H5039" s="15">
        <v>0</v>
      </c>
    </row>
    <row r="5040" spans="2:8">
      <c r="B5040" s="17" t="s">
        <v>10983</v>
      </c>
      <c r="C5040" s="246" t="s">
        <v>5257</v>
      </c>
      <c r="D5040" s="18">
        <v>0</v>
      </c>
      <c r="E5040" s="18">
        <v>0</v>
      </c>
      <c r="F5040" s="18">
        <v>0</v>
      </c>
      <c r="G5040" s="18">
        <v>0</v>
      </c>
      <c r="H5040" s="18">
        <v>0</v>
      </c>
    </row>
    <row r="5041" spans="2:8">
      <c r="B5041" s="14" t="s">
        <v>10984</v>
      </c>
      <c r="C5041" s="245" t="s">
        <v>5258</v>
      </c>
      <c r="D5041" s="15">
        <v>0</v>
      </c>
      <c r="E5041" s="15">
        <v>0</v>
      </c>
      <c r="F5041" s="15">
        <v>0</v>
      </c>
      <c r="G5041" s="15">
        <v>0</v>
      </c>
      <c r="H5041" s="15">
        <v>0</v>
      </c>
    </row>
    <row r="5042" spans="2:8">
      <c r="B5042" s="17" t="s">
        <v>10985</v>
      </c>
      <c r="C5042" s="246" t="s">
        <v>5259</v>
      </c>
      <c r="D5042" s="18">
        <v>0</v>
      </c>
      <c r="E5042" s="18">
        <v>0</v>
      </c>
      <c r="F5042" s="18">
        <v>0</v>
      </c>
      <c r="G5042" s="18">
        <v>0</v>
      </c>
      <c r="H5042" s="18">
        <v>0</v>
      </c>
    </row>
    <row r="5043" spans="2:8">
      <c r="B5043" s="14" t="s">
        <v>10986</v>
      </c>
      <c r="C5043" s="245" t="s">
        <v>4732</v>
      </c>
      <c r="D5043" s="15">
        <v>0</v>
      </c>
      <c r="E5043" s="15">
        <v>0</v>
      </c>
      <c r="F5043" s="15">
        <v>0</v>
      </c>
      <c r="G5043" s="15">
        <v>0</v>
      </c>
      <c r="H5043" s="15">
        <v>0</v>
      </c>
    </row>
    <row r="5044" spans="2:8">
      <c r="B5044" s="17" t="s">
        <v>10987</v>
      </c>
      <c r="C5044" s="246" t="s">
        <v>4703</v>
      </c>
      <c r="D5044" s="18">
        <v>0</v>
      </c>
      <c r="E5044" s="18">
        <v>0</v>
      </c>
      <c r="F5044" s="18">
        <v>0</v>
      </c>
      <c r="G5044" s="18">
        <v>0</v>
      </c>
      <c r="H5044" s="18">
        <v>0</v>
      </c>
    </row>
    <row r="5045" spans="2:8">
      <c r="B5045" s="14" t="s">
        <v>10988</v>
      </c>
      <c r="C5045" s="245" t="s">
        <v>1396</v>
      </c>
      <c r="D5045" s="15">
        <v>0</v>
      </c>
      <c r="E5045" s="15">
        <v>0</v>
      </c>
      <c r="F5045" s="15">
        <v>0</v>
      </c>
      <c r="G5045" s="15">
        <v>0</v>
      </c>
      <c r="H5045" s="15">
        <v>0</v>
      </c>
    </row>
    <row r="5046" spans="2:8">
      <c r="B5046" s="17" t="s">
        <v>10989</v>
      </c>
      <c r="C5046" s="246" t="s">
        <v>1396</v>
      </c>
      <c r="D5046" s="18">
        <v>0</v>
      </c>
      <c r="E5046" s="18">
        <v>12</v>
      </c>
      <c r="F5046" s="18">
        <v>0</v>
      </c>
      <c r="G5046" s="18">
        <v>0</v>
      </c>
      <c r="H5046" s="18">
        <v>0</v>
      </c>
    </row>
    <row r="5047" spans="2:8">
      <c r="B5047" s="14" t="s">
        <v>10990</v>
      </c>
      <c r="C5047" s="245" t="s">
        <v>5260</v>
      </c>
      <c r="D5047" s="15">
        <v>0</v>
      </c>
      <c r="E5047" s="15">
        <v>0</v>
      </c>
      <c r="F5047" s="15">
        <v>0</v>
      </c>
      <c r="G5047" s="15">
        <v>0</v>
      </c>
      <c r="H5047" s="15">
        <v>0</v>
      </c>
    </row>
    <row r="5048" spans="2:8">
      <c r="B5048" s="17" t="s">
        <v>10991</v>
      </c>
      <c r="C5048" s="246" t="s">
        <v>5261</v>
      </c>
      <c r="D5048" s="18">
        <v>0</v>
      </c>
      <c r="E5048" s="18">
        <v>0</v>
      </c>
      <c r="F5048" s="18">
        <v>0</v>
      </c>
      <c r="G5048" s="18">
        <v>0</v>
      </c>
      <c r="H5048" s="18">
        <v>0</v>
      </c>
    </row>
    <row r="5049" spans="2:8">
      <c r="B5049" s="14" t="s">
        <v>10992</v>
      </c>
      <c r="C5049" s="245" t="s">
        <v>5262</v>
      </c>
      <c r="D5049" s="15">
        <v>0</v>
      </c>
      <c r="E5049" s="15">
        <v>0</v>
      </c>
      <c r="F5049" s="15">
        <v>0</v>
      </c>
      <c r="G5049" s="15">
        <v>0</v>
      </c>
      <c r="H5049" s="15">
        <v>0</v>
      </c>
    </row>
    <row r="5050" spans="2:8">
      <c r="B5050" s="17" t="s">
        <v>10993</v>
      </c>
      <c r="C5050" s="246" t="s">
        <v>5263</v>
      </c>
      <c r="D5050" s="18">
        <v>0</v>
      </c>
      <c r="E5050" s="18">
        <v>0</v>
      </c>
      <c r="F5050" s="18">
        <v>0</v>
      </c>
      <c r="G5050" s="18">
        <v>0</v>
      </c>
      <c r="H5050" s="18">
        <v>0</v>
      </c>
    </row>
    <row r="5051" spans="2:8">
      <c r="B5051" s="14" t="s">
        <v>10994</v>
      </c>
      <c r="C5051" s="245" t="s">
        <v>5264</v>
      </c>
      <c r="D5051" s="15">
        <v>0</v>
      </c>
      <c r="E5051" s="15">
        <v>0</v>
      </c>
      <c r="F5051" s="15">
        <v>0</v>
      </c>
      <c r="G5051" s="15">
        <v>0</v>
      </c>
      <c r="H5051" s="15">
        <v>0</v>
      </c>
    </row>
    <row r="5052" spans="2:8">
      <c r="B5052" s="17" t="s">
        <v>10995</v>
      </c>
      <c r="C5052" s="246" t="s">
        <v>5265</v>
      </c>
      <c r="D5052" s="18">
        <v>0</v>
      </c>
      <c r="E5052" s="18">
        <v>0</v>
      </c>
      <c r="F5052" s="18">
        <v>0</v>
      </c>
      <c r="G5052" s="18">
        <v>0</v>
      </c>
      <c r="H5052" s="18">
        <v>0</v>
      </c>
    </row>
    <row r="5053" spans="2:8">
      <c r="B5053" s="14" t="s">
        <v>10996</v>
      </c>
      <c r="C5053" s="245" t="s">
        <v>5266</v>
      </c>
      <c r="D5053" s="15">
        <v>0</v>
      </c>
      <c r="E5053" s="15">
        <v>0</v>
      </c>
      <c r="F5053" s="15">
        <v>0</v>
      </c>
      <c r="G5053" s="15">
        <v>0</v>
      </c>
      <c r="H5053" s="15">
        <v>0</v>
      </c>
    </row>
    <row r="5054" spans="2:8">
      <c r="B5054" s="17" t="s">
        <v>10997</v>
      </c>
      <c r="C5054" s="246" t="s">
        <v>5267</v>
      </c>
      <c r="D5054" s="18">
        <v>0</v>
      </c>
      <c r="E5054" s="18">
        <v>0</v>
      </c>
      <c r="F5054" s="18">
        <v>0</v>
      </c>
      <c r="G5054" s="18">
        <v>0</v>
      </c>
      <c r="H5054" s="18">
        <v>0</v>
      </c>
    </row>
    <row r="5055" spans="2:8">
      <c r="B5055" s="14" t="s">
        <v>10998</v>
      </c>
      <c r="C5055" s="245" t="s">
        <v>5268</v>
      </c>
      <c r="D5055" s="15">
        <v>0</v>
      </c>
      <c r="E5055" s="15">
        <v>0</v>
      </c>
      <c r="F5055" s="15">
        <v>0</v>
      </c>
      <c r="G5055" s="15">
        <v>0</v>
      </c>
      <c r="H5055" s="15">
        <v>0</v>
      </c>
    </row>
    <row r="5056" spans="2:8">
      <c r="B5056" s="17" t="s">
        <v>10999</v>
      </c>
      <c r="C5056" s="246" t="s">
        <v>5269</v>
      </c>
      <c r="D5056" s="18">
        <v>0</v>
      </c>
      <c r="E5056" s="18">
        <v>0</v>
      </c>
      <c r="F5056" s="18">
        <v>0</v>
      </c>
      <c r="G5056" s="18">
        <v>0</v>
      </c>
      <c r="H5056" s="18">
        <v>0</v>
      </c>
    </row>
    <row r="5057" spans="2:8">
      <c r="B5057" s="14" t="s">
        <v>11000</v>
      </c>
      <c r="C5057" s="245" t="s">
        <v>5270</v>
      </c>
      <c r="D5057" s="15">
        <v>0</v>
      </c>
      <c r="E5057" s="15">
        <v>0</v>
      </c>
      <c r="F5057" s="15">
        <v>0</v>
      </c>
      <c r="G5057" s="15">
        <v>3</v>
      </c>
      <c r="H5057" s="15">
        <v>0</v>
      </c>
    </row>
    <row r="5058" spans="2:8">
      <c r="B5058" s="17" t="s">
        <v>11001</v>
      </c>
      <c r="C5058" s="246" t="s">
        <v>5271</v>
      </c>
      <c r="D5058" s="18">
        <v>0</v>
      </c>
      <c r="E5058" s="18">
        <v>0</v>
      </c>
      <c r="F5058" s="18">
        <v>0</v>
      </c>
      <c r="G5058" s="18">
        <v>0</v>
      </c>
      <c r="H5058" s="18">
        <v>0</v>
      </c>
    </row>
    <row r="5059" spans="2:8">
      <c r="B5059" s="14" t="s">
        <v>11002</v>
      </c>
      <c r="C5059" s="245" t="s">
        <v>5272</v>
      </c>
      <c r="D5059" s="15">
        <v>120</v>
      </c>
      <c r="E5059" s="15">
        <v>522</v>
      </c>
      <c r="F5059" s="15">
        <v>0</v>
      </c>
      <c r="G5059" s="15">
        <v>0</v>
      </c>
      <c r="H5059" s="15">
        <v>0</v>
      </c>
    </row>
    <row r="5060" spans="2:8">
      <c r="B5060" s="17" t="s">
        <v>11003</v>
      </c>
      <c r="C5060" s="246" t="s">
        <v>5273</v>
      </c>
      <c r="D5060" s="18">
        <v>0</v>
      </c>
      <c r="E5060" s="18">
        <v>0</v>
      </c>
      <c r="F5060" s="18">
        <v>0</v>
      </c>
      <c r="G5060" s="18">
        <v>0</v>
      </c>
      <c r="H5060" s="18">
        <v>0</v>
      </c>
    </row>
    <row r="5061" spans="2:8">
      <c r="B5061" s="14" t="s">
        <v>11004</v>
      </c>
      <c r="C5061" s="245" t="s">
        <v>5274</v>
      </c>
      <c r="D5061" s="15">
        <v>0</v>
      </c>
      <c r="E5061" s="15">
        <v>0</v>
      </c>
      <c r="F5061" s="15">
        <v>7</v>
      </c>
      <c r="G5061" s="15">
        <v>0</v>
      </c>
      <c r="H5061" s="15">
        <v>0</v>
      </c>
    </row>
    <row r="5062" spans="2:8">
      <c r="B5062" s="17" t="s">
        <v>11005</v>
      </c>
      <c r="C5062" s="246" t="s">
        <v>5275</v>
      </c>
      <c r="D5062" s="18">
        <v>5</v>
      </c>
      <c r="E5062" s="18">
        <v>0</v>
      </c>
      <c r="F5062" s="18">
        <v>0</v>
      </c>
      <c r="G5062" s="18">
        <v>0</v>
      </c>
      <c r="H5062" s="18">
        <v>0</v>
      </c>
    </row>
    <row r="5063" spans="2:8">
      <c r="B5063" s="14" t="s">
        <v>11006</v>
      </c>
      <c r="C5063" s="245" t="s">
        <v>5276</v>
      </c>
      <c r="D5063" s="15">
        <v>0</v>
      </c>
      <c r="E5063" s="15">
        <v>0</v>
      </c>
      <c r="F5063" s="15">
        <v>0</v>
      </c>
      <c r="G5063" s="15">
        <v>0</v>
      </c>
      <c r="H5063" s="15">
        <v>0</v>
      </c>
    </row>
    <row r="5064" spans="2:8">
      <c r="B5064" s="17" t="s">
        <v>11007</v>
      </c>
      <c r="C5064" s="246" t="s">
        <v>5277</v>
      </c>
      <c r="D5064" s="18">
        <v>0</v>
      </c>
      <c r="E5064" s="18">
        <v>0</v>
      </c>
      <c r="F5064" s="18">
        <v>0</v>
      </c>
      <c r="G5064" s="18">
        <v>0</v>
      </c>
      <c r="H5064" s="18">
        <v>0</v>
      </c>
    </row>
    <row r="5065" spans="2:8">
      <c r="B5065" s="14" t="s">
        <v>11008</v>
      </c>
      <c r="C5065" s="245" t="s">
        <v>5278</v>
      </c>
      <c r="D5065" s="15">
        <v>0</v>
      </c>
      <c r="E5065" s="15">
        <v>0</v>
      </c>
      <c r="F5065" s="15">
        <v>0</v>
      </c>
      <c r="G5065" s="15">
        <v>0</v>
      </c>
      <c r="H5065" s="15">
        <v>0</v>
      </c>
    </row>
    <row r="5066" spans="2:8">
      <c r="B5066" s="17" t="s">
        <v>11009</v>
      </c>
      <c r="C5066" s="246" t="s">
        <v>5279</v>
      </c>
      <c r="D5066" s="18">
        <v>0</v>
      </c>
      <c r="E5066" s="18">
        <v>0</v>
      </c>
      <c r="F5066" s="18">
        <v>0</v>
      </c>
      <c r="G5066" s="18">
        <v>0</v>
      </c>
      <c r="H5066" s="18">
        <v>0</v>
      </c>
    </row>
    <row r="5067" spans="2:8">
      <c r="B5067" s="14" t="s">
        <v>11010</v>
      </c>
      <c r="C5067" s="245" t="s">
        <v>5280</v>
      </c>
      <c r="D5067" s="15">
        <v>0</v>
      </c>
      <c r="E5067" s="15">
        <v>0</v>
      </c>
      <c r="F5067" s="15">
        <v>0</v>
      </c>
      <c r="G5067" s="15">
        <v>0</v>
      </c>
      <c r="H5067" s="15">
        <v>0</v>
      </c>
    </row>
    <row r="5068" spans="2:8">
      <c r="B5068" s="17" t="s">
        <v>11011</v>
      </c>
      <c r="C5068" s="246" t="s">
        <v>3083</v>
      </c>
      <c r="D5068" s="18">
        <v>0</v>
      </c>
      <c r="E5068" s="18">
        <v>0</v>
      </c>
      <c r="F5068" s="18">
        <v>0</v>
      </c>
      <c r="G5068" s="18">
        <v>0</v>
      </c>
      <c r="H5068" s="18">
        <v>0</v>
      </c>
    </row>
    <row r="5069" spans="2:8">
      <c r="B5069" s="14" t="s">
        <v>11012</v>
      </c>
      <c r="C5069" s="245" t="s">
        <v>2141</v>
      </c>
      <c r="D5069" s="15">
        <v>0</v>
      </c>
      <c r="E5069" s="15">
        <v>0</v>
      </c>
      <c r="F5069" s="15">
        <v>0</v>
      </c>
      <c r="G5069" s="15">
        <v>0</v>
      </c>
      <c r="H5069" s="15">
        <v>0</v>
      </c>
    </row>
    <row r="5070" spans="2:8">
      <c r="B5070" s="17" t="s">
        <v>11013</v>
      </c>
      <c r="C5070" s="246" t="s">
        <v>2142</v>
      </c>
      <c r="D5070" s="18">
        <v>0</v>
      </c>
      <c r="E5070" s="18">
        <v>0</v>
      </c>
      <c r="F5070" s="18">
        <v>0</v>
      </c>
      <c r="G5070" s="18">
        <v>0</v>
      </c>
      <c r="H5070" s="18">
        <v>0</v>
      </c>
    </row>
    <row r="5071" spans="2:8">
      <c r="B5071" s="14" t="s">
        <v>11014</v>
      </c>
      <c r="C5071" s="245" t="s">
        <v>2149</v>
      </c>
      <c r="D5071" s="15">
        <v>0</v>
      </c>
      <c r="E5071" s="15">
        <v>0</v>
      </c>
      <c r="F5071" s="15">
        <v>0</v>
      </c>
      <c r="G5071" s="15">
        <v>0</v>
      </c>
      <c r="H5071" s="15">
        <v>0</v>
      </c>
    </row>
    <row r="5072" spans="2:8">
      <c r="B5072" s="17" t="s">
        <v>11015</v>
      </c>
      <c r="C5072" s="246" t="s">
        <v>2149</v>
      </c>
      <c r="D5072" s="18">
        <v>0</v>
      </c>
      <c r="E5072" s="18">
        <v>0</v>
      </c>
      <c r="F5072" s="18">
        <v>0</v>
      </c>
      <c r="G5072" s="18">
        <v>0</v>
      </c>
      <c r="H5072" s="18">
        <v>0</v>
      </c>
    </row>
    <row r="5073" spans="2:8">
      <c r="B5073" s="14" t="s">
        <v>11016</v>
      </c>
      <c r="C5073" s="245" t="s">
        <v>2149</v>
      </c>
      <c r="D5073" s="15">
        <v>0</v>
      </c>
      <c r="E5073" s="15">
        <v>0</v>
      </c>
      <c r="F5073" s="15">
        <v>0</v>
      </c>
      <c r="G5073" s="15">
        <v>0</v>
      </c>
      <c r="H5073" s="15">
        <v>0</v>
      </c>
    </row>
    <row r="5074" spans="2:8">
      <c r="B5074" s="17" t="s">
        <v>11017</v>
      </c>
      <c r="C5074" s="246" t="s">
        <v>4723</v>
      </c>
      <c r="D5074" s="18">
        <v>0</v>
      </c>
      <c r="E5074" s="18">
        <v>0</v>
      </c>
      <c r="F5074" s="18">
        <v>0</v>
      </c>
      <c r="G5074" s="18">
        <v>0</v>
      </c>
      <c r="H5074" s="18">
        <v>0</v>
      </c>
    </row>
    <row r="5075" spans="2:8">
      <c r="B5075" s="14" t="s">
        <v>11018</v>
      </c>
      <c r="C5075" s="245" t="s">
        <v>4723</v>
      </c>
      <c r="D5075" s="15">
        <v>0</v>
      </c>
      <c r="E5075" s="15">
        <v>0</v>
      </c>
      <c r="F5075" s="15">
        <v>0</v>
      </c>
      <c r="G5075" s="15">
        <v>0</v>
      </c>
      <c r="H5075" s="15">
        <v>0</v>
      </c>
    </row>
    <row r="5076" spans="2:8">
      <c r="B5076" s="17" t="s">
        <v>11019</v>
      </c>
      <c r="C5076" s="246" t="s">
        <v>5281</v>
      </c>
      <c r="D5076" s="18">
        <v>0</v>
      </c>
      <c r="E5076" s="18">
        <v>0</v>
      </c>
      <c r="F5076" s="18">
        <v>0</v>
      </c>
      <c r="G5076" s="18">
        <v>0</v>
      </c>
      <c r="H5076" s="18">
        <v>0</v>
      </c>
    </row>
    <row r="5077" spans="2:8">
      <c r="B5077" s="14" t="s">
        <v>11020</v>
      </c>
      <c r="C5077" s="245" t="s">
        <v>5282</v>
      </c>
      <c r="D5077" s="15">
        <v>0</v>
      </c>
      <c r="E5077" s="15">
        <v>0</v>
      </c>
      <c r="F5077" s="15">
        <v>0</v>
      </c>
      <c r="G5077" s="15">
        <v>0</v>
      </c>
      <c r="H5077" s="15">
        <v>0</v>
      </c>
    </row>
    <row r="5078" spans="2:8">
      <c r="B5078" s="17" t="s">
        <v>11021</v>
      </c>
      <c r="C5078" s="246" t="s">
        <v>5283</v>
      </c>
      <c r="D5078" s="18">
        <v>0</v>
      </c>
      <c r="E5078" s="18">
        <v>0</v>
      </c>
      <c r="F5078" s="18">
        <v>0</v>
      </c>
      <c r="G5078" s="18">
        <v>0</v>
      </c>
      <c r="H5078" s="18">
        <v>0</v>
      </c>
    </row>
    <row r="5079" spans="2:8">
      <c r="B5079" s="14" t="s">
        <v>11022</v>
      </c>
      <c r="C5079" s="245" t="s">
        <v>5284</v>
      </c>
      <c r="D5079" s="15">
        <v>0</v>
      </c>
      <c r="E5079" s="15">
        <v>0</v>
      </c>
      <c r="F5079" s="15">
        <v>0</v>
      </c>
      <c r="G5079" s="15">
        <v>0</v>
      </c>
      <c r="H5079" s="15">
        <v>0</v>
      </c>
    </row>
    <row r="5080" spans="2:8">
      <c r="B5080" s="17" t="s">
        <v>11023</v>
      </c>
      <c r="C5080" s="246" t="s">
        <v>3781</v>
      </c>
      <c r="D5080" s="18">
        <v>0</v>
      </c>
      <c r="E5080" s="18">
        <v>0</v>
      </c>
      <c r="F5080" s="18">
        <v>0</v>
      </c>
      <c r="G5080" s="18">
        <v>0</v>
      </c>
      <c r="H5080" s="18">
        <v>0</v>
      </c>
    </row>
    <row r="5081" spans="2:8">
      <c r="B5081" s="14" t="s">
        <v>11024</v>
      </c>
      <c r="C5081" s="245" t="s">
        <v>5285</v>
      </c>
      <c r="D5081" s="15">
        <v>0</v>
      </c>
      <c r="E5081" s="15">
        <v>0</v>
      </c>
      <c r="F5081" s="15">
        <v>0</v>
      </c>
      <c r="G5081" s="15">
        <v>0</v>
      </c>
      <c r="H5081" s="15">
        <v>0</v>
      </c>
    </row>
    <row r="5082" spans="2:8">
      <c r="B5082" s="17" t="s">
        <v>11025</v>
      </c>
      <c r="C5082" s="246" t="s">
        <v>5286</v>
      </c>
      <c r="D5082" s="18">
        <v>0</v>
      </c>
      <c r="E5082" s="18">
        <v>0</v>
      </c>
      <c r="F5082" s="18">
        <v>0</v>
      </c>
      <c r="G5082" s="18">
        <v>0</v>
      </c>
      <c r="H5082" s="18">
        <v>0</v>
      </c>
    </row>
    <row r="5083" spans="2:8">
      <c r="B5083" s="14" t="s">
        <v>11026</v>
      </c>
      <c r="C5083" s="245" t="s">
        <v>5287</v>
      </c>
      <c r="D5083" s="15">
        <v>0</v>
      </c>
      <c r="E5083" s="15">
        <v>0</v>
      </c>
      <c r="F5083" s="15">
        <v>0</v>
      </c>
      <c r="G5083" s="15">
        <v>0</v>
      </c>
      <c r="H5083" s="15">
        <v>0</v>
      </c>
    </row>
    <row r="5084" spans="2:8">
      <c r="B5084" s="17" t="s">
        <v>11027</v>
      </c>
      <c r="C5084" s="246" t="s">
        <v>5288</v>
      </c>
      <c r="D5084" s="18">
        <v>0</v>
      </c>
      <c r="E5084" s="18">
        <v>0</v>
      </c>
      <c r="F5084" s="18">
        <v>0</v>
      </c>
      <c r="G5084" s="18">
        <v>0</v>
      </c>
      <c r="H5084" s="18">
        <v>0</v>
      </c>
    </row>
    <row r="5085" spans="2:8">
      <c r="B5085" s="14" t="s">
        <v>11028</v>
      </c>
      <c r="C5085" s="245" t="s">
        <v>5289</v>
      </c>
      <c r="D5085" s="15">
        <v>0</v>
      </c>
      <c r="E5085" s="15">
        <v>0</v>
      </c>
      <c r="F5085" s="15">
        <v>0</v>
      </c>
      <c r="G5085" s="15">
        <v>0</v>
      </c>
      <c r="H5085" s="15">
        <v>0</v>
      </c>
    </row>
    <row r="5086" spans="2:8">
      <c r="B5086" s="17" t="s">
        <v>11029</v>
      </c>
      <c r="C5086" s="246" t="s">
        <v>5290</v>
      </c>
      <c r="D5086" s="18">
        <v>0</v>
      </c>
      <c r="E5086" s="18">
        <v>0</v>
      </c>
      <c r="F5086" s="18">
        <v>0</v>
      </c>
      <c r="G5086" s="18">
        <v>0</v>
      </c>
      <c r="H5086" s="18">
        <v>0</v>
      </c>
    </row>
    <row r="5087" spans="2:8">
      <c r="B5087" s="14" t="s">
        <v>11030</v>
      </c>
      <c r="C5087" s="245" t="s">
        <v>5291</v>
      </c>
      <c r="D5087" s="15">
        <v>0</v>
      </c>
      <c r="E5087" s="15">
        <v>0</v>
      </c>
      <c r="F5087" s="15">
        <v>55</v>
      </c>
      <c r="G5087" s="15">
        <v>0</v>
      </c>
      <c r="H5087" s="15">
        <v>0</v>
      </c>
    </row>
    <row r="5088" spans="2:8">
      <c r="B5088" s="17" t="s">
        <v>11031</v>
      </c>
      <c r="C5088" s="246" t="s">
        <v>5292</v>
      </c>
      <c r="D5088" s="18">
        <v>4</v>
      </c>
      <c r="E5088" s="18">
        <v>1</v>
      </c>
      <c r="F5088" s="18">
        <v>33</v>
      </c>
      <c r="G5088" s="18">
        <v>15</v>
      </c>
      <c r="H5088" s="18">
        <v>0</v>
      </c>
    </row>
    <row r="5089" spans="2:8">
      <c r="B5089" s="14" t="s">
        <v>11032</v>
      </c>
      <c r="C5089" s="245" t="s">
        <v>5293</v>
      </c>
      <c r="D5089" s="15">
        <v>3</v>
      </c>
      <c r="E5089" s="15">
        <v>0</v>
      </c>
      <c r="F5089" s="15">
        <v>0</v>
      </c>
      <c r="G5089" s="15">
        <v>28</v>
      </c>
      <c r="H5089" s="15">
        <v>0</v>
      </c>
    </row>
    <row r="5090" spans="2:8">
      <c r="B5090" s="17" t="s">
        <v>11033</v>
      </c>
      <c r="C5090" s="246" t="s">
        <v>5294</v>
      </c>
      <c r="D5090" s="18">
        <v>0</v>
      </c>
      <c r="E5090" s="18">
        <v>0</v>
      </c>
      <c r="F5090" s="18">
        <v>0</v>
      </c>
      <c r="G5090" s="18">
        <v>0</v>
      </c>
      <c r="H5090" s="18">
        <v>0</v>
      </c>
    </row>
    <row r="5091" spans="2:8">
      <c r="B5091" s="14" t="s">
        <v>11034</v>
      </c>
      <c r="C5091" s="245" t="s">
        <v>5295</v>
      </c>
      <c r="D5091" s="15">
        <v>0</v>
      </c>
      <c r="E5091" s="15">
        <v>0</v>
      </c>
      <c r="F5091" s="15">
        <v>0</v>
      </c>
      <c r="G5091" s="15">
        <v>0</v>
      </c>
      <c r="H5091" s="15">
        <v>0</v>
      </c>
    </row>
    <row r="5092" spans="2:8">
      <c r="B5092" s="17" t="s">
        <v>11035</v>
      </c>
      <c r="C5092" s="246" t="s">
        <v>5296</v>
      </c>
      <c r="D5092" s="18">
        <v>19</v>
      </c>
      <c r="E5092" s="18">
        <v>1</v>
      </c>
      <c r="F5092" s="18">
        <v>1</v>
      </c>
      <c r="G5092" s="18">
        <v>7</v>
      </c>
      <c r="H5092" s="18">
        <v>0</v>
      </c>
    </row>
    <row r="5093" spans="2:8">
      <c r="B5093" s="14" t="s">
        <v>11036</v>
      </c>
      <c r="C5093" s="245" t="s">
        <v>5297</v>
      </c>
      <c r="D5093" s="15">
        <v>0</v>
      </c>
      <c r="E5093" s="15">
        <v>0</v>
      </c>
      <c r="F5093" s="15">
        <v>1</v>
      </c>
      <c r="G5093" s="15">
        <v>4</v>
      </c>
      <c r="H5093" s="15">
        <v>0</v>
      </c>
    </row>
    <row r="5094" spans="2:8">
      <c r="B5094" s="17" t="s">
        <v>11037</v>
      </c>
      <c r="C5094" s="246" t="s">
        <v>5298</v>
      </c>
      <c r="D5094" s="18">
        <v>8</v>
      </c>
      <c r="E5094" s="18">
        <v>5</v>
      </c>
      <c r="F5094" s="18">
        <v>0</v>
      </c>
      <c r="G5094" s="18">
        <v>0</v>
      </c>
      <c r="H5094" s="18">
        <v>0</v>
      </c>
    </row>
    <row r="5095" spans="2:8">
      <c r="B5095" s="14" t="s">
        <v>11038</v>
      </c>
      <c r="C5095" s="245" t="s">
        <v>5299</v>
      </c>
      <c r="D5095" s="15">
        <v>0</v>
      </c>
      <c r="E5095" s="15">
        <v>0</v>
      </c>
      <c r="F5095" s="15">
        <v>0</v>
      </c>
      <c r="G5095" s="15">
        <v>0</v>
      </c>
      <c r="H5095" s="15">
        <v>0</v>
      </c>
    </row>
    <row r="5096" spans="2:8">
      <c r="B5096" s="17" t="s">
        <v>11039</v>
      </c>
      <c r="C5096" s="246" t="s">
        <v>5300</v>
      </c>
      <c r="D5096" s="18">
        <v>0</v>
      </c>
      <c r="E5096" s="18">
        <v>0</v>
      </c>
      <c r="F5096" s="18">
        <v>0</v>
      </c>
      <c r="G5096" s="18">
        <v>0</v>
      </c>
      <c r="H5096" s="18">
        <v>0</v>
      </c>
    </row>
    <row r="5097" spans="2:8">
      <c r="B5097" s="14" t="s">
        <v>11040</v>
      </c>
      <c r="C5097" s="245" t="s">
        <v>5301</v>
      </c>
      <c r="D5097" s="15">
        <v>0</v>
      </c>
      <c r="E5097" s="15">
        <v>0</v>
      </c>
      <c r="F5097" s="15">
        <v>0</v>
      </c>
      <c r="G5097" s="15">
        <v>0</v>
      </c>
      <c r="H5097" s="15">
        <v>0</v>
      </c>
    </row>
    <row r="5098" spans="2:8">
      <c r="B5098" s="17" t="s">
        <v>11041</v>
      </c>
      <c r="C5098" s="246" t="s">
        <v>5302</v>
      </c>
      <c r="D5098" s="18">
        <v>0</v>
      </c>
      <c r="E5098" s="18">
        <v>5</v>
      </c>
      <c r="F5098" s="18">
        <v>0</v>
      </c>
      <c r="G5098" s="18">
        <v>0</v>
      </c>
      <c r="H5098" s="18">
        <v>0</v>
      </c>
    </row>
    <row r="5099" spans="2:8">
      <c r="B5099" s="14" t="s">
        <v>11042</v>
      </c>
      <c r="C5099" s="245" t="s">
        <v>5303</v>
      </c>
      <c r="D5099" s="15">
        <v>0</v>
      </c>
      <c r="E5099" s="15">
        <v>0</v>
      </c>
      <c r="F5099" s="15">
        <v>0</v>
      </c>
      <c r="G5099" s="15">
        <v>0</v>
      </c>
      <c r="H5099" s="15">
        <v>0</v>
      </c>
    </row>
    <row r="5100" spans="2:8">
      <c r="B5100" s="17" t="s">
        <v>11043</v>
      </c>
      <c r="C5100" s="246" t="s">
        <v>5304</v>
      </c>
      <c r="D5100" s="18">
        <v>0</v>
      </c>
      <c r="E5100" s="18">
        <v>0</v>
      </c>
      <c r="F5100" s="18">
        <v>0</v>
      </c>
      <c r="G5100" s="18">
        <v>0</v>
      </c>
      <c r="H5100" s="18">
        <v>0</v>
      </c>
    </row>
    <row r="5101" spans="2:8">
      <c r="B5101" s="14" t="s">
        <v>11044</v>
      </c>
      <c r="C5101" s="245" t="s">
        <v>5305</v>
      </c>
      <c r="D5101" s="15">
        <v>0</v>
      </c>
      <c r="E5101" s="15">
        <v>0</v>
      </c>
      <c r="F5101" s="15">
        <v>0</v>
      </c>
      <c r="G5101" s="15">
        <v>0</v>
      </c>
      <c r="H5101" s="15">
        <v>0</v>
      </c>
    </row>
    <row r="5102" spans="2:8">
      <c r="B5102" s="17" t="s">
        <v>11045</v>
      </c>
      <c r="C5102" s="246" t="s">
        <v>2956</v>
      </c>
      <c r="D5102" s="18">
        <v>0</v>
      </c>
      <c r="E5102" s="18">
        <v>0</v>
      </c>
      <c r="F5102" s="18">
        <v>0</v>
      </c>
      <c r="G5102" s="18">
        <v>0</v>
      </c>
      <c r="H5102" s="18">
        <v>0</v>
      </c>
    </row>
    <row r="5103" spans="2:8">
      <c r="B5103" s="14" t="s">
        <v>11046</v>
      </c>
      <c r="C5103" s="245" t="s">
        <v>5306</v>
      </c>
      <c r="D5103" s="15">
        <v>0</v>
      </c>
      <c r="E5103" s="15">
        <v>0</v>
      </c>
      <c r="F5103" s="15">
        <v>0</v>
      </c>
      <c r="G5103" s="15">
        <v>0</v>
      </c>
      <c r="H5103" s="15">
        <v>0</v>
      </c>
    </row>
    <row r="5104" spans="2:8">
      <c r="B5104" s="17" t="s">
        <v>11047</v>
      </c>
      <c r="C5104" s="246" t="s">
        <v>5307</v>
      </c>
      <c r="D5104" s="18">
        <v>0</v>
      </c>
      <c r="E5104" s="18">
        <v>0</v>
      </c>
      <c r="F5104" s="18">
        <v>4</v>
      </c>
      <c r="G5104" s="18">
        <v>11</v>
      </c>
      <c r="H5104" s="18">
        <v>0</v>
      </c>
    </row>
    <row r="5105" spans="2:8">
      <c r="B5105" s="14" t="s">
        <v>11048</v>
      </c>
      <c r="C5105" s="245" t="s">
        <v>5308</v>
      </c>
      <c r="D5105" s="15">
        <v>0</v>
      </c>
      <c r="E5105" s="15">
        <v>0</v>
      </c>
      <c r="F5105" s="15">
        <v>0</v>
      </c>
      <c r="G5105" s="15">
        <v>0</v>
      </c>
      <c r="H5105" s="15">
        <v>0</v>
      </c>
    </row>
    <row r="5106" spans="2:8">
      <c r="B5106" s="17" t="s">
        <v>11049</v>
      </c>
      <c r="C5106" s="246" t="s">
        <v>5309</v>
      </c>
      <c r="D5106" s="18">
        <v>0</v>
      </c>
      <c r="E5106" s="18">
        <v>0</v>
      </c>
      <c r="F5106" s="18">
        <v>0</v>
      </c>
      <c r="G5106" s="18">
        <v>0</v>
      </c>
      <c r="H5106" s="18">
        <v>0</v>
      </c>
    </row>
    <row r="5107" spans="2:8">
      <c r="B5107" s="14" t="s">
        <v>11050</v>
      </c>
      <c r="C5107" s="245" t="s">
        <v>5310</v>
      </c>
      <c r="D5107" s="15">
        <v>0</v>
      </c>
      <c r="E5107" s="15">
        <v>0</v>
      </c>
      <c r="F5107" s="15">
        <v>0</v>
      </c>
      <c r="G5107" s="15">
        <v>0</v>
      </c>
      <c r="H5107" s="15">
        <v>0</v>
      </c>
    </row>
    <row r="5108" spans="2:8">
      <c r="B5108" s="17" t="s">
        <v>11051</v>
      </c>
      <c r="C5108" s="246" t="s">
        <v>5311</v>
      </c>
      <c r="D5108" s="18">
        <v>0</v>
      </c>
      <c r="E5108" s="18">
        <v>0</v>
      </c>
      <c r="F5108" s="18">
        <v>0</v>
      </c>
      <c r="G5108" s="18">
        <v>0</v>
      </c>
      <c r="H5108" s="18">
        <v>0</v>
      </c>
    </row>
    <row r="5109" spans="2:8">
      <c r="B5109" s="14" t="s">
        <v>11052</v>
      </c>
      <c r="C5109" s="245" t="s">
        <v>5312</v>
      </c>
      <c r="D5109" s="15">
        <v>0</v>
      </c>
      <c r="E5109" s="15">
        <v>0</v>
      </c>
      <c r="F5109" s="15">
        <v>0</v>
      </c>
      <c r="G5109" s="15">
        <v>0</v>
      </c>
      <c r="H5109" s="15">
        <v>0</v>
      </c>
    </row>
    <row r="5110" spans="2:8">
      <c r="B5110" s="17" t="s">
        <v>11053</v>
      </c>
      <c r="C5110" s="246" t="s">
        <v>5313</v>
      </c>
      <c r="D5110" s="18">
        <v>0</v>
      </c>
      <c r="E5110" s="18">
        <v>0</v>
      </c>
      <c r="F5110" s="18">
        <v>0</v>
      </c>
      <c r="G5110" s="18">
        <v>0</v>
      </c>
      <c r="H5110" s="18">
        <v>0</v>
      </c>
    </row>
    <row r="5111" spans="2:8">
      <c r="B5111" s="14" t="s">
        <v>11054</v>
      </c>
      <c r="C5111" s="245" t="s">
        <v>5314</v>
      </c>
      <c r="D5111" s="15">
        <v>0</v>
      </c>
      <c r="E5111" s="15">
        <v>0</v>
      </c>
      <c r="F5111" s="15">
        <v>0</v>
      </c>
      <c r="G5111" s="15">
        <v>0</v>
      </c>
      <c r="H5111" s="15">
        <v>0</v>
      </c>
    </row>
    <row r="5112" spans="2:8">
      <c r="B5112" s="17" t="s">
        <v>11055</v>
      </c>
      <c r="C5112" s="246" t="s">
        <v>5315</v>
      </c>
      <c r="D5112" s="18">
        <v>0</v>
      </c>
      <c r="E5112" s="18">
        <v>0</v>
      </c>
      <c r="F5112" s="18">
        <v>0</v>
      </c>
      <c r="G5112" s="18">
        <v>0</v>
      </c>
      <c r="H5112" s="18">
        <v>0</v>
      </c>
    </row>
    <row r="5113" spans="2:8">
      <c r="B5113" s="14" t="s">
        <v>11056</v>
      </c>
      <c r="C5113" s="245" t="s">
        <v>5316</v>
      </c>
      <c r="D5113" s="15">
        <v>0</v>
      </c>
      <c r="E5113" s="15">
        <v>3</v>
      </c>
      <c r="F5113" s="15">
        <v>0</v>
      </c>
      <c r="G5113" s="15">
        <v>0</v>
      </c>
      <c r="H5113" s="15">
        <v>0</v>
      </c>
    </row>
    <row r="5114" spans="2:8">
      <c r="B5114" s="17" t="s">
        <v>11057</v>
      </c>
      <c r="C5114" s="246" t="s">
        <v>5317</v>
      </c>
      <c r="D5114" s="18">
        <v>0</v>
      </c>
      <c r="E5114" s="18">
        <v>0</v>
      </c>
      <c r="F5114" s="18">
        <v>0</v>
      </c>
      <c r="G5114" s="18">
        <v>0</v>
      </c>
      <c r="H5114" s="18">
        <v>0</v>
      </c>
    </row>
    <row r="5115" spans="2:8">
      <c r="B5115" s="14" t="s">
        <v>11058</v>
      </c>
      <c r="C5115" s="245" t="s">
        <v>3137</v>
      </c>
      <c r="D5115" s="15">
        <v>7</v>
      </c>
      <c r="E5115" s="15">
        <v>197</v>
      </c>
      <c r="F5115" s="15">
        <v>0</v>
      </c>
      <c r="G5115" s="15">
        <v>0</v>
      </c>
      <c r="H5115" s="15">
        <v>0</v>
      </c>
    </row>
    <row r="5116" spans="2:8">
      <c r="B5116" s="17" t="s">
        <v>11059</v>
      </c>
      <c r="C5116" s="246" t="s">
        <v>5318</v>
      </c>
      <c r="D5116" s="18">
        <v>0</v>
      </c>
      <c r="E5116" s="18">
        <v>0</v>
      </c>
      <c r="F5116" s="18">
        <v>0</v>
      </c>
      <c r="G5116" s="18">
        <v>0</v>
      </c>
      <c r="H5116" s="18">
        <v>0</v>
      </c>
    </row>
    <row r="5117" spans="2:8">
      <c r="B5117" s="14" t="s">
        <v>11060</v>
      </c>
      <c r="C5117" s="245" t="s">
        <v>5319</v>
      </c>
      <c r="D5117" s="15">
        <v>0</v>
      </c>
      <c r="E5117" s="15">
        <v>0</v>
      </c>
      <c r="F5117" s="15">
        <v>0</v>
      </c>
      <c r="G5117" s="15">
        <v>0</v>
      </c>
      <c r="H5117" s="15">
        <v>0</v>
      </c>
    </row>
    <row r="5118" spans="2:8">
      <c r="B5118" s="17" t="s">
        <v>11061</v>
      </c>
      <c r="C5118" s="246" t="s">
        <v>5320</v>
      </c>
      <c r="D5118" s="18">
        <v>0</v>
      </c>
      <c r="E5118" s="18">
        <v>0</v>
      </c>
      <c r="F5118" s="18">
        <v>0</v>
      </c>
      <c r="G5118" s="18">
        <v>77</v>
      </c>
      <c r="H5118" s="18">
        <v>0</v>
      </c>
    </row>
    <row r="5119" spans="2:8">
      <c r="B5119" s="14" t="s">
        <v>11062</v>
      </c>
      <c r="C5119" s="245" t="s">
        <v>5321</v>
      </c>
      <c r="D5119" s="15">
        <v>0</v>
      </c>
      <c r="E5119" s="15">
        <v>0</v>
      </c>
      <c r="F5119" s="15">
        <v>0</v>
      </c>
      <c r="G5119" s="15">
        <v>0</v>
      </c>
      <c r="H5119" s="15">
        <v>0</v>
      </c>
    </row>
    <row r="5120" spans="2:8">
      <c r="B5120" s="17" t="s">
        <v>11063</v>
      </c>
      <c r="C5120" s="246" t="s">
        <v>5322</v>
      </c>
      <c r="D5120" s="18">
        <v>0</v>
      </c>
      <c r="E5120" s="18">
        <v>0</v>
      </c>
      <c r="F5120" s="18">
        <v>0</v>
      </c>
      <c r="G5120" s="18">
        <v>3</v>
      </c>
      <c r="H5120" s="18">
        <v>0</v>
      </c>
    </row>
    <row r="5121" spans="2:8">
      <c r="B5121" s="14" t="s">
        <v>11064</v>
      </c>
      <c r="C5121" s="245" t="s">
        <v>5323</v>
      </c>
      <c r="D5121" s="15">
        <v>0</v>
      </c>
      <c r="E5121" s="15">
        <v>0</v>
      </c>
      <c r="F5121" s="15">
        <v>0</v>
      </c>
      <c r="G5121" s="15">
        <v>0</v>
      </c>
      <c r="H5121" s="15">
        <v>0</v>
      </c>
    </row>
    <row r="5122" spans="2:8">
      <c r="B5122" s="17" t="s">
        <v>11065</v>
      </c>
      <c r="C5122" s="246" t="s">
        <v>5324</v>
      </c>
      <c r="D5122" s="18">
        <v>0</v>
      </c>
      <c r="E5122" s="18">
        <v>0</v>
      </c>
      <c r="F5122" s="18">
        <v>0</v>
      </c>
      <c r="G5122" s="18">
        <v>0</v>
      </c>
      <c r="H5122" s="18">
        <v>0</v>
      </c>
    </row>
    <row r="5123" spans="2:8">
      <c r="B5123" s="14" t="s">
        <v>11066</v>
      </c>
      <c r="C5123" s="245" t="s">
        <v>5325</v>
      </c>
      <c r="D5123" s="15">
        <v>0</v>
      </c>
      <c r="E5123" s="15">
        <v>0</v>
      </c>
      <c r="F5123" s="15">
        <v>0</v>
      </c>
      <c r="G5123" s="15">
        <v>0</v>
      </c>
      <c r="H5123" s="15">
        <v>0</v>
      </c>
    </row>
    <row r="5124" spans="2:8">
      <c r="B5124" s="17" t="s">
        <v>11067</v>
      </c>
      <c r="C5124" s="246" t="s">
        <v>3047</v>
      </c>
      <c r="D5124" s="18">
        <v>0</v>
      </c>
      <c r="E5124" s="18">
        <v>0</v>
      </c>
      <c r="F5124" s="18">
        <v>0</v>
      </c>
      <c r="G5124" s="18">
        <v>7</v>
      </c>
      <c r="H5124" s="18">
        <v>0</v>
      </c>
    </row>
    <row r="5125" spans="2:8">
      <c r="B5125" s="14" t="s">
        <v>11068</v>
      </c>
      <c r="C5125" s="245" t="s">
        <v>5326</v>
      </c>
      <c r="D5125" s="15">
        <v>0</v>
      </c>
      <c r="E5125" s="15">
        <v>0</v>
      </c>
      <c r="F5125" s="15">
        <v>0</v>
      </c>
      <c r="G5125" s="15">
        <v>0</v>
      </c>
      <c r="H5125" s="15">
        <v>0</v>
      </c>
    </row>
    <row r="5126" spans="2:8">
      <c r="B5126" s="17" t="s">
        <v>11069</v>
      </c>
      <c r="C5126" s="246" t="s">
        <v>5327</v>
      </c>
      <c r="D5126" s="18">
        <v>0</v>
      </c>
      <c r="E5126" s="18">
        <v>0</v>
      </c>
      <c r="F5126" s="18">
        <v>0</v>
      </c>
      <c r="G5126" s="18">
        <v>0</v>
      </c>
      <c r="H5126" s="18">
        <v>0</v>
      </c>
    </row>
    <row r="5127" spans="2:8">
      <c r="B5127" s="14" t="s">
        <v>11070</v>
      </c>
      <c r="C5127" s="245" t="s">
        <v>5328</v>
      </c>
      <c r="D5127" s="15">
        <v>0</v>
      </c>
      <c r="E5127" s="15">
        <v>0</v>
      </c>
      <c r="F5127" s="15">
        <v>0</v>
      </c>
      <c r="G5127" s="15">
        <v>0</v>
      </c>
      <c r="H5127" s="15">
        <v>0</v>
      </c>
    </row>
    <row r="5128" spans="2:8">
      <c r="B5128" s="17" t="s">
        <v>11071</v>
      </c>
      <c r="C5128" s="246" t="s">
        <v>5329</v>
      </c>
      <c r="D5128" s="18">
        <v>0</v>
      </c>
      <c r="E5128" s="18">
        <v>0</v>
      </c>
      <c r="F5128" s="18">
        <v>0</v>
      </c>
      <c r="G5128" s="18">
        <v>0</v>
      </c>
      <c r="H5128" s="18">
        <v>0</v>
      </c>
    </row>
    <row r="5129" spans="2:8">
      <c r="B5129" s="14" t="s">
        <v>11072</v>
      </c>
      <c r="C5129" s="245" t="s">
        <v>5330</v>
      </c>
      <c r="D5129" s="15">
        <v>0</v>
      </c>
      <c r="E5129" s="15">
        <v>0</v>
      </c>
      <c r="F5129" s="15">
        <v>0</v>
      </c>
      <c r="G5129" s="15">
        <v>0</v>
      </c>
      <c r="H5129" s="15">
        <v>0</v>
      </c>
    </row>
    <row r="5130" spans="2:8">
      <c r="B5130" s="17" t="s">
        <v>11073</v>
      </c>
      <c r="C5130" s="246" t="s">
        <v>5331</v>
      </c>
      <c r="D5130" s="18">
        <v>0</v>
      </c>
      <c r="E5130" s="18">
        <v>0</v>
      </c>
      <c r="F5130" s="18">
        <v>0</v>
      </c>
      <c r="G5130" s="18">
        <v>0</v>
      </c>
      <c r="H5130" s="18">
        <v>0</v>
      </c>
    </row>
    <row r="5131" spans="2:8">
      <c r="B5131" s="14" t="s">
        <v>11074</v>
      </c>
      <c r="C5131" s="245" t="s">
        <v>5332</v>
      </c>
      <c r="D5131" s="15">
        <v>0</v>
      </c>
      <c r="E5131" s="15">
        <v>0</v>
      </c>
      <c r="F5131" s="15">
        <v>0</v>
      </c>
      <c r="G5131" s="15">
        <v>0</v>
      </c>
      <c r="H5131" s="15">
        <v>0</v>
      </c>
    </row>
    <row r="5132" spans="2:8">
      <c r="B5132" s="17" t="s">
        <v>11075</v>
      </c>
      <c r="C5132" s="246" t="s">
        <v>5333</v>
      </c>
      <c r="D5132" s="18">
        <v>0</v>
      </c>
      <c r="E5132" s="18">
        <v>0</v>
      </c>
      <c r="F5132" s="18">
        <v>0</v>
      </c>
      <c r="G5132" s="18">
        <v>0</v>
      </c>
      <c r="H5132" s="18">
        <v>0</v>
      </c>
    </row>
    <row r="5133" spans="2:8">
      <c r="B5133" s="14" t="s">
        <v>11076</v>
      </c>
      <c r="C5133" s="245" t="s">
        <v>1805</v>
      </c>
      <c r="D5133" s="15">
        <v>0</v>
      </c>
      <c r="E5133" s="15">
        <v>0</v>
      </c>
      <c r="F5133" s="15">
        <v>0</v>
      </c>
      <c r="G5133" s="15">
        <v>0</v>
      </c>
      <c r="H5133" s="15">
        <v>0</v>
      </c>
    </row>
    <row r="5134" spans="2:8">
      <c r="B5134" s="17" t="s">
        <v>11077</v>
      </c>
      <c r="C5134" s="246" t="s">
        <v>5334</v>
      </c>
      <c r="D5134" s="18">
        <v>0</v>
      </c>
      <c r="E5134" s="18">
        <v>0</v>
      </c>
      <c r="F5134" s="18">
        <v>0</v>
      </c>
      <c r="G5134" s="18">
        <v>0</v>
      </c>
      <c r="H5134" s="18">
        <v>0</v>
      </c>
    </row>
    <row r="5135" spans="2:8">
      <c r="B5135" s="14" t="s">
        <v>11078</v>
      </c>
      <c r="C5135" s="245" t="s">
        <v>5335</v>
      </c>
      <c r="D5135" s="15">
        <v>0</v>
      </c>
      <c r="E5135" s="15">
        <v>0</v>
      </c>
      <c r="F5135" s="15">
        <v>0</v>
      </c>
      <c r="G5135" s="15">
        <v>0</v>
      </c>
      <c r="H5135" s="15">
        <v>0</v>
      </c>
    </row>
    <row r="5136" spans="2:8">
      <c r="B5136" s="17" t="s">
        <v>11079</v>
      </c>
      <c r="C5136" s="246" t="s">
        <v>5336</v>
      </c>
      <c r="D5136" s="18">
        <v>0</v>
      </c>
      <c r="E5136" s="18">
        <v>0</v>
      </c>
      <c r="F5136" s="18">
        <v>0</v>
      </c>
      <c r="G5136" s="18">
        <v>0</v>
      </c>
      <c r="H5136" s="18">
        <v>0</v>
      </c>
    </row>
    <row r="5137" spans="2:8">
      <c r="B5137" s="14" t="s">
        <v>11080</v>
      </c>
      <c r="C5137" s="245" t="s">
        <v>5337</v>
      </c>
      <c r="D5137" s="15">
        <v>0</v>
      </c>
      <c r="E5137" s="15">
        <v>0</v>
      </c>
      <c r="F5137" s="15">
        <v>0</v>
      </c>
      <c r="G5137" s="15">
        <v>0</v>
      </c>
      <c r="H5137" s="15">
        <v>0</v>
      </c>
    </row>
    <row r="5138" spans="2:8">
      <c r="B5138" s="17" t="s">
        <v>11081</v>
      </c>
      <c r="C5138" s="246" t="s">
        <v>5338</v>
      </c>
      <c r="D5138" s="18">
        <v>0</v>
      </c>
      <c r="E5138" s="18">
        <v>0</v>
      </c>
      <c r="F5138" s="18">
        <v>0</v>
      </c>
      <c r="G5138" s="18">
        <v>0</v>
      </c>
      <c r="H5138" s="18">
        <v>0</v>
      </c>
    </row>
    <row r="5139" spans="2:8">
      <c r="B5139" s="14" t="s">
        <v>11082</v>
      </c>
      <c r="C5139" s="245" t="s">
        <v>5339</v>
      </c>
      <c r="D5139" s="15">
        <v>0</v>
      </c>
      <c r="E5139" s="15">
        <v>0</v>
      </c>
      <c r="F5139" s="15">
        <v>0</v>
      </c>
      <c r="G5139" s="15">
        <v>0</v>
      </c>
      <c r="H5139" s="15">
        <v>0</v>
      </c>
    </row>
    <row r="5140" spans="2:8">
      <c r="B5140" s="17" t="s">
        <v>11083</v>
      </c>
      <c r="C5140" s="246" t="s">
        <v>5340</v>
      </c>
      <c r="D5140" s="18">
        <v>0</v>
      </c>
      <c r="E5140" s="18">
        <v>0</v>
      </c>
      <c r="F5140" s="18">
        <v>0</v>
      </c>
      <c r="G5140" s="18">
        <v>0</v>
      </c>
      <c r="H5140" s="18">
        <v>0</v>
      </c>
    </row>
    <row r="5141" spans="2:8">
      <c r="B5141" s="14" t="s">
        <v>11084</v>
      </c>
      <c r="C5141" s="245" t="s">
        <v>5341</v>
      </c>
      <c r="D5141" s="15">
        <v>0</v>
      </c>
      <c r="E5141" s="15">
        <v>0</v>
      </c>
      <c r="F5141" s="15">
        <v>0</v>
      </c>
      <c r="G5141" s="15">
        <v>0</v>
      </c>
      <c r="H5141" s="15">
        <v>0</v>
      </c>
    </row>
    <row r="5142" spans="2:8">
      <c r="B5142" s="17" t="s">
        <v>11085</v>
      </c>
      <c r="C5142" s="246" t="s">
        <v>5342</v>
      </c>
      <c r="D5142" s="18">
        <v>0</v>
      </c>
      <c r="E5142" s="18">
        <v>0</v>
      </c>
      <c r="F5142" s="18">
        <v>0</v>
      </c>
      <c r="G5142" s="18">
        <v>0</v>
      </c>
      <c r="H5142" s="18">
        <v>0</v>
      </c>
    </row>
    <row r="5143" spans="2:8">
      <c r="B5143" s="14" t="s">
        <v>11086</v>
      </c>
      <c r="C5143" s="245" t="s">
        <v>5343</v>
      </c>
      <c r="D5143" s="15">
        <v>0</v>
      </c>
      <c r="E5143" s="15">
        <v>0</v>
      </c>
      <c r="F5143" s="15">
        <v>0</v>
      </c>
      <c r="G5143" s="15">
        <v>0</v>
      </c>
      <c r="H5143" s="15">
        <v>0</v>
      </c>
    </row>
    <row r="5144" spans="2:8">
      <c r="B5144" s="17" t="s">
        <v>11087</v>
      </c>
      <c r="C5144" s="246" t="s">
        <v>5344</v>
      </c>
      <c r="D5144" s="18">
        <v>0</v>
      </c>
      <c r="E5144" s="18">
        <v>0</v>
      </c>
      <c r="F5144" s="18">
        <v>0</v>
      </c>
      <c r="G5144" s="18">
        <v>0</v>
      </c>
      <c r="H5144" s="18">
        <v>0</v>
      </c>
    </row>
    <row r="5145" spans="2:8">
      <c r="B5145" s="14" t="s">
        <v>11088</v>
      </c>
      <c r="C5145" s="245" t="s">
        <v>5345</v>
      </c>
      <c r="D5145" s="15">
        <v>0</v>
      </c>
      <c r="E5145" s="15">
        <v>3</v>
      </c>
      <c r="F5145" s="15">
        <v>0</v>
      </c>
      <c r="G5145" s="15">
        <v>4</v>
      </c>
      <c r="H5145" s="15">
        <v>0</v>
      </c>
    </row>
    <row r="5146" spans="2:8">
      <c r="B5146" s="17" t="s">
        <v>11089</v>
      </c>
      <c r="C5146" s="246" t="s">
        <v>5346</v>
      </c>
      <c r="D5146" s="18">
        <v>0</v>
      </c>
      <c r="E5146" s="18">
        <v>0</v>
      </c>
      <c r="F5146" s="18">
        <v>0</v>
      </c>
      <c r="G5146" s="18">
        <v>0</v>
      </c>
      <c r="H5146" s="18">
        <v>0</v>
      </c>
    </row>
    <row r="5147" spans="2:8">
      <c r="B5147" s="14" t="s">
        <v>11090</v>
      </c>
      <c r="C5147" s="245" t="s">
        <v>5347</v>
      </c>
      <c r="D5147" s="15">
        <v>20</v>
      </c>
      <c r="E5147" s="15">
        <v>0</v>
      </c>
      <c r="F5147" s="15">
        <v>0</v>
      </c>
      <c r="G5147" s="15">
        <v>0</v>
      </c>
      <c r="H5147" s="15">
        <v>0</v>
      </c>
    </row>
    <row r="5148" spans="2:8">
      <c r="B5148" s="17" t="s">
        <v>11091</v>
      </c>
      <c r="C5148" s="246" t="s">
        <v>5348</v>
      </c>
      <c r="D5148" s="18">
        <v>0</v>
      </c>
      <c r="E5148" s="18">
        <v>0</v>
      </c>
      <c r="F5148" s="18">
        <v>0</v>
      </c>
      <c r="G5148" s="18">
        <v>0</v>
      </c>
      <c r="H5148" s="18">
        <v>0</v>
      </c>
    </row>
    <row r="5149" spans="2:8">
      <c r="B5149" s="14" t="s">
        <v>11092</v>
      </c>
      <c r="C5149" s="245" t="s">
        <v>5349</v>
      </c>
      <c r="D5149" s="15">
        <v>0</v>
      </c>
      <c r="E5149" s="15">
        <v>0</v>
      </c>
      <c r="F5149" s="15">
        <v>0</v>
      </c>
      <c r="G5149" s="15">
        <v>0</v>
      </c>
      <c r="H5149" s="15">
        <v>0</v>
      </c>
    </row>
    <row r="5150" spans="2:8">
      <c r="B5150" s="17" t="s">
        <v>11093</v>
      </c>
      <c r="C5150" s="246" t="s">
        <v>5350</v>
      </c>
      <c r="D5150" s="18">
        <v>0</v>
      </c>
      <c r="E5150" s="18">
        <v>0</v>
      </c>
      <c r="F5150" s="18">
        <v>0</v>
      </c>
      <c r="G5150" s="18">
        <v>0</v>
      </c>
      <c r="H5150" s="18">
        <v>0</v>
      </c>
    </row>
    <row r="5151" spans="2:8">
      <c r="B5151" s="14" t="s">
        <v>11094</v>
      </c>
      <c r="C5151" s="245" t="s">
        <v>5351</v>
      </c>
      <c r="D5151" s="15">
        <v>0</v>
      </c>
      <c r="E5151" s="15">
        <v>0</v>
      </c>
      <c r="F5151" s="15">
        <v>0</v>
      </c>
      <c r="G5151" s="15">
        <v>0</v>
      </c>
      <c r="H5151" s="15">
        <v>0</v>
      </c>
    </row>
    <row r="5152" spans="2:8">
      <c r="B5152" s="17" t="s">
        <v>11095</v>
      </c>
      <c r="C5152" s="246" t="s">
        <v>5352</v>
      </c>
      <c r="D5152" s="18">
        <v>0</v>
      </c>
      <c r="E5152" s="18">
        <v>0</v>
      </c>
      <c r="F5152" s="18">
        <v>0</v>
      </c>
      <c r="G5152" s="18">
        <v>32</v>
      </c>
      <c r="H5152" s="18">
        <v>0</v>
      </c>
    </row>
    <row r="5153" spans="2:8">
      <c r="B5153" s="14" t="s">
        <v>11096</v>
      </c>
      <c r="C5153" s="245" t="s">
        <v>5353</v>
      </c>
      <c r="D5153" s="15">
        <v>0</v>
      </c>
      <c r="E5153" s="15">
        <v>0</v>
      </c>
      <c r="F5153" s="15">
        <v>0</v>
      </c>
      <c r="G5153" s="15">
        <v>0</v>
      </c>
      <c r="H5153" s="15">
        <v>0</v>
      </c>
    </row>
    <row r="5154" spans="2:8">
      <c r="B5154" s="17" t="s">
        <v>11097</v>
      </c>
      <c r="C5154" s="246" t="s">
        <v>5354</v>
      </c>
      <c r="D5154" s="18">
        <v>0</v>
      </c>
      <c r="E5154" s="18">
        <v>0</v>
      </c>
      <c r="F5154" s="18">
        <v>0</v>
      </c>
      <c r="G5154" s="18">
        <v>0</v>
      </c>
      <c r="H5154" s="18">
        <v>0</v>
      </c>
    </row>
    <row r="5155" spans="2:8">
      <c r="B5155" s="14" t="s">
        <v>11098</v>
      </c>
      <c r="C5155" s="245" t="s">
        <v>5355</v>
      </c>
      <c r="D5155" s="15">
        <v>0</v>
      </c>
      <c r="E5155" s="15">
        <v>0</v>
      </c>
      <c r="F5155" s="15">
        <v>0</v>
      </c>
      <c r="G5155" s="15">
        <v>0</v>
      </c>
      <c r="H5155" s="15">
        <v>0</v>
      </c>
    </row>
    <row r="5156" spans="2:8">
      <c r="B5156" s="17" t="s">
        <v>11099</v>
      </c>
      <c r="C5156" s="246" t="s">
        <v>5356</v>
      </c>
      <c r="D5156" s="18">
        <v>0</v>
      </c>
      <c r="E5156" s="18">
        <v>0</v>
      </c>
      <c r="F5156" s="18">
        <v>0</v>
      </c>
      <c r="G5156" s="18">
        <v>0</v>
      </c>
      <c r="H5156" s="18">
        <v>0</v>
      </c>
    </row>
    <row r="5157" spans="2:8">
      <c r="B5157" s="14" t="s">
        <v>11100</v>
      </c>
      <c r="C5157" s="245" t="s">
        <v>5357</v>
      </c>
      <c r="D5157" s="15">
        <v>0</v>
      </c>
      <c r="E5157" s="15">
        <v>0</v>
      </c>
      <c r="F5157" s="15">
        <v>0</v>
      </c>
      <c r="G5157" s="15">
        <v>0</v>
      </c>
      <c r="H5157" s="15">
        <v>0</v>
      </c>
    </row>
    <row r="5158" spans="2:8">
      <c r="B5158" s="17" t="s">
        <v>11101</v>
      </c>
      <c r="C5158" s="246" t="s">
        <v>4850</v>
      </c>
      <c r="D5158" s="18">
        <v>0</v>
      </c>
      <c r="E5158" s="18">
        <v>0</v>
      </c>
      <c r="F5158" s="18">
        <v>0</v>
      </c>
      <c r="G5158" s="18">
        <v>0</v>
      </c>
      <c r="H5158" s="18">
        <v>0</v>
      </c>
    </row>
    <row r="5159" spans="2:8">
      <c r="B5159" s="14" t="s">
        <v>11102</v>
      </c>
      <c r="C5159" s="245" t="s">
        <v>5358</v>
      </c>
      <c r="D5159" s="15">
        <v>0</v>
      </c>
      <c r="E5159" s="15">
        <v>0</v>
      </c>
      <c r="F5159" s="15">
        <v>0</v>
      </c>
      <c r="G5159" s="15">
        <v>0</v>
      </c>
      <c r="H5159" s="15">
        <v>0</v>
      </c>
    </row>
    <row r="5160" spans="2:8">
      <c r="B5160" s="17" t="s">
        <v>11103</v>
      </c>
      <c r="C5160" s="246" t="s">
        <v>5359</v>
      </c>
      <c r="D5160" s="18">
        <v>0</v>
      </c>
      <c r="E5160" s="18">
        <v>0</v>
      </c>
      <c r="F5160" s="18">
        <v>0</v>
      </c>
      <c r="G5160" s="18">
        <v>0</v>
      </c>
      <c r="H5160" s="18">
        <v>0</v>
      </c>
    </row>
    <row r="5161" spans="2:8">
      <c r="B5161" s="14" t="s">
        <v>11104</v>
      </c>
      <c r="C5161" s="245" t="s">
        <v>5360</v>
      </c>
      <c r="D5161" s="15">
        <v>0</v>
      </c>
      <c r="E5161" s="15">
        <v>0</v>
      </c>
      <c r="F5161" s="15">
        <v>0</v>
      </c>
      <c r="G5161" s="15">
        <v>0</v>
      </c>
      <c r="H5161" s="15">
        <v>0</v>
      </c>
    </row>
    <row r="5162" spans="2:8">
      <c r="B5162" s="17" t="s">
        <v>11105</v>
      </c>
      <c r="C5162" s="246" t="s">
        <v>5361</v>
      </c>
      <c r="D5162" s="18">
        <v>0</v>
      </c>
      <c r="E5162" s="18">
        <v>0</v>
      </c>
      <c r="F5162" s="18">
        <v>0</v>
      </c>
      <c r="G5162" s="18">
        <v>0</v>
      </c>
      <c r="H5162" s="18">
        <v>0</v>
      </c>
    </row>
    <row r="5163" spans="2:8">
      <c r="B5163" s="14" t="s">
        <v>11106</v>
      </c>
      <c r="C5163" s="245" t="s">
        <v>5362</v>
      </c>
      <c r="D5163" s="15">
        <v>0</v>
      </c>
      <c r="E5163" s="15">
        <v>0</v>
      </c>
      <c r="F5163" s="15">
        <v>0</v>
      </c>
      <c r="G5163" s="15">
        <v>463</v>
      </c>
      <c r="H5163" s="15">
        <v>0</v>
      </c>
    </row>
    <row r="5164" spans="2:8">
      <c r="B5164" s="17" t="s">
        <v>11107</v>
      </c>
      <c r="C5164" s="246" t="s">
        <v>5363</v>
      </c>
      <c r="D5164" s="18">
        <v>0</v>
      </c>
      <c r="E5164" s="18">
        <v>0</v>
      </c>
      <c r="F5164" s="18">
        <v>0</v>
      </c>
      <c r="G5164" s="18">
        <v>0</v>
      </c>
      <c r="H5164" s="18">
        <v>0</v>
      </c>
    </row>
    <row r="5165" spans="2:8">
      <c r="B5165" s="14" t="s">
        <v>11108</v>
      </c>
      <c r="C5165" s="245" t="s">
        <v>5364</v>
      </c>
      <c r="D5165" s="15">
        <v>0</v>
      </c>
      <c r="E5165" s="15">
        <v>0</v>
      </c>
      <c r="F5165" s="15">
        <v>0</v>
      </c>
      <c r="G5165" s="15">
        <v>0</v>
      </c>
      <c r="H5165" s="15">
        <v>0</v>
      </c>
    </row>
    <row r="5166" spans="2:8">
      <c r="B5166" s="17" t="s">
        <v>11109</v>
      </c>
      <c r="C5166" s="246" t="s">
        <v>5365</v>
      </c>
      <c r="D5166" s="18">
        <v>0</v>
      </c>
      <c r="E5166" s="18">
        <v>0</v>
      </c>
      <c r="F5166" s="18">
        <v>0</v>
      </c>
      <c r="G5166" s="18">
        <v>0</v>
      </c>
      <c r="H5166" s="18">
        <v>0</v>
      </c>
    </row>
    <row r="5167" spans="2:8">
      <c r="B5167" s="14" t="s">
        <v>11110</v>
      </c>
      <c r="C5167" s="245" t="s">
        <v>5366</v>
      </c>
      <c r="D5167" s="15">
        <v>0</v>
      </c>
      <c r="E5167" s="15">
        <v>0</v>
      </c>
      <c r="F5167" s="15">
        <v>0</v>
      </c>
      <c r="G5167" s="15">
        <v>0</v>
      </c>
      <c r="H5167" s="15">
        <v>0</v>
      </c>
    </row>
    <row r="5168" spans="2:8">
      <c r="B5168" s="17" t="s">
        <v>11111</v>
      </c>
      <c r="C5168" s="246" t="s">
        <v>5367</v>
      </c>
      <c r="D5168" s="18">
        <v>0</v>
      </c>
      <c r="E5168" s="18">
        <v>0</v>
      </c>
      <c r="F5168" s="18">
        <v>0</v>
      </c>
      <c r="G5168" s="18">
        <v>0</v>
      </c>
      <c r="H5168" s="18">
        <v>0</v>
      </c>
    </row>
    <row r="5169" spans="2:8">
      <c r="B5169" s="14" t="s">
        <v>11112</v>
      </c>
      <c r="C5169" s="245" t="s">
        <v>5368</v>
      </c>
      <c r="D5169" s="15">
        <v>0</v>
      </c>
      <c r="E5169" s="15">
        <v>9</v>
      </c>
      <c r="F5169" s="15">
        <v>0</v>
      </c>
      <c r="G5169" s="15">
        <v>0</v>
      </c>
      <c r="H5169" s="15">
        <v>0</v>
      </c>
    </row>
    <row r="5170" spans="2:8">
      <c r="B5170" s="17" t="s">
        <v>11113</v>
      </c>
      <c r="C5170" s="246" t="s">
        <v>1673</v>
      </c>
      <c r="D5170" s="18">
        <v>0</v>
      </c>
      <c r="E5170" s="18">
        <v>0</v>
      </c>
      <c r="F5170" s="18">
        <v>0</v>
      </c>
      <c r="G5170" s="18">
        <v>0</v>
      </c>
      <c r="H5170" s="18">
        <v>0</v>
      </c>
    </row>
    <row r="5171" spans="2:8">
      <c r="B5171" s="14" t="s">
        <v>11114</v>
      </c>
      <c r="C5171" s="245" t="s">
        <v>5369</v>
      </c>
      <c r="D5171" s="15">
        <v>0</v>
      </c>
      <c r="E5171" s="15">
        <v>2</v>
      </c>
      <c r="F5171" s="15">
        <v>0</v>
      </c>
      <c r="G5171" s="15">
        <v>0</v>
      </c>
      <c r="H5171" s="15">
        <v>0</v>
      </c>
    </row>
    <row r="5172" spans="2:8">
      <c r="B5172" s="17" t="s">
        <v>11115</v>
      </c>
      <c r="C5172" s="246" t="s">
        <v>5370</v>
      </c>
      <c r="D5172" s="18">
        <v>0</v>
      </c>
      <c r="E5172" s="18">
        <v>0</v>
      </c>
      <c r="F5172" s="18">
        <v>7</v>
      </c>
      <c r="G5172" s="18">
        <v>0</v>
      </c>
      <c r="H5172" s="18">
        <v>0</v>
      </c>
    </row>
    <row r="5173" spans="2:8">
      <c r="B5173" s="14" t="s">
        <v>11116</v>
      </c>
      <c r="C5173" s="245" t="s">
        <v>5371</v>
      </c>
      <c r="D5173" s="15">
        <v>0</v>
      </c>
      <c r="E5173" s="15">
        <v>0</v>
      </c>
      <c r="F5173" s="15">
        <v>0</v>
      </c>
      <c r="G5173" s="15">
        <v>6</v>
      </c>
      <c r="H5173" s="15">
        <v>0</v>
      </c>
    </row>
    <row r="5174" spans="2:8">
      <c r="B5174" s="17" t="s">
        <v>11117</v>
      </c>
      <c r="C5174" s="246" t="s">
        <v>5372</v>
      </c>
      <c r="D5174" s="18">
        <v>0</v>
      </c>
      <c r="E5174" s="18">
        <v>0</v>
      </c>
      <c r="F5174" s="18">
        <v>0</v>
      </c>
      <c r="G5174" s="18">
        <v>0</v>
      </c>
      <c r="H5174" s="18">
        <v>0</v>
      </c>
    </row>
    <row r="5175" spans="2:8">
      <c r="B5175" s="14" t="s">
        <v>11118</v>
      </c>
      <c r="C5175" s="245" t="s">
        <v>5373</v>
      </c>
      <c r="D5175" s="15">
        <v>29</v>
      </c>
      <c r="E5175" s="15">
        <v>0</v>
      </c>
      <c r="F5175" s="15">
        <v>0</v>
      </c>
      <c r="G5175" s="15">
        <v>0</v>
      </c>
      <c r="H5175" s="15">
        <v>0</v>
      </c>
    </row>
    <row r="5176" spans="2:8">
      <c r="B5176" s="17" t="s">
        <v>11119</v>
      </c>
      <c r="C5176" s="246" t="s">
        <v>5374</v>
      </c>
      <c r="D5176" s="18">
        <v>0</v>
      </c>
      <c r="E5176" s="18">
        <v>0</v>
      </c>
      <c r="F5176" s="18">
        <v>0</v>
      </c>
      <c r="G5176" s="18">
        <v>0</v>
      </c>
      <c r="H5176" s="18">
        <v>0</v>
      </c>
    </row>
    <row r="5177" spans="2:8">
      <c r="B5177" s="14" t="s">
        <v>11120</v>
      </c>
      <c r="C5177" s="245" t="s">
        <v>5375</v>
      </c>
      <c r="D5177" s="15">
        <v>0</v>
      </c>
      <c r="E5177" s="15">
        <v>0</v>
      </c>
      <c r="F5177" s="15">
        <v>0</v>
      </c>
      <c r="G5177" s="15">
        <v>0</v>
      </c>
      <c r="H5177" s="15">
        <v>0</v>
      </c>
    </row>
    <row r="5178" spans="2:8">
      <c r="B5178" s="17" t="s">
        <v>11121</v>
      </c>
      <c r="C5178" s="246" t="s">
        <v>5376</v>
      </c>
      <c r="D5178" s="18">
        <v>0</v>
      </c>
      <c r="E5178" s="18">
        <v>0</v>
      </c>
      <c r="F5178" s="18">
        <v>0</v>
      </c>
      <c r="G5178" s="18">
        <v>0</v>
      </c>
      <c r="H5178" s="18">
        <v>0</v>
      </c>
    </row>
    <row r="5179" spans="2:8">
      <c r="B5179" s="14" t="s">
        <v>11122</v>
      </c>
      <c r="C5179" s="245" t="s">
        <v>5377</v>
      </c>
      <c r="D5179" s="15">
        <v>0</v>
      </c>
      <c r="E5179" s="15">
        <v>0</v>
      </c>
      <c r="F5179" s="15">
        <v>0</v>
      </c>
      <c r="G5179" s="15">
        <v>0</v>
      </c>
      <c r="H5179" s="15">
        <v>0</v>
      </c>
    </row>
    <row r="5180" spans="2:8">
      <c r="B5180" s="17" t="s">
        <v>11123</v>
      </c>
      <c r="C5180" s="246" t="s">
        <v>5378</v>
      </c>
      <c r="D5180" s="18">
        <v>0</v>
      </c>
      <c r="E5180" s="18">
        <v>0</v>
      </c>
      <c r="F5180" s="18">
        <v>0</v>
      </c>
      <c r="G5180" s="18">
        <v>0</v>
      </c>
      <c r="H5180" s="18">
        <v>0</v>
      </c>
    </row>
    <row r="5181" spans="2:8">
      <c r="B5181" s="14" t="s">
        <v>11124</v>
      </c>
      <c r="C5181" s="245" t="s">
        <v>5379</v>
      </c>
      <c r="D5181" s="15">
        <v>0</v>
      </c>
      <c r="E5181" s="15">
        <v>0</v>
      </c>
      <c r="F5181" s="15">
        <v>0</v>
      </c>
      <c r="G5181" s="15">
        <v>0</v>
      </c>
      <c r="H5181" s="15">
        <v>0</v>
      </c>
    </row>
    <row r="5182" spans="2:8">
      <c r="B5182" s="17" t="s">
        <v>11125</v>
      </c>
      <c r="C5182" s="246" t="s">
        <v>5380</v>
      </c>
      <c r="D5182" s="18">
        <v>0</v>
      </c>
      <c r="E5182" s="18">
        <v>0</v>
      </c>
      <c r="F5182" s="18">
        <v>0</v>
      </c>
      <c r="G5182" s="18">
        <v>0</v>
      </c>
      <c r="H5182" s="18">
        <v>0</v>
      </c>
    </row>
    <row r="5183" spans="2:8">
      <c r="B5183" s="14" t="s">
        <v>11126</v>
      </c>
      <c r="C5183" s="245" t="s">
        <v>5381</v>
      </c>
      <c r="D5183" s="15">
        <v>0</v>
      </c>
      <c r="E5183" s="15">
        <v>0</v>
      </c>
      <c r="F5183" s="15">
        <v>0</v>
      </c>
      <c r="G5183" s="15">
        <v>3</v>
      </c>
      <c r="H5183" s="15">
        <v>0</v>
      </c>
    </row>
    <row r="5184" spans="2:8">
      <c r="B5184" s="17" t="s">
        <v>11127</v>
      </c>
      <c r="C5184" s="246" t="s">
        <v>5382</v>
      </c>
      <c r="D5184" s="18">
        <v>0</v>
      </c>
      <c r="E5184" s="18">
        <v>0</v>
      </c>
      <c r="F5184" s="18">
        <v>0</v>
      </c>
      <c r="G5184" s="18">
        <v>0</v>
      </c>
      <c r="H5184" s="18">
        <v>0</v>
      </c>
    </row>
    <row r="5185" spans="2:8">
      <c r="B5185" s="14" t="s">
        <v>11128</v>
      </c>
      <c r="C5185" s="245" t="s">
        <v>5383</v>
      </c>
      <c r="D5185" s="15">
        <v>0</v>
      </c>
      <c r="E5185" s="15">
        <v>0</v>
      </c>
      <c r="F5185" s="15">
        <v>0</v>
      </c>
      <c r="G5185" s="15">
        <v>0</v>
      </c>
      <c r="H5185" s="15">
        <v>0</v>
      </c>
    </row>
    <row r="5186" spans="2:8">
      <c r="B5186" s="17" t="s">
        <v>11129</v>
      </c>
      <c r="C5186" s="246" t="s">
        <v>4944</v>
      </c>
      <c r="D5186" s="18">
        <v>0</v>
      </c>
      <c r="E5186" s="18">
        <v>0</v>
      </c>
      <c r="F5186" s="18">
        <v>0</v>
      </c>
      <c r="G5186" s="18">
        <v>0</v>
      </c>
      <c r="H5186" s="18">
        <v>0</v>
      </c>
    </row>
    <row r="5187" spans="2:8">
      <c r="B5187" s="14" t="s">
        <v>11130</v>
      </c>
      <c r="C5187" s="245" t="s">
        <v>5384</v>
      </c>
      <c r="D5187" s="15">
        <v>0</v>
      </c>
      <c r="E5187" s="15">
        <v>0</v>
      </c>
      <c r="F5187" s="15">
        <v>0</v>
      </c>
      <c r="G5187" s="15">
        <v>0</v>
      </c>
      <c r="H5187" s="15">
        <v>0</v>
      </c>
    </row>
    <row r="5188" spans="2:8">
      <c r="B5188" s="17" t="s">
        <v>11131</v>
      </c>
      <c r="C5188" s="246" t="s">
        <v>5385</v>
      </c>
      <c r="D5188" s="18">
        <v>0</v>
      </c>
      <c r="E5188" s="18">
        <v>0</v>
      </c>
      <c r="F5188" s="18">
        <v>0</v>
      </c>
      <c r="G5188" s="18">
        <v>0</v>
      </c>
      <c r="H5188" s="18">
        <v>0</v>
      </c>
    </row>
    <row r="5189" spans="2:8">
      <c r="B5189" s="14" t="s">
        <v>11132</v>
      </c>
      <c r="C5189" s="245" t="s">
        <v>5386</v>
      </c>
      <c r="D5189" s="15">
        <v>0</v>
      </c>
      <c r="E5189" s="15">
        <v>0</v>
      </c>
      <c r="F5189" s="15">
        <v>0</v>
      </c>
      <c r="G5189" s="15">
        <v>0</v>
      </c>
      <c r="H5189" s="15">
        <v>0</v>
      </c>
    </row>
    <row r="5190" spans="2:8">
      <c r="B5190" s="17" t="s">
        <v>11133</v>
      </c>
      <c r="C5190" s="246" t="s">
        <v>5387</v>
      </c>
      <c r="D5190" s="18">
        <v>0</v>
      </c>
      <c r="E5190" s="18">
        <v>0</v>
      </c>
      <c r="F5190" s="18">
        <v>0</v>
      </c>
      <c r="G5190" s="18">
        <v>0</v>
      </c>
      <c r="H5190" s="18">
        <v>0</v>
      </c>
    </row>
    <row r="5191" spans="2:8">
      <c r="B5191" s="14" t="s">
        <v>11134</v>
      </c>
      <c r="C5191" s="245" t="s">
        <v>5388</v>
      </c>
      <c r="D5191" s="15">
        <v>0</v>
      </c>
      <c r="E5191" s="15">
        <v>0</v>
      </c>
      <c r="F5191" s="15">
        <v>0</v>
      </c>
      <c r="G5191" s="15">
        <v>0</v>
      </c>
      <c r="H5191" s="15">
        <v>0</v>
      </c>
    </row>
    <row r="5192" spans="2:8">
      <c r="B5192" s="17" t="s">
        <v>11135</v>
      </c>
      <c r="C5192" s="246" t="s">
        <v>5389</v>
      </c>
      <c r="D5192" s="18">
        <v>0</v>
      </c>
      <c r="E5192" s="18">
        <v>0</v>
      </c>
      <c r="F5192" s="18">
        <v>0</v>
      </c>
      <c r="G5192" s="18">
        <v>0</v>
      </c>
      <c r="H5192" s="18">
        <v>0</v>
      </c>
    </row>
    <row r="5193" spans="2:8">
      <c r="B5193" s="14" t="s">
        <v>11136</v>
      </c>
      <c r="C5193" s="245" t="s">
        <v>5390</v>
      </c>
      <c r="D5193" s="15">
        <v>0</v>
      </c>
      <c r="E5193" s="15">
        <v>0</v>
      </c>
      <c r="F5193" s="15">
        <v>0</v>
      </c>
      <c r="G5193" s="15">
        <v>0</v>
      </c>
      <c r="H5193" s="15">
        <v>0</v>
      </c>
    </row>
    <row r="5194" spans="2:8">
      <c r="B5194" s="17" t="s">
        <v>11137</v>
      </c>
      <c r="C5194" s="246" t="s">
        <v>1532</v>
      </c>
      <c r="D5194" s="18">
        <v>0</v>
      </c>
      <c r="E5194" s="18">
        <v>0</v>
      </c>
      <c r="F5194" s="18">
        <v>0</v>
      </c>
      <c r="G5194" s="18">
        <v>0</v>
      </c>
      <c r="H5194" s="18">
        <v>0</v>
      </c>
    </row>
    <row r="5195" spans="2:8">
      <c r="B5195" s="14" t="s">
        <v>11138</v>
      </c>
      <c r="C5195" s="245" t="s">
        <v>2378</v>
      </c>
      <c r="D5195" s="15">
        <v>0</v>
      </c>
      <c r="E5195" s="15">
        <v>0</v>
      </c>
      <c r="F5195" s="15">
        <v>0</v>
      </c>
      <c r="G5195" s="15">
        <v>0</v>
      </c>
      <c r="H5195" s="15">
        <v>0</v>
      </c>
    </row>
    <row r="5196" spans="2:8">
      <c r="B5196" s="17" t="s">
        <v>11139</v>
      </c>
      <c r="C5196" s="246" t="s">
        <v>3879</v>
      </c>
      <c r="D5196" s="18">
        <v>0</v>
      </c>
      <c r="E5196" s="18">
        <v>0</v>
      </c>
      <c r="F5196" s="18">
        <v>0</v>
      </c>
      <c r="G5196" s="18">
        <v>0</v>
      </c>
      <c r="H5196" s="18">
        <v>0</v>
      </c>
    </row>
    <row r="5197" spans="2:8">
      <c r="B5197" s="14" t="s">
        <v>11140</v>
      </c>
      <c r="C5197" s="245" t="s">
        <v>5391</v>
      </c>
      <c r="D5197" s="15">
        <v>0</v>
      </c>
      <c r="E5197" s="15">
        <v>0</v>
      </c>
      <c r="F5197" s="15">
        <v>0</v>
      </c>
      <c r="G5197" s="15">
        <v>0</v>
      </c>
      <c r="H5197" s="15">
        <v>0</v>
      </c>
    </row>
    <row r="5198" spans="2:8">
      <c r="B5198" s="17" t="s">
        <v>11141</v>
      </c>
      <c r="C5198" s="246" t="s">
        <v>5392</v>
      </c>
      <c r="D5198" s="18">
        <v>0</v>
      </c>
      <c r="E5198" s="18">
        <v>0</v>
      </c>
      <c r="F5198" s="18">
        <v>0</v>
      </c>
      <c r="G5198" s="18">
        <v>0</v>
      </c>
      <c r="H5198" s="18">
        <v>0</v>
      </c>
    </row>
    <row r="5199" spans="2:8">
      <c r="B5199" s="14" t="s">
        <v>11142</v>
      </c>
      <c r="C5199" s="245" t="s">
        <v>5393</v>
      </c>
      <c r="D5199" s="15">
        <v>0</v>
      </c>
      <c r="E5199" s="15">
        <v>0</v>
      </c>
      <c r="F5199" s="15">
        <v>0</v>
      </c>
      <c r="G5199" s="15">
        <v>0</v>
      </c>
      <c r="H5199" s="15">
        <v>0</v>
      </c>
    </row>
    <row r="5200" spans="2:8">
      <c r="B5200" s="17" t="s">
        <v>11143</v>
      </c>
      <c r="C5200" s="246" t="s">
        <v>5394</v>
      </c>
      <c r="D5200" s="18">
        <v>0</v>
      </c>
      <c r="E5200" s="18">
        <v>4</v>
      </c>
      <c r="F5200" s="18">
        <v>0</v>
      </c>
      <c r="G5200" s="18">
        <v>0</v>
      </c>
      <c r="H5200" s="18">
        <v>0</v>
      </c>
    </row>
    <row r="5201" spans="2:8">
      <c r="B5201" s="14" t="s">
        <v>11144</v>
      </c>
      <c r="C5201" s="245" t="s">
        <v>5395</v>
      </c>
      <c r="D5201" s="15">
        <v>0</v>
      </c>
      <c r="E5201" s="15">
        <v>0</v>
      </c>
      <c r="F5201" s="15">
        <v>0</v>
      </c>
      <c r="G5201" s="15">
        <v>0</v>
      </c>
      <c r="H5201" s="15">
        <v>0</v>
      </c>
    </row>
    <row r="5202" spans="2:8">
      <c r="B5202" s="17" t="s">
        <v>11145</v>
      </c>
      <c r="C5202" s="246" t="s">
        <v>5396</v>
      </c>
      <c r="D5202" s="18">
        <v>0</v>
      </c>
      <c r="E5202" s="18">
        <v>0</v>
      </c>
      <c r="F5202" s="18">
        <v>0</v>
      </c>
      <c r="G5202" s="18">
        <v>0</v>
      </c>
      <c r="H5202" s="18">
        <v>0</v>
      </c>
    </row>
    <row r="5203" spans="2:8">
      <c r="B5203" s="14" t="s">
        <v>11146</v>
      </c>
      <c r="C5203" s="245" t="s">
        <v>5397</v>
      </c>
      <c r="D5203" s="15">
        <v>0</v>
      </c>
      <c r="E5203" s="15">
        <v>0</v>
      </c>
      <c r="F5203" s="15">
        <v>0</v>
      </c>
      <c r="G5203" s="15">
        <v>0</v>
      </c>
      <c r="H5203" s="15">
        <v>0</v>
      </c>
    </row>
    <row r="5204" spans="2:8">
      <c r="B5204" s="17" t="s">
        <v>11147</v>
      </c>
      <c r="C5204" s="246" t="s">
        <v>5398</v>
      </c>
      <c r="D5204" s="18">
        <v>4</v>
      </c>
      <c r="E5204" s="18">
        <v>0</v>
      </c>
      <c r="F5204" s="18">
        <v>0</v>
      </c>
      <c r="G5204" s="18">
        <v>0</v>
      </c>
      <c r="H5204" s="18">
        <v>0</v>
      </c>
    </row>
    <row r="5205" spans="2:8">
      <c r="B5205" s="14" t="s">
        <v>11148</v>
      </c>
      <c r="C5205" s="245" t="s">
        <v>5399</v>
      </c>
      <c r="D5205" s="15">
        <v>0</v>
      </c>
      <c r="E5205" s="15">
        <v>0</v>
      </c>
      <c r="F5205" s="15">
        <v>0</v>
      </c>
      <c r="G5205" s="15">
        <v>0</v>
      </c>
      <c r="H5205" s="15">
        <v>0</v>
      </c>
    </row>
    <row r="5206" spans="2:8">
      <c r="B5206" s="17" t="s">
        <v>11149</v>
      </c>
      <c r="C5206" s="246" t="s">
        <v>5400</v>
      </c>
      <c r="D5206" s="18">
        <v>0</v>
      </c>
      <c r="E5206" s="18">
        <v>0</v>
      </c>
      <c r="F5206" s="18">
        <v>0</v>
      </c>
      <c r="G5206" s="18">
        <v>0</v>
      </c>
      <c r="H5206" s="18">
        <v>0</v>
      </c>
    </row>
    <row r="5207" spans="2:8">
      <c r="B5207" s="14" t="s">
        <v>11150</v>
      </c>
      <c r="C5207" s="245" t="s">
        <v>5401</v>
      </c>
      <c r="D5207" s="15">
        <v>0</v>
      </c>
      <c r="E5207" s="15">
        <v>0</v>
      </c>
      <c r="F5207" s="15">
        <v>0</v>
      </c>
      <c r="G5207" s="15">
        <v>0</v>
      </c>
      <c r="H5207" s="15">
        <v>0</v>
      </c>
    </row>
    <row r="5208" spans="2:8">
      <c r="B5208" s="17" t="s">
        <v>11151</v>
      </c>
      <c r="C5208" s="246" t="s">
        <v>5402</v>
      </c>
      <c r="D5208" s="18">
        <v>7</v>
      </c>
      <c r="E5208" s="18">
        <v>2</v>
      </c>
      <c r="F5208" s="18">
        <v>0</v>
      </c>
      <c r="G5208" s="18">
        <v>0</v>
      </c>
      <c r="H5208" s="18">
        <v>0</v>
      </c>
    </row>
    <row r="5209" spans="2:8">
      <c r="B5209" s="14" t="s">
        <v>11152</v>
      </c>
      <c r="C5209" s="245" t="s">
        <v>5403</v>
      </c>
      <c r="D5209" s="15">
        <v>0</v>
      </c>
      <c r="E5209" s="15">
        <v>0</v>
      </c>
      <c r="F5209" s="15">
        <v>0</v>
      </c>
      <c r="G5209" s="15">
        <v>0</v>
      </c>
      <c r="H5209" s="15">
        <v>0</v>
      </c>
    </row>
    <row r="5210" spans="2:8">
      <c r="B5210" s="17" t="s">
        <v>11153</v>
      </c>
      <c r="C5210" s="246" t="s">
        <v>5404</v>
      </c>
      <c r="D5210" s="18">
        <v>0</v>
      </c>
      <c r="E5210" s="18">
        <v>135</v>
      </c>
      <c r="F5210" s="18">
        <v>0</v>
      </c>
      <c r="G5210" s="18">
        <v>0</v>
      </c>
      <c r="H5210" s="18">
        <v>0</v>
      </c>
    </row>
    <row r="5211" spans="2:8">
      <c r="B5211" s="14" t="s">
        <v>11154</v>
      </c>
      <c r="C5211" s="245" t="s">
        <v>5405</v>
      </c>
      <c r="D5211" s="15">
        <v>0</v>
      </c>
      <c r="E5211" s="15">
        <v>0</v>
      </c>
      <c r="F5211" s="15">
        <v>0</v>
      </c>
      <c r="G5211" s="15">
        <v>0</v>
      </c>
      <c r="H5211" s="15">
        <v>0</v>
      </c>
    </row>
    <row r="5212" spans="2:8">
      <c r="B5212" s="17" t="s">
        <v>11155</v>
      </c>
      <c r="C5212" s="246" t="s">
        <v>5406</v>
      </c>
      <c r="D5212" s="18">
        <v>0</v>
      </c>
      <c r="E5212" s="18">
        <v>0</v>
      </c>
      <c r="F5212" s="18">
        <v>0</v>
      </c>
      <c r="G5212" s="18">
        <v>0</v>
      </c>
      <c r="H5212" s="18">
        <v>0</v>
      </c>
    </row>
    <row r="5213" spans="2:8">
      <c r="B5213" s="14" t="s">
        <v>11156</v>
      </c>
      <c r="C5213" s="245" t="s">
        <v>5407</v>
      </c>
      <c r="D5213" s="15">
        <v>6</v>
      </c>
      <c r="E5213" s="15">
        <v>7</v>
      </c>
      <c r="F5213" s="15">
        <v>0</v>
      </c>
      <c r="G5213" s="15">
        <v>0</v>
      </c>
      <c r="H5213" s="15">
        <v>0</v>
      </c>
    </row>
    <row r="5214" spans="2:8">
      <c r="B5214" s="17" t="s">
        <v>11157</v>
      </c>
      <c r="C5214" s="246" t="s">
        <v>5408</v>
      </c>
      <c r="D5214" s="18">
        <v>0</v>
      </c>
      <c r="E5214" s="18">
        <v>0</v>
      </c>
      <c r="F5214" s="18">
        <v>0</v>
      </c>
      <c r="G5214" s="18">
        <v>0</v>
      </c>
      <c r="H5214" s="18">
        <v>0</v>
      </c>
    </row>
    <row r="5215" spans="2:8">
      <c r="B5215" s="14" t="s">
        <v>11158</v>
      </c>
      <c r="C5215" s="245" t="s">
        <v>5409</v>
      </c>
      <c r="D5215" s="15">
        <v>0</v>
      </c>
      <c r="E5215" s="15">
        <v>0</v>
      </c>
      <c r="F5215" s="15">
        <v>0</v>
      </c>
      <c r="G5215" s="15">
        <v>0</v>
      </c>
      <c r="H5215" s="15">
        <v>0</v>
      </c>
    </row>
    <row r="5216" spans="2:8">
      <c r="B5216" s="17" t="s">
        <v>11159</v>
      </c>
      <c r="C5216" s="246" t="s">
        <v>5410</v>
      </c>
      <c r="D5216" s="18">
        <v>0</v>
      </c>
      <c r="E5216" s="18">
        <v>0</v>
      </c>
      <c r="F5216" s="18">
        <v>0</v>
      </c>
      <c r="G5216" s="18">
        <v>0</v>
      </c>
      <c r="H5216" s="18">
        <v>0</v>
      </c>
    </row>
    <row r="5217" spans="2:8">
      <c r="B5217" s="14" t="s">
        <v>11160</v>
      </c>
      <c r="C5217" s="245" t="s">
        <v>5411</v>
      </c>
      <c r="D5217" s="15">
        <v>0</v>
      </c>
      <c r="E5217" s="15">
        <v>0</v>
      </c>
      <c r="F5217" s="15">
        <v>0</v>
      </c>
      <c r="G5217" s="15">
        <v>0</v>
      </c>
      <c r="H5217" s="15">
        <v>0</v>
      </c>
    </row>
    <row r="5218" spans="2:8">
      <c r="B5218" s="17" t="s">
        <v>11161</v>
      </c>
      <c r="C5218" s="246" t="s">
        <v>1029</v>
      </c>
      <c r="D5218" s="18">
        <v>0</v>
      </c>
      <c r="E5218" s="18">
        <v>0</v>
      </c>
      <c r="F5218" s="18">
        <v>0</v>
      </c>
      <c r="G5218" s="18">
        <v>0</v>
      </c>
      <c r="H5218" s="18">
        <v>0</v>
      </c>
    </row>
    <row r="5219" spans="2:8">
      <c r="B5219" s="14" t="s">
        <v>11162</v>
      </c>
      <c r="C5219" s="245" t="s">
        <v>5412</v>
      </c>
      <c r="D5219" s="15">
        <v>0</v>
      </c>
      <c r="E5219" s="15">
        <v>0</v>
      </c>
      <c r="F5219" s="15">
        <v>0</v>
      </c>
      <c r="G5219" s="15">
        <v>0</v>
      </c>
      <c r="H5219" s="15">
        <v>0</v>
      </c>
    </row>
    <row r="5220" spans="2:8">
      <c r="B5220" s="17" t="s">
        <v>11163</v>
      </c>
      <c r="C5220" s="246" t="s">
        <v>5413</v>
      </c>
      <c r="D5220" s="18">
        <v>0</v>
      </c>
      <c r="E5220" s="18">
        <v>0</v>
      </c>
      <c r="F5220" s="18">
        <v>0</v>
      </c>
      <c r="G5220" s="18">
        <v>0</v>
      </c>
      <c r="H5220" s="18">
        <v>0</v>
      </c>
    </row>
    <row r="5221" spans="2:8">
      <c r="B5221" s="14" t="s">
        <v>11164</v>
      </c>
      <c r="C5221" s="245" t="s">
        <v>1231</v>
      </c>
      <c r="D5221" s="15">
        <v>123</v>
      </c>
      <c r="E5221" s="15">
        <v>0</v>
      </c>
      <c r="F5221" s="15">
        <v>26</v>
      </c>
      <c r="G5221" s="15">
        <v>3</v>
      </c>
      <c r="H5221" s="15">
        <v>0</v>
      </c>
    </row>
    <row r="5222" spans="2:8">
      <c r="B5222" s="17" t="s">
        <v>11165</v>
      </c>
      <c r="C5222" s="246" t="s">
        <v>5414</v>
      </c>
      <c r="D5222" s="18">
        <v>0</v>
      </c>
      <c r="E5222" s="18">
        <v>0</v>
      </c>
      <c r="F5222" s="18">
        <v>0</v>
      </c>
      <c r="G5222" s="18">
        <v>0</v>
      </c>
      <c r="H5222" s="18">
        <v>0</v>
      </c>
    </row>
    <row r="5223" spans="2:8">
      <c r="B5223" s="14" t="s">
        <v>11166</v>
      </c>
      <c r="C5223" s="245" t="s">
        <v>5415</v>
      </c>
      <c r="D5223" s="15">
        <v>0</v>
      </c>
      <c r="E5223" s="15">
        <v>0</v>
      </c>
      <c r="F5223" s="15">
        <v>0</v>
      </c>
      <c r="G5223" s="15">
        <v>0</v>
      </c>
      <c r="H5223" s="15">
        <v>0</v>
      </c>
    </row>
    <row r="5224" spans="2:8">
      <c r="B5224" s="17" t="s">
        <v>11167</v>
      </c>
      <c r="C5224" s="246" t="s">
        <v>5416</v>
      </c>
      <c r="D5224" s="18">
        <v>0</v>
      </c>
      <c r="E5224" s="18">
        <v>0</v>
      </c>
      <c r="F5224" s="18">
        <v>0</v>
      </c>
      <c r="G5224" s="18">
        <v>0</v>
      </c>
      <c r="H5224" s="18">
        <v>0</v>
      </c>
    </row>
    <row r="5225" spans="2:8">
      <c r="B5225" s="14" t="s">
        <v>11168</v>
      </c>
      <c r="C5225" s="245" t="s">
        <v>5417</v>
      </c>
      <c r="D5225" s="15">
        <v>0</v>
      </c>
      <c r="E5225" s="15">
        <v>0</v>
      </c>
      <c r="F5225" s="15">
        <v>0</v>
      </c>
      <c r="G5225" s="15">
        <v>0</v>
      </c>
      <c r="H5225" s="15">
        <v>0</v>
      </c>
    </row>
    <row r="5226" spans="2:8">
      <c r="B5226" s="17" t="s">
        <v>11169</v>
      </c>
      <c r="C5226" s="246" t="s">
        <v>5418</v>
      </c>
      <c r="D5226" s="18">
        <v>0</v>
      </c>
      <c r="E5226" s="18">
        <v>0</v>
      </c>
      <c r="F5226" s="18">
        <v>0</v>
      </c>
      <c r="G5226" s="18">
        <v>0</v>
      </c>
      <c r="H5226" s="18">
        <v>0</v>
      </c>
    </row>
    <row r="5227" spans="2:8">
      <c r="B5227" s="14" t="s">
        <v>11170</v>
      </c>
      <c r="C5227" s="245" t="s">
        <v>5419</v>
      </c>
      <c r="D5227" s="15">
        <v>0</v>
      </c>
      <c r="E5227" s="15">
        <v>0</v>
      </c>
      <c r="F5227" s="15">
        <v>0</v>
      </c>
      <c r="G5227" s="15">
        <v>0</v>
      </c>
      <c r="H5227" s="15">
        <v>0</v>
      </c>
    </row>
    <row r="5228" spans="2:8">
      <c r="B5228" s="17" t="s">
        <v>11171</v>
      </c>
      <c r="C5228" s="246" t="s">
        <v>5420</v>
      </c>
      <c r="D5228" s="18">
        <v>0</v>
      </c>
      <c r="E5228" s="18">
        <v>0</v>
      </c>
      <c r="F5228" s="18">
        <v>0</v>
      </c>
      <c r="G5228" s="18">
        <v>0</v>
      </c>
      <c r="H5228" s="18">
        <v>0</v>
      </c>
    </row>
    <row r="5229" spans="2:8">
      <c r="B5229" s="14" t="s">
        <v>11172</v>
      </c>
      <c r="C5229" s="245" t="s">
        <v>5421</v>
      </c>
      <c r="D5229" s="15">
        <v>0</v>
      </c>
      <c r="E5229" s="15">
        <v>0</v>
      </c>
      <c r="F5229" s="15">
        <v>0</v>
      </c>
      <c r="G5229" s="15">
        <v>0</v>
      </c>
      <c r="H5229" s="15">
        <v>0</v>
      </c>
    </row>
    <row r="5230" spans="2:8">
      <c r="B5230" s="17" t="s">
        <v>11173</v>
      </c>
      <c r="C5230" s="246" t="s">
        <v>5422</v>
      </c>
      <c r="D5230" s="18">
        <v>0</v>
      </c>
      <c r="E5230" s="18">
        <v>0</v>
      </c>
      <c r="F5230" s="18">
        <v>0</v>
      </c>
      <c r="G5230" s="18">
        <v>0</v>
      </c>
      <c r="H5230" s="18">
        <v>0</v>
      </c>
    </row>
    <row r="5231" spans="2:8">
      <c r="B5231" s="14" t="s">
        <v>11174</v>
      </c>
      <c r="C5231" s="245" t="s">
        <v>5423</v>
      </c>
      <c r="D5231" s="15">
        <v>0</v>
      </c>
      <c r="E5231" s="15">
        <v>0</v>
      </c>
      <c r="F5231" s="15">
        <v>0</v>
      </c>
      <c r="G5231" s="15">
        <v>0</v>
      </c>
      <c r="H5231" s="15">
        <v>0</v>
      </c>
    </row>
    <row r="5232" spans="2:8">
      <c r="B5232" s="17" t="s">
        <v>11175</v>
      </c>
      <c r="C5232" s="246" t="s">
        <v>5424</v>
      </c>
      <c r="D5232" s="18">
        <v>0</v>
      </c>
      <c r="E5232" s="18">
        <v>0</v>
      </c>
      <c r="F5232" s="18">
        <v>0</v>
      </c>
      <c r="G5232" s="18">
        <v>0</v>
      </c>
      <c r="H5232" s="18">
        <v>0</v>
      </c>
    </row>
    <row r="5233" spans="2:8">
      <c r="B5233" s="14" t="s">
        <v>11176</v>
      </c>
      <c r="C5233" s="245" t="s">
        <v>5425</v>
      </c>
      <c r="D5233" s="15">
        <v>0</v>
      </c>
      <c r="E5233" s="15">
        <v>0</v>
      </c>
      <c r="F5233" s="15">
        <v>0</v>
      </c>
      <c r="G5233" s="15">
        <v>0</v>
      </c>
      <c r="H5233" s="15">
        <v>0</v>
      </c>
    </row>
    <row r="5234" spans="2:8">
      <c r="B5234" s="17" t="s">
        <v>11177</v>
      </c>
      <c r="C5234" s="246" t="s">
        <v>5426</v>
      </c>
      <c r="D5234" s="18">
        <v>0</v>
      </c>
      <c r="E5234" s="18">
        <v>0</v>
      </c>
      <c r="F5234" s="18">
        <v>0</v>
      </c>
      <c r="G5234" s="18">
        <v>0</v>
      </c>
      <c r="H5234" s="18">
        <v>0</v>
      </c>
    </row>
    <row r="5235" spans="2:8">
      <c r="B5235" s="14" t="s">
        <v>11178</v>
      </c>
      <c r="C5235" s="245" t="s">
        <v>5427</v>
      </c>
      <c r="D5235" s="15">
        <v>0</v>
      </c>
      <c r="E5235" s="15">
        <v>0</v>
      </c>
      <c r="F5235" s="15">
        <v>0</v>
      </c>
      <c r="G5235" s="15">
        <v>0</v>
      </c>
      <c r="H5235" s="15">
        <v>0</v>
      </c>
    </row>
    <row r="5236" spans="2:8">
      <c r="B5236" s="17" t="s">
        <v>11179</v>
      </c>
      <c r="C5236" s="246" t="s">
        <v>5428</v>
      </c>
      <c r="D5236" s="18">
        <v>0</v>
      </c>
      <c r="E5236" s="18">
        <v>0</v>
      </c>
      <c r="F5236" s="18">
        <v>0</v>
      </c>
      <c r="G5236" s="18">
        <v>0</v>
      </c>
      <c r="H5236" s="18">
        <v>0</v>
      </c>
    </row>
    <row r="5237" spans="2:8">
      <c r="B5237" s="14" t="s">
        <v>11180</v>
      </c>
      <c r="C5237" s="245" t="s">
        <v>5429</v>
      </c>
      <c r="D5237" s="15">
        <v>0</v>
      </c>
      <c r="E5237" s="15">
        <v>0</v>
      </c>
      <c r="F5237" s="15">
        <v>0</v>
      </c>
      <c r="G5237" s="15">
        <v>0</v>
      </c>
      <c r="H5237" s="15">
        <v>0</v>
      </c>
    </row>
    <row r="5238" spans="2:8">
      <c r="B5238" s="17" t="s">
        <v>11181</v>
      </c>
      <c r="C5238" s="246" t="s">
        <v>5430</v>
      </c>
      <c r="D5238" s="18">
        <v>0</v>
      </c>
      <c r="E5238" s="18">
        <v>3</v>
      </c>
      <c r="F5238" s="18">
        <v>0</v>
      </c>
      <c r="G5238" s="18">
        <v>0</v>
      </c>
      <c r="H5238" s="18">
        <v>0</v>
      </c>
    </row>
    <row r="5239" spans="2:8">
      <c r="B5239" s="14" t="s">
        <v>11182</v>
      </c>
      <c r="C5239" s="245" t="s">
        <v>5431</v>
      </c>
      <c r="D5239" s="15">
        <v>0</v>
      </c>
      <c r="E5239" s="15">
        <v>0</v>
      </c>
      <c r="F5239" s="15">
        <v>0</v>
      </c>
      <c r="G5239" s="15">
        <v>0</v>
      </c>
      <c r="H5239" s="15">
        <v>0</v>
      </c>
    </row>
    <row r="5240" spans="2:8">
      <c r="B5240" s="17" t="s">
        <v>11183</v>
      </c>
      <c r="C5240" s="246" t="s">
        <v>5432</v>
      </c>
      <c r="D5240" s="18">
        <v>0</v>
      </c>
      <c r="E5240" s="18">
        <v>0</v>
      </c>
      <c r="F5240" s="18">
        <v>0</v>
      </c>
      <c r="G5240" s="18">
        <v>0</v>
      </c>
      <c r="H5240" s="18">
        <v>0</v>
      </c>
    </row>
    <row r="5241" spans="2:8">
      <c r="B5241" s="14" t="s">
        <v>11184</v>
      </c>
      <c r="C5241" s="245" t="s">
        <v>5433</v>
      </c>
      <c r="D5241" s="15">
        <v>0</v>
      </c>
      <c r="E5241" s="15">
        <v>0</v>
      </c>
      <c r="F5241" s="15">
        <v>0</v>
      </c>
      <c r="G5241" s="15">
        <v>0</v>
      </c>
      <c r="H5241" s="15">
        <v>0</v>
      </c>
    </row>
    <row r="5242" spans="2:8">
      <c r="B5242" s="17" t="s">
        <v>11185</v>
      </c>
      <c r="C5242" s="246" t="s">
        <v>5434</v>
      </c>
      <c r="D5242" s="18">
        <v>0</v>
      </c>
      <c r="E5242" s="18">
        <v>0</v>
      </c>
      <c r="F5242" s="18">
        <v>0</v>
      </c>
      <c r="G5242" s="18">
        <v>0</v>
      </c>
      <c r="H5242" s="18">
        <v>0</v>
      </c>
    </row>
    <row r="5243" spans="2:8">
      <c r="B5243" s="14" t="s">
        <v>11186</v>
      </c>
      <c r="C5243" s="245" t="s">
        <v>5435</v>
      </c>
      <c r="D5243" s="15">
        <v>0</v>
      </c>
      <c r="E5243" s="15">
        <v>0</v>
      </c>
      <c r="F5243" s="15">
        <v>0</v>
      </c>
      <c r="G5243" s="15">
        <v>0</v>
      </c>
      <c r="H5243" s="15">
        <v>0</v>
      </c>
    </row>
    <row r="5244" spans="2:8">
      <c r="B5244" s="17" t="s">
        <v>11187</v>
      </c>
      <c r="C5244" s="246" t="s">
        <v>5436</v>
      </c>
      <c r="D5244" s="18">
        <v>0</v>
      </c>
      <c r="E5244" s="18">
        <v>0</v>
      </c>
      <c r="F5244" s="18">
        <v>0</v>
      </c>
      <c r="G5244" s="18">
        <v>0</v>
      </c>
      <c r="H5244" s="18">
        <v>0</v>
      </c>
    </row>
    <row r="5245" spans="2:8">
      <c r="B5245" s="14" t="s">
        <v>11188</v>
      </c>
      <c r="C5245" s="245" t="s">
        <v>5437</v>
      </c>
      <c r="D5245" s="15">
        <v>0</v>
      </c>
      <c r="E5245" s="15">
        <v>0</v>
      </c>
      <c r="F5245" s="15">
        <v>0</v>
      </c>
      <c r="G5245" s="15">
        <v>0</v>
      </c>
      <c r="H5245" s="15">
        <v>0</v>
      </c>
    </row>
    <row r="5246" spans="2:8">
      <c r="B5246" s="17" t="s">
        <v>11189</v>
      </c>
      <c r="C5246" s="246" t="s">
        <v>5438</v>
      </c>
      <c r="D5246" s="18">
        <v>67</v>
      </c>
      <c r="E5246" s="18">
        <v>481</v>
      </c>
      <c r="F5246" s="18">
        <v>143</v>
      </c>
      <c r="G5246" s="18">
        <v>422</v>
      </c>
      <c r="H5246" s="18">
        <v>0</v>
      </c>
    </row>
    <row r="5247" spans="2:8">
      <c r="B5247" s="14" t="s">
        <v>11190</v>
      </c>
      <c r="C5247" s="245" t="s">
        <v>5439</v>
      </c>
      <c r="D5247" s="15">
        <v>0</v>
      </c>
      <c r="E5247" s="15">
        <v>0</v>
      </c>
      <c r="F5247" s="15">
        <v>0</v>
      </c>
      <c r="G5247" s="15">
        <v>0</v>
      </c>
      <c r="H5247" s="15">
        <v>0</v>
      </c>
    </row>
    <row r="5248" spans="2:8">
      <c r="B5248" s="17" t="s">
        <v>11191</v>
      </c>
      <c r="C5248" s="246" t="s">
        <v>5440</v>
      </c>
      <c r="D5248" s="18">
        <v>5</v>
      </c>
      <c r="E5248" s="18">
        <v>0</v>
      </c>
      <c r="F5248" s="18">
        <v>0</v>
      </c>
      <c r="G5248" s="18">
        <v>5</v>
      </c>
      <c r="H5248" s="18">
        <v>0</v>
      </c>
    </row>
    <row r="5249" spans="2:8">
      <c r="B5249" s="14" t="s">
        <v>11192</v>
      </c>
      <c r="C5249" s="245" t="s">
        <v>5441</v>
      </c>
      <c r="D5249" s="15">
        <v>0</v>
      </c>
      <c r="E5249" s="15">
        <v>0</v>
      </c>
      <c r="F5249" s="15">
        <v>0</v>
      </c>
      <c r="G5249" s="15">
        <v>0</v>
      </c>
      <c r="H5249" s="15">
        <v>0</v>
      </c>
    </row>
    <row r="5250" spans="2:8">
      <c r="B5250" s="17" t="s">
        <v>11193</v>
      </c>
      <c r="C5250" s="246" t="s">
        <v>5442</v>
      </c>
      <c r="D5250" s="18">
        <v>0</v>
      </c>
      <c r="E5250" s="18">
        <v>0</v>
      </c>
      <c r="F5250" s="18">
        <v>0</v>
      </c>
      <c r="G5250" s="18">
        <v>0</v>
      </c>
      <c r="H5250" s="18">
        <v>0</v>
      </c>
    </row>
    <row r="5251" spans="2:8">
      <c r="B5251" s="14" t="s">
        <v>11194</v>
      </c>
      <c r="C5251" s="245" t="s">
        <v>5443</v>
      </c>
      <c r="D5251" s="15">
        <v>0</v>
      </c>
      <c r="E5251" s="15">
        <v>0</v>
      </c>
      <c r="F5251" s="15">
        <v>0</v>
      </c>
      <c r="G5251" s="15">
        <v>0</v>
      </c>
      <c r="H5251" s="15">
        <v>0</v>
      </c>
    </row>
    <row r="5252" spans="2:8">
      <c r="B5252" s="17" t="s">
        <v>11195</v>
      </c>
      <c r="C5252" s="246" t="s">
        <v>5444</v>
      </c>
      <c r="D5252" s="18">
        <v>0</v>
      </c>
      <c r="E5252" s="18">
        <v>0</v>
      </c>
      <c r="F5252" s="18">
        <v>0</v>
      </c>
      <c r="G5252" s="18">
        <v>0</v>
      </c>
      <c r="H5252" s="18">
        <v>0</v>
      </c>
    </row>
    <row r="5253" spans="2:8">
      <c r="B5253" s="14" t="s">
        <v>11196</v>
      </c>
      <c r="C5253" s="245" t="s">
        <v>5445</v>
      </c>
      <c r="D5253" s="15">
        <v>0</v>
      </c>
      <c r="E5253" s="15">
        <v>0</v>
      </c>
      <c r="F5253" s="15">
        <v>0</v>
      </c>
      <c r="G5253" s="15">
        <v>0</v>
      </c>
      <c r="H5253" s="15">
        <v>0</v>
      </c>
    </row>
    <row r="5254" spans="2:8">
      <c r="B5254" s="17" t="s">
        <v>11197</v>
      </c>
      <c r="C5254" s="246" t="s">
        <v>5446</v>
      </c>
      <c r="D5254" s="18">
        <v>0</v>
      </c>
      <c r="E5254" s="18">
        <v>0</v>
      </c>
      <c r="F5254" s="18">
        <v>0</v>
      </c>
      <c r="G5254" s="18">
        <v>0</v>
      </c>
      <c r="H5254" s="18">
        <v>0</v>
      </c>
    </row>
    <row r="5255" spans="2:8">
      <c r="B5255" s="14" t="s">
        <v>11198</v>
      </c>
      <c r="C5255" s="245" t="s">
        <v>5447</v>
      </c>
      <c r="D5255" s="15">
        <v>0</v>
      </c>
      <c r="E5255" s="15">
        <v>0</v>
      </c>
      <c r="F5255" s="15">
        <v>0</v>
      </c>
      <c r="G5255" s="15">
        <v>0</v>
      </c>
      <c r="H5255" s="15">
        <v>0</v>
      </c>
    </row>
    <row r="5256" spans="2:8">
      <c r="B5256" s="17" t="s">
        <v>11199</v>
      </c>
      <c r="C5256" s="246" t="s">
        <v>5448</v>
      </c>
      <c r="D5256" s="18">
        <v>0</v>
      </c>
      <c r="E5256" s="18">
        <v>30</v>
      </c>
      <c r="F5256" s="18">
        <v>0</v>
      </c>
      <c r="G5256" s="18">
        <v>0</v>
      </c>
      <c r="H5256" s="18">
        <v>0</v>
      </c>
    </row>
    <row r="5257" spans="2:8">
      <c r="B5257" s="14" t="s">
        <v>11200</v>
      </c>
      <c r="C5257" s="245" t="s">
        <v>5449</v>
      </c>
      <c r="D5257" s="15">
        <v>0</v>
      </c>
      <c r="E5257" s="15">
        <v>0</v>
      </c>
      <c r="F5257" s="15">
        <v>0</v>
      </c>
      <c r="G5257" s="15">
        <v>0</v>
      </c>
      <c r="H5257" s="15">
        <v>0</v>
      </c>
    </row>
    <row r="5258" spans="2:8">
      <c r="B5258" s="17" t="s">
        <v>11201</v>
      </c>
      <c r="C5258" s="246" t="s">
        <v>5450</v>
      </c>
      <c r="D5258" s="18">
        <v>0</v>
      </c>
      <c r="E5258" s="18">
        <v>0</v>
      </c>
      <c r="F5258" s="18">
        <v>0</v>
      </c>
      <c r="G5258" s="18">
        <v>0</v>
      </c>
      <c r="H5258" s="18">
        <v>0</v>
      </c>
    </row>
    <row r="5259" spans="2:8">
      <c r="B5259" s="14" t="s">
        <v>11202</v>
      </c>
      <c r="C5259" s="245" t="s">
        <v>5451</v>
      </c>
      <c r="D5259" s="15">
        <v>0</v>
      </c>
      <c r="E5259" s="15">
        <v>0</v>
      </c>
      <c r="F5259" s="15">
        <v>0</v>
      </c>
      <c r="G5259" s="15">
        <v>0</v>
      </c>
      <c r="H5259" s="15">
        <v>0</v>
      </c>
    </row>
    <row r="5260" spans="2:8">
      <c r="B5260" s="17" t="s">
        <v>11203</v>
      </c>
      <c r="C5260" s="246" t="s">
        <v>5452</v>
      </c>
      <c r="D5260" s="18">
        <v>0</v>
      </c>
      <c r="E5260" s="18">
        <v>0</v>
      </c>
      <c r="F5260" s="18">
        <v>0</v>
      </c>
      <c r="G5260" s="18">
        <v>0</v>
      </c>
      <c r="H5260" s="18">
        <v>0</v>
      </c>
    </row>
    <row r="5261" spans="2:8">
      <c r="B5261" s="14" t="s">
        <v>11204</v>
      </c>
      <c r="C5261" s="245" t="s">
        <v>5453</v>
      </c>
      <c r="D5261" s="15">
        <v>0</v>
      </c>
      <c r="E5261" s="15">
        <v>0</v>
      </c>
      <c r="F5261" s="15">
        <v>0</v>
      </c>
      <c r="G5261" s="15">
        <v>0</v>
      </c>
      <c r="H5261" s="15">
        <v>0</v>
      </c>
    </row>
    <row r="5262" spans="2:8">
      <c r="B5262" s="17" t="s">
        <v>11205</v>
      </c>
      <c r="C5262" s="246" t="s">
        <v>3417</v>
      </c>
      <c r="D5262" s="18">
        <v>0</v>
      </c>
      <c r="E5262" s="18">
        <v>0</v>
      </c>
      <c r="F5262" s="18">
        <v>0</v>
      </c>
      <c r="G5262" s="18">
        <v>0</v>
      </c>
      <c r="H5262" s="18">
        <v>0</v>
      </c>
    </row>
    <row r="5263" spans="2:8">
      <c r="B5263" s="14" t="s">
        <v>11206</v>
      </c>
      <c r="C5263" s="245" t="s">
        <v>5454</v>
      </c>
      <c r="D5263" s="15">
        <v>0</v>
      </c>
      <c r="E5263" s="15">
        <v>0</v>
      </c>
      <c r="F5263" s="15">
        <v>0</v>
      </c>
      <c r="G5263" s="15">
        <v>0</v>
      </c>
      <c r="H5263" s="15">
        <v>0</v>
      </c>
    </row>
    <row r="5264" spans="2:8">
      <c r="B5264" s="17" t="s">
        <v>11207</v>
      </c>
      <c r="C5264" s="246" t="s">
        <v>5455</v>
      </c>
      <c r="D5264" s="18">
        <v>0</v>
      </c>
      <c r="E5264" s="18">
        <v>0</v>
      </c>
      <c r="F5264" s="18">
        <v>0</v>
      </c>
      <c r="G5264" s="18">
        <v>0</v>
      </c>
      <c r="H5264" s="18">
        <v>0</v>
      </c>
    </row>
    <row r="5265" spans="2:8">
      <c r="B5265" s="14" t="s">
        <v>11208</v>
      </c>
      <c r="C5265" s="245" t="s">
        <v>5456</v>
      </c>
      <c r="D5265" s="15">
        <v>1</v>
      </c>
      <c r="E5265" s="15">
        <v>0</v>
      </c>
      <c r="F5265" s="15">
        <v>2</v>
      </c>
      <c r="G5265" s="15">
        <v>63</v>
      </c>
      <c r="H5265" s="15">
        <v>0</v>
      </c>
    </row>
    <row r="5266" spans="2:8">
      <c r="B5266" s="17" t="s">
        <v>11209</v>
      </c>
      <c r="C5266" s="246" t="s">
        <v>5457</v>
      </c>
      <c r="D5266" s="18">
        <v>0</v>
      </c>
      <c r="E5266" s="18">
        <v>0</v>
      </c>
      <c r="F5266" s="18">
        <v>0</v>
      </c>
      <c r="G5266" s="18">
        <v>0</v>
      </c>
      <c r="H5266" s="18">
        <v>0</v>
      </c>
    </row>
    <row r="5267" spans="2:8">
      <c r="B5267" s="14" t="s">
        <v>11210</v>
      </c>
      <c r="C5267" s="245" t="s">
        <v>5457</v>
      </c>
      <c r="D5267" s="15">
        <v>0</v>
      </c>
      <c r="E5267" s="15">
        <v>0</v>
      </c>
      <c r="F5267" s="15">
        <v>0</v>
      </c>
      <c r="G5267" s="15">
        <v>0</v>
      </c>
      <c r="H5267" s="15">
        <v>0</v>
      </c>
    </row>
    <row r="5268" spans="2:8">
      <c r="B5268" s="17" t="s">
        <v>11211</v>
      </c>
      <c r="C5268" s="246" t="s">
        <v>4792</v>
      </c>
      <c r="D5268" s="18">
        <v>0</v>
      </c>
      <c r="E5268" s="18">
        <v>0</v>
      </c>
      <c r="F5268" s="18">
        <v>0</v>
      </c>
      <c r="G5268" s="18">
        <v>0</v>
      </c>
      <c r="H5268" s="18">
        <v>0</v>
      </c>
    </row>
    <row r="5269" spans="2:8">
      <c r="B5269" s="14" t="s">
        <v>11212</v>
      </c>
      <c r="C5269" s="245" t="s">
        <v>5458</v>
      </c>
      <c r="D5269" s="15">
        <v>1</v>
      </c>
      <c r="E5269" s="15">
        <v>0</v>
      </c>
      <c r="F5269" s="15">
        <v>0</v>
      </c>
      <c r="G5269" s="15">
        <v>0</v>
      </c>
      <c r="H5269" s="15">
        <v>0</v>
      </c>
    </row>
    <row r="5270" spans="2:8">
      <c r="B5270" s="17" t="s">
        <v>11213</v>
      </c>
      <c r="C5270" s="246" t="s">
        <v>5459</v>
      </c>
      <c r="D5270" s="18">
        <v>0</v>
      </c>
      <c r="E5270" s="18">
        <v>0</v>
      </c>
      <c r="F5270" s="18">
        <v>0</v>
      </c>
      <c r="G5270" s="18">
        <v>1</v>
      </c>
      <c r="H5270" s="18">
        <v>0</v>
      </c>
    </row>
    <row r="5271" spans="2:8">
      <c r="B5271" s="14" t="s">
        <v>11214</v>
      </c>
      <c r="C5271" s="245" t="s">
        <v>5460</v>
      </c>
      <c r="D5271" s="15">
        <v>25</v>
      </c>
      <c r="E5271" s="15">
        <v>42</v>
      </c>
      <c r="F5271" s="15">
        <v>1</v>
      </c>
      <c r="G5271" s="15">
        <v>5</v>
      </c>
      <c r="H5271" s="15">
        <v>0</v>
      </c>
    </row>
    <row r="5272" spans="2:8">
      <c r="B5272" s="17" t="s">
        <v>11215</v>
      </c>
      <c r="C5272" s="246" t="s">
        <v>5461</v>
      </c>
      <c r="D5272" s="18">
        <v>0</v>
      </c>
      <c r="E5272" s="18">
        <v>0</v>
      </c>
      <c r="F5272" s="18">
        <v>0</v>
      </c>
      <c r="G5272" s="18">
        <v>0</v>
      </c>
      <c r="H5272" s="18">
        <v>0</v>
      </c>
    </row>
    <row r="5273" spans="2:8">
      <c r="B5273" s="14" t="s">
        <v>11216</v>
      </c>
      <c r="C5273" s="245" t="s">
        <v>5462</v>
      </c>
      <c r="D5273" s="15">
        <v>0</v>
      </c>
      <c r="E5273" s="15">
        <v>0</v>
      </c>
      <c r="F5273" s="15">
        <v>0</v>
      </c>
      <c r="G5273" s="15">
        <v>0</v>
      </c>
      <c r="H5273" s="15">
        <v>0</v>
      </c>
    </row>
    <row r="5274" spans="2:8">
      <c r="B5274" s="17" t="s">
        <v>11217</v>
      </c>
      <c r="C5274" s="246" t="s">
        <v>1478</v>
      </c>
      <c r="D5274" s="18">
        <v>0</v>
      </c>
      <c r="E5274" s="18">
        <v>0</v>
      </c>
      <c r="F5274" s="18">
        <v>0</v>
      </c>
      <c r="G5274" s="18">
        <v>0</v>
      </c>
      <c r="H5274" s="18">
        <v>0</v>
      </c>
    </row>
    <row r="5275" spans="2:8">
      <c r="B5275" s="14" t="s">
        <v>11218</v>
      </c>
      <c r="C5275" s="245" t="s">
        <v>5463</v>
      </c>
      <c r="D5275" s="15">
        <v>0</v>
      </c>
      <c r="E5275" s="15">
        <v>0</v>
      </c>
      <c r="F5275" s="15">
        <v>0</v>
      </c>
      <c r="G5275" s="15">
        <v>0</v>
      </c>
      <c r="H5275" s="15">
        <v>0</v>
      </c>
    </row>
    <row r="5276" spans="2:8">
      <c r="B5276" s="17" t="s">
        <v>11219</v>
      </c>
      <c r="C5276" s="246" t="s">
        <v>5464</v>
      </c>
      <c r="D5276" s="18">
        <v>0</v>
      </c>
      <c r="E5276" s="18">
        <v>0</v>
      </c>
      <c r="F5276" s="18">
        <v>0</v>
      </c>
      <c r="G5276" s="18">
        <v>0</v>
      </c>
      <c r="H5276" s="18">
        <v>0</v>
      </c>
    </row>
    <row r="5277" spans="2:8">
      <c r="B5277" s="14" t="s">
        <v>11220</v>
      </c>
      <c r="C5277" s="245" t="s">
        <v>1261</v>
      </c>
      <c r="D5277" s="15">
        <v>0</v>
      </c>
      <c r="E5277" s="15">
        <v>0</v>
      </c>
      <c r="F5277" s="15">
        <v>0</v>
      </c>
      <c r="G5277" s="15">
        <v>0</v>
      </c>
      <c r="H5277" s="15">
        <v>0</v>
      </c>
    </row>
    <row r="5278" spans="2:8">
      <c r="B5278" s="17" t="s">
        <v>11221</v>
      </c>
      <c r="C5278" s="246" t="s">
        <v>5465</v>
      </c>
      <c r="D5278" s="18">
        <v>0</v>
      </c>
      <c r="E5278" s="18">
        <v>0</v>
      </c>
      <c r="F5278" s="18">
        <v>0</v>
      </c>
      <c r="G5278" s="18">
        <v>6</v>
      </c>
      <c r="H5278" s="18">
        <v>0</v>
      </c>
    </row>
    <row r="5279" spans="2:8">
      <c r="B5279" s="14" t="s">
        <v>11222</v>
      </c>
      <c r="C5279" s="245" t="s">
        <v>5301</v>
      </c>
      <c r="D5279" s="15">
        <v>0</v>
      </c>
      <c r="E5279" s="15">
        <v>4</v>
      </c>
      <c r="F5279" s="15">
        <v>0</v>
      </c>
      <c r="G5279" s="15">
        <v>0</v>
      </c>
      <c r="H5279" s="15">
        <v>0</v>
      </c>
    </row>
    <row r="5280" spans="2:8">
      <c r="B5280" s="17" t="s">
        <v>11223</v>
      </c>
      <c r="C5280" s="246" t="s">
        <v>5466</v>
      </c>
      <c r="D5280" s="18">
        <v>0</v>
      </c>
      <c r="E5280" s="18">
        <v>0</v>
      </c>
      <c r="F5280" s="18">
        <v>0</v>
      </c>
      <c r="G5280" s="18">
        <v>0</v>
      </c>
      <c r="H5280" s="18">
        <v>0</v>
      </c>
    </row>
    <row r="5281" spans="2:8">
      <c r="B5281" s="14" t="s">
        <v>11224</v>
      </c>
      <c r="C5281" s="245" t="s">
        <v>5467</v>
      </c>
      <c r="D5281" s="15">
        <v>0</v>
      </c>
      <c r="E5281" s="15">
        <v>0</v>
      </c>
      <c r="F5281" s="15">
        <v>0</v>
      </c>
      <c r="G5281" s="15">
        <v>0</v>
      </c>
      <c r="H5281" s="15">
        <v>0</v>
      </c>
    </row>
    <row r="5282" spans="2:8">
      <c r="B5282" s="17" t="s">
        <v>11225</v>
      </c>
      <c r="C5282" s="246" t="s">
        <v>5468</v>
      </c>
      <c r="D5282" s="18">
        <v>0</v>
      </c>
      <c r="E5282" s="18">
        <v>0</v>
      </c>
      <c r="F5282" s="18">
        <v>0</v>
      </c>
      <c r="G5282" s="18">
        <v>7</v>
      </c>
      <c r="H5282" s="18">
        <v>0</v>
      </c>
    </row>
    <row r="5283" spans="2:8">
      <c r="B5283" s="14" t="s">
        <v>11226</v>
      </c>
      <c r="C5283" s="245" t="s">
        <v>5469</v>
      </c>
      <c r="D5283" s="15">
        <v>0</v>
      </c>
      <c r="E5283" s="15">
        <v>3</v>
      </c>
      <c r="F5283" s="15">
        <v>0</v>
      </c>
      <c r="G5283" s="15">
        <v>0</v>
      </c>
      <c r="H5283" s="15">
        <v>0</v>
      </c>
    </row>
    <row r="5284" spans="2:8">
      <c r="B5284" s="17" t="s">
        <v>11227</v>
      </c>
      <c r="C5284" s="246" t="s">
        <v>5470</v>
      </c>
      <c r="D5284" s="18">
        <v>0</v>
      </c>
      <c r="E5284" s="18">
        <v>0</v>
      </c>
      <c r="F5284" s="18">
        <v>0</v>
      </c>
      <c r="G5284" s="18">
        <v>0</v>
      </c>
      <c r="H5284" s="18">
        <v>0</v>
      </c>
    </row>
    <row r="5285" spans="2:8">
      <c r="B5285" s="14" t="s">
        <v>11228</v>
      </c>
      <c r="C5285" s="245" t="s">
        <v>2766</v>
      </c>
      <c r="D5285" s="15">
        <v>0</v>
      </c>
      <c r="E5285" s="15">
        <v>4</v>
      </c>
      <c r="F5285" s="15">
        <v>0</v>
      </c>
      <c r="G5285" s="15">
        <v>4</v>
      </c>
      <c r="H5285" s="15">
        <v>0</v>
      </c>
    </row>
    <row r="5286" spans="2:8">
      <c r="B5286" s="17" t="s">
        <v>11229</v>
      </c>
      <c r="C5286" s="246" t="s">
        <v>5471</v>
      </c>
      <c r="D5286" s="18">
        <v>21</v>
      </c>
      <c r="E5286" s="18">
        <v>0</v>
      </c>
      <c r="F5286" s="18">
        <v>0</v>
      </c>
      <c r="G5286" s="18">
        <v>0</v>
      </c>
      <c r="H5286" s="18">
        <v>0</v>
      </c>
    </row>
    <row r="5287" spans="2:8">
      <c r="B5287" s="14" t="s">
        <v>11230</v>
      </c>
      <c r="C5287" s="245" t="s">
        <v>5472</v>
      </c>
      <c r="D5287" s="15">
        <v>0</v>
      </c>
      <c r="E5287" s="15">
        <v>0</v>
      </c>
      <c r="F5287" s="15">
        <v>0</v>
      </c>
      <c r="G5287" s="15">
        <v>0</v>
      </c>
      <c r="H5287" s="15">
        <v>0</v>
      </c>
    </row>
    <row r="5288" spans="2:8">
      <c r="B5288" s="17" t="s">
        <v>11231</v>
      </c>
      <c r="C5288" s="246" t="s">
        <v>5473</v>
      </c>
      <c r="D5288" s="18">
        <v>0</v>
      </c>
      <c r="E5288" s="18">
        <v>0</v>
      </c>
      <c r="F5288" s="18">
        <v>0</v>
      </c>
      <c r="G5288" s="18">
        <v>0</v>
      </c>
      <c r="H5288" s="18">
        <v>0</v>
      </c>
    </row>
    <row r="5289" spans="2:8">
      <c r="B5289" s="14" t="s">
        <v>11232</v>
      </c>
      <c r="C5289" s="245" t="s">
        <v>5474</v>
      </c>
      <c r="D5289" s="15">
        <v>0</v>
      </c>
      <c r="E5289" s="15">
        <v>0</v>
      </c>
      <c r="F5289" s="15">
        <v>0</v>
      </c>
      <c r="G5289" s="15">
        <v>0</v>
      </c>
      <c r="H5289" s="15">
        <v>0</v>
      </c>
    </row>
    <row r="5290" spans="2:8">
      <c r="B5290" s="17" t="s">
        <v>11233</v>
      </c>
      <c r="C5290" s="246" t="s">
        <v>5475</v>
      </c>
      <c r="D5290" s="18">
        <v>0</v>
      </c>
      <c r="E5290" s="18">
        <v>0</v>
      </c>
      <c r="F5290" s="18">
        <v>0</v>
      </c>
      <c r="G5290" s="18">
        <v>0</v>
      </c>
      <c r="H5290" s="18">
        <v>0</v>
      </c>
    </row>
    <row r="5291" spans="2:8">
      <c r="B5291" s="14" t="s">
        <v>11234</v>
      </c>
      <c r="C5291" s="245" t="s">
        <v>2141</v>
      </c>
      <c r="D5291" s="15">
        <v>0</v>
      </c>
      <c r="E5291" s="15">
        <v>0</v>
      </c>
      <c r="F5291" s="15">
        <v>0</v>
      </c>
      <c r="G5291" s="15">
        <v>0</v>
      </c>
      <c r="H5291" s="15">
        <v>0</v>
      </c>
    </row>
    <row r="5292" spans="2:8">
      <c r="B5292" s="17" t="s">
        <v>11235</v>
      </c>
      <c r="C5292" s="246" t="s">
        <v>2141</v>
      </c>
      <c r="D5292" s="18">
        <v>0</v>
      </c>
      <c r="E5292" s="18">
        <v>0</v>
      </c>
      <c r="F5292" s="18">
        <v>0</v>
      </c>
      <c r="G5292" s="18">
        <v>0</v>
      </c>
      <c r="H5292" s="18">
        <v>0</v>
      </c>
    </row>
    <row r="5293" spans="2:8">
      <c r="B5293" s="14" t="s">
        <v>11236</v>
      </c>
      <c r="C5293" s="245" t="s">
        <v>3084</v>
      </c>
      <c r="D5293" s="15">
        <v>0</v>
      </c>
      <c r="E5293" s="15">
        <v>0</v>
      </c>
      <c r="F5293" s="15">
        <v>0</v>
      </c>
      <c r="G5293" s="15">
        <v>0</v>
      </c>
      <c r="H5293" s="15">
        <v>0</v>
      </c>
    </row>
    <row r="5294" spans="2:8">
      <c r="B5294" s="17" t="s">
        <v>11237</v>
      </c>
      <c r="C5294" s="246" t="s">
        <v>990</v>
      </c>
      <c r="D5294" s="18">
        <v>5</v>
      </c>
      <c r="E5294" s="18">
        <v>5</v>
      </c>
      <c r="F5294" s="18">
        <v>0</v>
      </c>
      <c r="G5294" s="18">
        <v>0</v>
      </c>
      <c r="H5294" s="18">
        <v>0</v>
      </c>
    </row>
    <row r="5295" spans="2:8">
      <c r="B5295" s="14" t="s">
        <v>11238</v>
      </c>
      <c r="C5295" s="245" t="s">
        <v>5476</v>
      </c>
      <c r="D5295" s="15">
        <v>11</v>
      </c>
      <c r="E5295" s="15">
        <v>108</v>
      </c>
      <c r="F5295" s="15">
        <v>36</v>
      </c>
      <c r="G5295" s="15">
        <v>135</v>
      </c>
      <c r="H5295" s="15">
        <v>0</v>
      </c>
    </row>
    <row r="5296" spans="2:8">
      <c r="B5296" s="17" t="s">
        <v>11239</v>
      </c>
      <c r="C5296" s="246" t="s">
        <v>5477</v>
      </c>
      <c r="D5296" s="18">
        <v>210</v>
      </c>
      <c r="E5296" s="18">
        <v>11</v>
      </c>
      <c r="F5296" s="18">
        <v>0</v>
      </c>
      <c r="G5296" s="18">
        <v>0</v>
      </c>
      <c r="H5296" s="18">
        <v>0</v>
      </c>
    </row>
    <row r="5297" spans="2:8">
      <c r="B5297" s="14" t="s">
        <v>11240</v>
      </c>
      <c r="C5297" s="245" t="s">
        <v>5478</v>
      </c>
      <c r="D5297" s="15">
        <v>1</v>
      </c>
      <c r="E5297" s="15">
        <v>7</v>
      </c>
      <c r="F5297" s="15">
        <v>4</v>
      </c>
      <c r="G5297" s="15">
        <v>0</v>
      </c>
      <c r="H5297" s="15">
        <v>0</v>
      </c>
    </row>
    <row r="5298" spans="2:8">
      <c r="B5298" s="17" t="s">
        <v>11241</v>
      </c>
      <c r="C5298" s="246" t="s">
        <v>5479</v>
      </c>
      <c r="D5298" s="18">
        <v>0</v>
      </c>
      <c r="E5298" s="18">
        <v>0</v>
      </c>
      <c r="F5298" s="18">
        <v>0</v>
      </c>
      <c r="G5298" s="18">
        <v>0</v>
      </c>
      <c r="H5298" s="18">
        <v>0</v>
      </c>
    </row>
    <row r="5299" spans="2:8">
      <c r="B5299" s="14" t="s">
        <v>11242</v>
      </c>
      <c r="C5299" s="245" t="s">
        <v>5480</v>
      </c>
      <c r="D5299" s="15">
        <v>0</v>
      </c>
      <c r="E5299" s="15">
        <v>0</v>
      </c>
      <c r="F5299" s="15">
        <v>1</v>
      </c>
      <c r="G5299" s="15">
        <v>1</v>
      </c>
      <c r="H5299" s="15">
        <v>0</v>
      </c>
    </row>
    <row r="5300" spans="2:8">
      <c r="B5300" s="17" t="s">
        <v>11243</v>
      </c>
      <c r="C5300" s="246" t="s">
        <v>5481</v>
      </c>
      <c r="D5300" s="18">
        <v>0</v>
      </c>
      <c r="E5300" s="18">
        <v>0</v>
      </c>
      <c r="F5300" s="18">
        <v>0</v>
      </c>
      <c r="G5300" s="18">
        <v>0</v>
      </c>
      <c r="H5300" s="18">
        <v>0</v>
      </c>
    </row>
    <row r="5301" spans="2:8">
      <c r="B5301" s="14" t="s">
        <v>11244</v>
      </c>
      <c r="C5301" s="245" t="s">
        <v>1396</v>
      </c>
      <c r="D5301" s="15">
        <v>0</v>
      </c>
      <c r="E5301" s="15">
        <v>0</v>
      </c>
      <c r="F5301" s="15">
        <v>0</v>
      </c>
      <c r="G5301" s="15">
        <v>0</v>
      </c>
      <c r="H5301" s="15">
        <v>0</v>
      </c>
    </row>
    <row r="5302" spans="2:8">
      <c r="B5302" s="17" t="s">
        <v>11245</v>
      </c>
      <c r="C5302" s="246" t="s">
        <v>1396</v>
      </c>
      <c r="D5302" s="18">
        <v>0</v>
      </c>
      <c r="E5302" s="18">
        <v>0</v>
      </c>
      <c r="F5302" s="18">
        <v>0</v>
      </c>
      <c r="G5302" s="18">
        <v>0</v>
      </c>
      <c r="H5302" s="18">
        <v>0</v>
      </c>
    </row>
    <row r="5303" spans="2:8">
      <c r="B5303" s="14" t="s">
        <v>11246</v>
      </c>
      <c r="C5303" s="245" t="s">
        <v>1396</v>
      </c>
      <c r="D5303" s="15">
        <v>0</v>
      </c>
      <c r="E5303" s="15">
        <v>0</v>
      </c>
      <c r="F5303" s="15">
        <v>0</v>
      </c>
      <c r="G5303" s="15">
        <v>0</v>
      </c>
      <c r="H5303" s="15">
        <v>0</v>
      </c>
    </row>
    <row r="5304" spans="2:8">
      <c r="B5304" s="17" t="s">
        <v>11247</v>
      </c>
      <c r="C5304" s="246" t="s">
        <v>5482</v>
      </c>
      <c r="D5304" s="18">
        <v>0</v>
      </c>
      <c r="E5304" s="18">
        <v>0</v>
      </c>
      <c r="F5304" s="18">
        <v>0</v>
      </c>
      <c r="G5304" s="18">
        <v>0</v>
      </c>
      <c r="H5304" s="18">
        <v>0</v>
      </c>
    </row>
    <row r="5305" spans="2:8">
      <c r="B5305" s="14" t="s">
        <v>11248</v>
      </c>
      <c r="C5305" s="245" t="s">
        <v>5483</v>
      </c>
      <c r="D5305" s="15">
        <v>0</v>
      </c>
      <c r="E5305" s="15">
        <v>0</v>
      </c>
      <c r="F5305" s="15">
        <v>0</v>
      </c>
      <c r="G5305" s="15">
        <v>0</v>
      </c>
      <c r="H5305" s="15">
        <v>0</v>
      </c>
    </row>
    <row r="5306" spans="2:8">
      <c r="B5306" s="17" t="s">
        <v>11249</v>
      </c>
      <c r="C5306" s="246" t="s">
        <v>2203</v>
      </c>
      <c r="D5306" s="18">
        <v>0</v>
      </c>
      <c r="E5306" s="18">
        <v>0</v>
      </c>
      <c r="F5306" s="18">
        <v>0</v>
      </c>
      <c r="G5306" s="18">
        <v>0</v>
      </c>
      <c r="H5306" s="18">
        <v>0</v>
      </c>
    </row>
    <row r="5307" spans="2:8">
      <c r="B5307" s="14" t="s">
        <v>11250</v>
      </c>
      <c r="C5307" s="245" t="s">
        <v>2203</v>
      </c>
      <c r="D5307" s="15">
        <v>0</v>
      </c>
      <c r="E5307" s="15">
        <v>0</v>
      </c>
      <c r="F5307" s="15">
        <v>0</v>
      </c>
      <c r="G5307" s="15">
        <v>0</v>
      </c>
      <c r="H5307" s="15">
        <v>0</v>
      </c>
    </row>
    <row r="5308" spans="2:8">
      <c r="B5308" s="17" t="s">
        <v>11251</v>
      </c>
      <c r="C5308" s="246" t="s">
        <v>5484</v>
      </c>
      <c r="D5308" s="18">
        <v>0</v>
      </c>
      <c r="E5308" s="18">
        <v>0</v>
      </c>
      <c r="F5308" s="18">
        <v>0</v>
      </c>
      <c r="G5308" s="18">
        <v>8</v>
      </c>
      <c r="H5308" s="18">
        <v>0</v>
      </c>
    </row>
    <row r="5309" spans="2:8">
      <c r="B5309" s="14" t="s">
        <v>11252</v>
      </c>
      <c r="C5309" s="245" t="s">
        <v>953</v>
      </c>
      <c r="D5309" s="15">
        <v>0</v>
      </c>
      <c r="E5309" s="15">
        <v>0</v>
      </c>
      <c r="F5309" s="15">
        <v>0</v>
      </c>
      <c r="G5309" s="15">
        <v>0</v>
      </c>
      <c r="H5309" s="15">
        <v>0</v>
      </c>
    </row>
    <row r="5310" spans="2:8">
      <c r="B5310" s="17" t="s">
        <v>11253</v>
      </c>
      <c r="C5310" s="246" t="s">
        <v>5485</v>
      </c>
      <c r="D5310" s="18">
        <v>0</v>
      </c>
      <c r="E5310" s="18">
        <v>0</v>
      </c>
      <c r="F5310" s="18">
        <v>0</v>
      </c>
      <c r="G5310" s="18">
        <v>0</v>
      </c>
      <c r="H5310" s="18">
        <v>0</v>
      </c>
    </row>
    <row r="5311" spans="2:8">
      <c r="B5311" s="14" t="s">
        <v>11254</v>
      </c>
      <c r="C5311" s="245" t="s">
        <v>5486</v>
      </c>
      <c r="D5311" s="15">
        <v>0</v>
      </c>
      <c r="E5311" s="15">
        <v>0</v>
      </c>
      <c r="F5311" s="15">
        <v>0</v>
      </c>
      <c r="G5311" s="15">
        <v>0</v>
      </c>
      <c r="H5311" s="15">
        <v>0</v>
      </c>
    </row>
    <row r="5312" spans="2:8">
      <c r="B5312" s="17" t="s">
        <v>11255</v>
      </c>
      <c r="C5312" s="246" t="s">
        <v>5487</v>
      </c>
      <c r="D5312" s="18">
        <v>0</v>
      </c>
      <c r="E5312" s="18">
        <v>0</v>
      </c>
      <c r="F5312" s="18">
        <v>0</v>
      </c>
      <c r="G5312" s="18">
        <v>0</v>
      </c>
      <c r="H5312" s="18">
        <v>0</v>
      </c>
    </row>
    <row r="5313" spans="2:8">
      <c r="B5313" s="14" t="s">
        <v>11256</v>
      </c>
      <c r="C5313" s="245" t="s">
        <v>5488</v>
      </c>
      <c r="D5313" s="15">
        <v>0</v>
      </c>
      <c r="E5313" s="15">
        <v>1</v>
      </c>
      <c r="F5313" s="15">
        <v>1</v>
      </c>
      <c r="G5313" s="15">
        <v>0</v>
      </c>
      <c r="H5313" s="15">
        <v>0</v>
      </c>
    </row>
    <row r="5314" spans="2:8">
      <c r="B5314" s="17" t="s">
        <v>11257</v>
      </c>
      <c r="C5314" s="246" t="s">
        <v>5489</v>
      </c>
      <c r="D5314" s="18">
        <v>0</v>
      </c>
      <c r="E5314" s="18">
        <v>0</v>
      </c>
      <c r="F5314" s="18">
        <v>0</v>
      </c>
      <c r="G5314" s="18">
        <v>22</v>
      </c>
      <c r="H5314" s="18">
        <v>0</v>
      </c>
    </row>
    <row r="5315" spans="2:8">
      <c r="B5315" s="14" t="s">
        <v>11258</v>
      </c>
      <c r="C5315" s="245" t="s">
        <v>5490</v>
      </c>
      <c r="D5315" s="15">
        <v>0</v>
      </c>
      <c r="E5315" s="15">
        <v>0</v>
      </c>
      <c r="F5315" s="15">
        <v>0</v>
      </c>
      <c r="G5315" s="15">
        <v>0</v>
      </c>
      <c r="H5315" s="15">
        <v>0</v>
      </c>
    </row>
    <row r="5316" spans="2:8">
      <c r="B5316" s="17" t="s">
        <v>11259</v>
      </c>
      <c r="C5316" s="246" t="s">
        <v>5491</v>
      </c>
      <c r="D5316" s="18">
        <v>0</v>
      </c>
      <c r="E5316" s="18">
        <v>0</v>
      </c>
      <c r="F5316" s="18">
        <v>0</v>
      </c>
      <c r="G5316" s="18">
        <v>0</v>
      </c>
      <c r="H5316" s="18">
        <v>0</v>
      </c>
    </row>
    <row r="5317" spans="2:8">
      <c r="B5317" s="14" t="s">
        <v>11260</v>
      </c>
      <c r="C5317" s="245" t="s">
        <v>5492</v>
      </c>
      <c r="D5317" s="15">
        <v>0</v>
      </c>
      <c r="E5317" s="15">
        <v>0</v>
      </c>
      <c r="F5317" s="15">
        <v>0</v>
      </c>
      <c r="G5317" s="15">
        <v>0</v>
      </c>
      <c r="H5317" s="15">
        <v>0</v>
      </c>
    </row>
    <row r="5318" spans="2:8">
      <c r="B5318" s="17" t="s">
        <v>11261</v>
      </c>
      <c r="C5318" s="246" t="s">
        <v>5493</v>
      </c>
      <c r="D5318" s="18">
        <v>0</v>
      </c>
      <c r="E5318" s="18">
        <v>0</v>
      </c>
      <c r="F5318" s="18">
        <v>0</v>
      </c>
      <c r="G5318" s="18">
        <v>0</v>
      </c>
      <c r="H5318" s="18">
        <v>0</v>
      </c>
    </row>
    <row r="5319" spans="2:8">
      <c r="B5319" s="14" t="s">
        <v>11262</v>
      </c>
      <c r="C5319" s="245" t="s">
        <v>3797</v>
      </c>
      <c r="D5319" s="15">
        <v>0</v>
      </c>
      <c r="E5319" s="15">
        <v>0</v>
      </c>
      <c r="F5319" s="15">
        <v>0</v>
      </c>
      <c r="G5319" s="15">
        <v>0</v>
      </c>
      <c r="H5319" s="15">
        <v>0</v>
      </c>
    </row>
    <row r="5320" spans="2:8">
      <c r="B5320" s="17" t="s">
        <v>11263</v>
      </c>
      <c r="C5320" s="246" t="s">
        <v>5494</v>
      </c>
      <c r="D5320" s="18">
        <v>0</v>
      </c>
      <c r="E5320" s="18">
        <v>0</v>
      </c>
      <c r="F5320" s="18">
        <v>0</v>
      </c>
      <c r="G5320" s="18">
        <v>0</v>
      </c>
      <c r="H5320" s="18">
        <v>0</v>
      </c>
    </row>
    <row r="5321" spans="2:8">
      <c r="B5321" s="14" t="s">
        <v>11264</v>
      </c>
      <c r="C5321" s="245" t="s">
        <v>5495</v>
      </c>
      <c r="D5321" s="15">
        <v>3</v>
      </c>
      <c r="E5321" s="15">
        <v>2</v>
      </c>
      <c r="F5321" s="15">
        <v>0</v>
      </c>
      <c r="G5321" s="15">
        <v>0</v>
      </c>
      <c r="H5321" s="15">
        <v>0</v>
      </c>
    </row>
    <row r="5322" spans="2:8">
      <c r="B5322" s="17" t="s">
        <v>11265</v>
      </c>
      <c r="C5322" s="246" t="s">
        <v>5496</v>
      </c>
      <c r="D5322" s="18">
        <v>0</v>
      </c>
      <c r="E5322" s="18">
        <v>0</v>
      </c>
      <c r="F5322" s="18">
        <v>0</v>
      </c>
      <c r="G5322" s="18">
        <v>0</v>
      </c>
      <c r="H5322" s="18">
        <v>0</v>
      </c>
    </row>
    <row r="5323" spans="2:8">
      <c r="B5323" s="14" t="s">
        <v>11266</v>
      </c>
      <c r="C5323" s="245" t="s">
        <v>1800</v>
      </c>
      <c r="D5323" s="15">
        <v>0</v>
      </c>
      <c r="E5323" s="15">
        <v>0</v>
      </c>
      <c r="F5323" s="15">
        <v>0</v>
      </c>
      <c r="G5323" s="15">
        <v>0</v>
      </c>
      <c r="H5323" s="15">
        <v>0</v>
      </c>
    </row>
    <row r="5324" spans="2:8">
      <c r="B5324" s="17" t="s">
        <v>11267</v>
      </c>
      <c r="C5324" s="246" t="s">
        <v>1823</v>
      </c>
      <c r="D5324" s="18">
        <v>0</v>
      </c>
      <c r="E5324" s="18">
        <v>0</v>
      </c>
      <c r="F5324" s="18">
        <v>0</v>
      </c>
      <c r="G5324" s="18">
        <v>0</v>
      </c>
      <c r="H5324" s="18">
        <v>0</v>
      </c>
    </row>
    <row r="5325" spans="2:8">
      <c r="B5325" s="14" t="s">
        <v>11268</v>
      </c>
      <c r="C5325" s="245" t="s">
        <v>1823</v>
      </c>
      <c r="D5325" s="15">
        <v>0</v>
      </c>
      <c r="E5325" s="15">
        <v>0</v>
      </c>
      <c r="F5325" s="15">
        <v>0</v>
      </c>
      <c r="G5325" s="15">
        <v>0</v>
      </c>
      <c r="H5325" s="15">
        <v>0</v>
      </c>
    </row>
    <row r="5326" spans="2:8">
      <c r="B5326" s="17" t="s">
        <v>11269</v>
      </c>
      <c r="C5326" s="246" t="s">
        <v>1523</v>
      </c>
      <c r="D5326" s="18">
        <v>18</v>
      </c>
      <c r="E5326" s="18">
        <v>0</v>
      </c>
      <c r="F5326" s="18">
        <v>0</v>
      </c>
      <c r="G5326" s="18">
        <v>0</v>
      </c>
      <c r="H5326" s="18">
        <v>0</v>
      </c>
    </row>
    <row r="5327" spans="2:8">
      <c r="B5327" s="14" t="s">
        <v>11270</v>
      </c>
      <c r="C5327" s="245" t="s">
        <v>5497</v>
      </c>
      <c r="D5327" s="15">
        <v>0</v>
      </c>
      <c r="E5327" s="15">
        <v>0</v>
      </c>
      <c r="F5327" s="15">
        <v>0</v>
      </c>
      <c r="G5327" s="15">
        <v>0</v>
      </c>
      <c r="H5327" s="15">
        <v>0</v>
      </c>
    </row>
    <row r="5328" spans="2:8">
      <c r="B5328" s="17" t="s">
        <v>11271</v>
      </c>
      <c r="C5328" s="246" t="s">
        <v>5498</v>
      </c>
      <c r="D5328" s="18">
        <v>0</v>
      </c>
      <c r="E5328" s="18">
        <v>0</v>
      </c>
      <c r="F5328" s="18">
        <v>0</v>
      </c>
      <c r="G5328" s="18">
        <v>0</v>
      </c>
      <c r="H5328" s="18">
        <v>0</v>
      </c>
    </row>
    <row r="5329" spans="2:8">
      <c r="B5329" s="14" t="s">
        <v>11272</v>
      </c>
      <c r="C5329" s="245" t="s">
        <v>3817</v>
      </c>
      <c r="D5329" s="15">
        <v>0</v>
      </c>
      <c r="E5329" s="15">
        <v>0</v>
      </c>
      <c r="F5329" s="15">
        <v>0</v>
      </c>
      <c r="G5329" s="15">
        <v>0</v>
      </c>
      <c r="H5329" s="15">
        <v>0</v>
      </c>
    </row>
    <row r="5330" spans="2:8">
      <c r="B5330" s="17" t="s">
        <v>11273</v>
      </c>
      <c r="C5330" s="246" t="s">
        <v>2495</v>
      </c>
      <c r="D5330" s="18">
        <v>0</v>
      </c>
      <c r="E5330" s="18">
        <v>0</v>
      </c>
      <c r="F5330" s="18">
        <v>0</v>
      </c>
      <c r="G5330" s="18">
        <v>0</v>
      </c>
      <c r="H5330" s="18">
        <v>0</v>
      </c>
    </row>
    <row r="5331" spans="2:8">
      <c r="B5331" s="14" t="s">
        <v>11274</v>
      </c>
      <c r="C5331" s="245" t="s">
        <v>2495</v>
      </c>
      <c r="D5331" s="15">
        <v>0</v>
      </c>
      <c r="E5331" s="15">
        <v>0</v>
      </c>
      <c r="F5331" s="15">
        <v>0</v>
      </c>
      <c r="G5331" s="15">
        <v>0</v>
      </c>
      <c r="H5331" s="15">
        <v>0</v>
      </c>
    </row>
    <row r="5332" spans="2:8">
      <c r="B5332" s="17" t="s">
        <v>11275</v>
      </c>
      <c r="C5332" s="246" t="s">
        <v>2182</v>
      </c>
      <c r="D5332" s="18">
        <v>0</v>
      </c>
      <c r="E5332" s="18">
        <v>0</v>
      </c>
      <c r="F5332" s="18">
        <v>0</v>
      </c>
      <c r="G5332" s="18">
        <v>0</v>
      </c>
      <c r="H5332" s="18">
        <v>0</v>
      </c>
    </row>
    <row r="5333" spans="2:8">
      <c r="B5333" s="14" t="s">
        <v>11276</v>
      </c>
      <c r="C5333" s="245" t="s">
        <v>5499</v>
      </c>
      <c r="D5333" s="15">
        <v>0</v>
      </c>
      <c r="E5333" s="15">
        <v>0</v>
      </c>
      <c r="F5333" s="15">
        <v>1</v>
      </c>
      <c r="G5333" s="15">
        <v>0</v>
      </c>
      <c r="H5333" s="15">
        <v>0</v>
      </c>
    </row>
    <row r="5334" spans="2:8">
      <c r="B5334" s="17" t="s">
        <v>11277</v>
      </c>
      <c r="C5334" s="246" t="s">
        <v>2182</v>
      </c>
      <c r="D5334" s="18">
        <v>0</v>
      </c>
      <c r="E5334" s="18">
        <v>0</v>
      </c>
      <c r="F5334" s="18">
        <v>0</v>
      </c>
      <c r="G5334" s="18">
        <v>0</v>
      </c>
      <c r="H5334" s="18">
        <v>0</v>
      </c>
    </row>
    <row r="5335" spans="2:8">
      <c r="B5335" s="14" t="s">
        <v>11278</v>
      </c>
      <c r="C5335" s="245" t="s">
        <v>2182</v>
      </c>
      <c r="D5335" s="15">
        <v>0</v>
      </c>
      <c r="E5335" s="15">
        <v>0</v>
      </c>
      <c r="F5335" s="15">
        <v>0</v>
      </c>
      <c r="G5335" s="15">
        <v>0</v>
      </c>
      <c r="H5335" s="15">
        <v>0</v>
      </c>
    </row>
    <row r="5336" spans="2:8">
      <c r="B5336" s="17" t="s">
        <v>11279</v>
      </c>
      <c r="C5336" s="246" t="s">
        <v>2182</v>
      </c>
      <c r="D5336" s="18">
        <v>0</v>
      </c>
      <c r="E5336" s="18">
        <v>0</v>
      </c>
      <c r="F5336" s="18">
        <v>0</v>
      </c>
      <c r="G5336" s="18">
        <v>0</v>
      </c>
      <c r="H5336" s="18">
        <v>0</v>
      </c>
    </row>
    <row r="5337" spans="2:8">
      <c r="B5337" s="14" t="s">
        <v>11280</v>
      </c>
      <c r="C5337" s="245" t="s">
        <v>2182</v>
      </c>
      <c r="D5337" s="15">
        <v>0</v>
      </c>
      <c r="E5337" s="15">
        <v>0</v>
      </c>
      <c r="F5337" s="15">
        <v>0</v>
      </c>
      <c r="G5337" s="15">
        <v>0</v>
      </c>
      <c r="H5337" s="15">
        <v>0</v>
      </c>
    </row>
    <row r="5338" spans="2:8">
      <c r="B5338" s="17" t="s">
        <v>11281</v>
      </c>
      <c r="C5338" s="246" t="s">
        <v>1375</v>
      </c>
      <c r="D5338" s="18">
        <v>0</v>
      </c>
      <c r="E5338" s="18">
        <v>0</v>
      </c>
      <c r="F5338" s="18">
        <v>0</v>
      </c>
      <c r="G5338" s="18">
        <v>0</v>
      </c>
      <c r="H5338" s="18">
        <v>0</v>
      </c>
    </row>
    <row r="5339" spans="2:8">
      <c r="B5339" s="14" t="s">
        <v>11282</v>
      </c>
      <c r="C5339" s="245" t="s">
        <v>1375</v>
      </c>
      <c r="D5339" s="15">
        <v>1</v>
      </c>
      <c r="E5339" s="15">
        <v>0</v>
      </c>
      <c r="F5339" s="15">
        <v>0</v>
      </c>
      <c r="G5339" s="15">
        <v>0</v>
      </c>
      <c r="H5339" s="15">
        <v>0</v>
      </c>
    </row>
    <row r="5340" spans="2:8">
      <c r="B5340" s="17" t="s">
        <v>11283</v>
      </c>
      <c r="C5340" s="246" t="s">
        <v>2183</v>
      </c>
      <c r="D5340" s="18">
        <v>0</v>
      </c>
      <c r="E5340" s="18">
        <v>0</v>
      </c>
      <c r="F5340" s="18">
        <v>0</v>
      </c>
      <c r="G5340" s="18">
        <v>0</v>
      </c>
      <c r="H5340" s="18">
        <v>0</v>
      </c>
    </row>
    <row r="5341" spans="2:8">
      <c r="B5341" s="14" t="s">
        <v>11284</v>
      </c>
      <c r="C5341" s="245" t="s">
        <v>5500</v>
      </c>
      <c r="D5341" s="15">
        <v>0</v>
      </c>
      <c r="E5341" s="15">
        <v>0</v>
      </c>
      <c r="F5341" s="15">
        <v>0</v>
      </c>
      <c r="G5341" s="15">
        <v>0</v>
      </c>
      <c r="H5341" s="15">
        <v>0</v>
      </c>
    </row>
    <row r="5342" spans="2:8">
      <c r="B5342" s="17" t="s">
        <v>11285</v>
      </c>
      <c r="C5342" s="246" t="s">
        <v>5501</v>
      </c>
      <c r="D5342" s="18">
        <v>0</v>
      </c>
      <c r="E5342" s="18">
        <v>0</v>
      </c>
      <c r="F5342" s="18">
        <v>0</v>
      </c>
      <c r="G5342" s="18">
        <v>0</v>
      </c>
      <c r="H5342" s="18">
        <v>0</v>
      </c>
    </row>
    <row r="5343" spans="2:8">
      <c r="B5343" s="14" t="s">
        <v>11286</v>
      </c>
      <c r="C5343" s="245" t="s">
        <v>2494</v>
      </c>
      <c r="D5343" s="15">
        <v>0</v>
      </c>
      <c r="E5343" s="15">
        <v>0</v>
      </c>
      <c r="F5343" s="15">
        <v>0</v>
      </c>
      <c r="G5343" s="15">
        <v>0</v>
      </c>
      <c r="H5343" s="15">
        <v>0</v>
      </c>
    </row>
    <row r="5344" spans="2:8">
      <c r="B5344" s="17" t="s">
        <v>11287</v>
      </c>
      <c r="C5344" s="246" t="s">
        <v>2179</v>
      </c>
      <c r="D5344" s="18">
        <v>0</v>
      </c>
      <c r="E5344" s="18">
        <v>0</v>
      </c>
      <c r="F5344" s="18">
        <v>0</v>
      </c>
      <c r="G5344" s="18">
        <v>0</v>
      </c>
      <c r="H5344" s="18">
        <v>0</v>
      </c>
    </row>
    <row r="5345" spans="2:8">
      <c r="B5345" s="14" t="s">
        <v>11288</v>
      </c>
      <c r="C5345" s="245" t="s">
        <v>5502</v>
      </c>
      <c r="D5345" s="15">
        <v>0</v>
      </c>
      <c r="E5345" s="15">
        <v>0</v>
      </c>
      <c r="F5345" s="15">
        <v>0</v>
      </c>
      <c r="G5345" s="15">
        <v>0</v>
      </c>
      <c r="H5345" s="15">
        <v>0</v>
      </c>
    </row>
    <row r="5346" spans="2:8">
      <c r="B5346" s="17" t="s">
        <v>11289</v>
      </c>
      <c r="C5346" s="246" t="s">
        <v>5503</v>
      </c>
      <c r="D5346" s="18">
        <v>0</v>
      </c>
      <c r="E5346" s="18">
        <v>0</v>
      </c>
      <c r="F5346" s="18">
        <v>0</v>
      </c>
      <c r="G5346" s="18">
        <v>5</v>
      </c>
      <c r="H5346" s="18">
        <v>0</v>
      </c>
    </row>
    <row r="5347" spans="2:8">
      <c r="B5347" s="14" t="s">
        <v>11290</v>
      </c>
      <c r="C5347" s="245" t="s">
        <v>5504</v>
      </c>
      <c r="D5347" s="15">
        <v>0</v>
      </c>
      <c r="E5347" s="15">
        <v>0</v>
      </c>
      <c r="F5347" s="15">
        <v>0</v>
      </c>
      <c r="G5347" s="15">
        <v>20</v>
      </c>
      <c r="H5347" s="15">
        <v>0</v>
      </c>
    </row>
    <row r="5348" spans="2:8">
      <c r="B5348" s="17" t="s">
        <v>11291</v>
      </c>
      <c r="C5348" s="246" t="s">
        <v>5505</v>
      </c>
      <c r="D5348" s="18">
        <v>0</v>
      </c>
      <c r="E5348" s="18">
        <v>0</v>
      </c>
      <c r="F5348" s="18">
        <v>0</v>
      </c>
      <c r="G5348" s="18">
        <v>1</v>
      </c>
      <c r="H5348" s="18">
        <v>0</v>
      </c>
    </row>
    <row r="5349" spans="2:8">
      <c r="B5349" s="14" t="s">
        <v>11292</v>
      </c>
      <c r="C5349" s="245" t="s">
        <v>5506</v>
      </c>
      <c r="D5349" s="15">
        <v>0</v>
      </c>
      <c r="E5349" s="15">
        <v>0</v>
      </c>
      <c r="F5349" s="15">
        <v>0</v>
      </c>
      <c r="G5349" s="15">
        <v>0</v>
      </c>
      <c r="H5349" s="15">
        <v>0</v>
      </c>
    </row>
    <row r="5350" spans="2:8">
      <c r="B5350" s="17" t="s">
        <v>11293</v>
      </c>
      <c r="C5350" s="246" t="s">
        <v>5507</v>
      </c>
      <c r="D5350" s="18">
        <v>0</v>
      </c>
      <c r="E5350" s="18">
        <v>0</v>
      </c>
      <c r="F5350" s="18">
        <v>0</v>
      </c>
      <c r="G5350" s="18">
        <v>43</v>
      </c>
      <c r="H5350" s="18">
        <v>0</v>
      </c>
    </row>
    <row r="5351" spans="2:8">
      <c r="B5351" s="14" t="s">
        <v>11294</v>
      </c>
      <c r="C5351" s="245" t="s">
        <v>5508</v>
      </c>
      <c r="D5351" s="15">
        <v>0</v>
      </c>
      <c r="E5351" s="15">
        <v>0</v>
      </c>
      <c r="F5351" s="15">
        <v>3</v>
      </c>
      <c r="G5351" s="15">
        <v>3</v>
      </c>
      <c r="H5351" s="15">
        <v>0</v>
      </c>
    </row>
    <row r="5352" spans="2:8">
      <c r="B5352" s="17" t="s">
        <v>11295</v>
      </c>
      <c r="C5352" s="246" t="s">
        <v>5509</v>
      </c>
      <c r="D5352" s="18">
        <v>0</v>
      </c>
      <c r="E5352" s="18">
        <v>0</v>
      </c>
      <c r="F5352" s="18">
        <v>0</v>
      </c>
      <c r="G5352" s="18">
        <v>0</v>
      </c>
      <c r="H5352" s="18">
        <v>0</v>
      </c>
    </row>
    <row r="5353" spans="2:8">
      <c r="B5353" s="14" t="s">
        <v>11296</v>
      </c>
      <c r="C5353" s="245" t="s">
        <v>5510</v>
      </c>
      <c r="D5353" s="15">
        <v>0</v>
      </c>
      <c r="E5353" s="15">
        <v>0</v>
      </c>
      <c r="F5353" s="15">
        <v>0</v>
      </c>
      <c r="G5353" s="15">
        <v>0</v>
      </c>
      <c r="H5353" s="15">
        <v>0</v>
      </c>
    </row>
    <row r="5354" spans="2:8">
      <c r="B5354" s="17" t="s">
        <v>11297</v>
      </c>
      <c r="C5354" s="246" t="s">
        <v>1771</v>
      </c>
      <c r="D5354" s="18">
        <v>0</v>
      </c>
      <c r="E5354" s="18">
        <v>0</v>
      </c>
      <c r="F5354" s="18">
        <v>0</v>
      </c>
      <c r="G5354" s="18">
        <v>0</v>
      </c>
      <c r="H5354" s="18">
        <v>0</v>
      </c>
    </row>
    <row r="5355" spans="2:8">
      <c r="B5355" s="14" t="s">
        <v>11298</v>
      </c>
      <c r="C5355" s="245" t="s">
        <v>5511</v>
      </c>
      <c r="D5355" s="15">
        <v>0</v>
      </c>
      <c r="E5355" s="15">
        <v>0</v>
      </c>
      <c r="F5355" s="15">
        <v>0</v>
      </c>
      <c r="G5355" s="15">
        <v>0</v>
      </c>
      <c r="H5355" s="15">
        <v>0</v>
      </c>
    </row>
    <row r="5356" spans="2:8">
      <c r="B5356" s="17" t="s">
        <v>11299</v>
      </c>
      <c r="C5356" s="246" t="s">
        <v>5512</v>
      </c>
      <c r="D5356" s="18">
        <v>0</v>
      </c>
      <c r="E5356" s="18">
        <v>0</v>
      </c>
      <c r="F5356" s="18">
        <v>0</v>
      </c>
      <c r="G5356" s="18">
        <v>0</v>
      </c>
      <c r="H5356" s="18">
        <v>0</v>
      </c>
    </row>
    <row r="5357" spans="2:8">
      <c r="B5357" s="14" t="s">
        <v>11300</v>
      </c>
      <c r="C5357" s="245" t="s">
        <v>5513</v>
      </c>
      <c r="D5357" s="15">
        <v>0</v>
      </c>
      <c r="E5357" s="15">
        <v>0</v>
      </c>
      <c r="F5357" s="15">
        <v>0</v>
      </c>
      <c r="G5357" s="15">
        <v>0</v>
      </c>
      <c r="H5357" s="15">
        <v>0</v>
      </c>
    </row>
    <row r="5358" spans="2:8">
      <c r="B5358" s="17" t="s">
        <v>11301</v>
      </c>
      <c r="C5358" s="246" t="s">
        <v>5514</v>
      </c>
      <c r="D5358" s="18">
        <v>0</v>
      </c>
      <c r="E5358" s="18">
        <v>0</v>
      </c>
      <c r="F5358" s="18">
        <v>0</v>
      </c>
      <c r="G5358" s="18">
        <v>0</v>
      </c>
      <c r="H5358" s="18">
        <v>0</v>
      </c>
    </row>
    <row r="5359" spans="2:8">
      <c r="B5359" s="14" t="s">
        <v>11302</v>
      </c>
      <c r="C5359" s="245" t="s">
        <v>5515</v>
      </c>
      <c r="D5359" s="15">
        <v>0</v>
      </c>
      <c r="E5359" s="15">
        <v>0</v>
      </c>
      <c r="F5359" s="15">
        <v>0</v>
      </c>
      <c r="G5359" s="15">
        <v>0</v>
      </c>
      <c r="H5359" s="15">
        <v>0</v>
      </c>
    </row>
    <row r="5360" spans="2:8">
      <c r="B5360" s="17" t="s">
        <v>11303</v>
      </c>
      <c r="C5360" s="246" t="s">
        <v>1766</v>
      </c>
      <c r="D5360" s="18">
        <v>0</v>
      </c>
      <c r="E5360" s="18">
        <v>0</v>
      </c>
      <c r="F5360" s="18">
        <v>0</v>
      </c>
      <c r="G5360" s="18">
        <v>0</v>
      </c>
      <c r="H5360" s="18">
        <v>0</v>
      </c>
    </row>
    <row r="5361" spans="2:8">
      <c r="B5361" s="14" t="s">
        <v>11304</v>
      </c>
      <c r="C5361" s="245" t="s">
        <v>2500</v>
      </c>
      <c r="D5361" s="15">
        <v>0</v>
      </c>
      <c r="E5361" s="15">
        <v>0</v>
      </c>
      <c r="F5361" s="15">
        <v>0</v>
      </c>
      <c r="G5361" s="15">
        <v>0</v>
      </c>
      <c r="H5361" s="15">
        <v>0</v>
      </c>
    </row>
    <row r="5362" spans="2:8">
      <c r="B5362" s="17" t="s">
        <v>11305</v>
      </c>
      <c r="C5362" s="246" t="s">
        <v>3019</v>
      </c>
      <c r="D5362" s="18">
        <v>0</v>
      </c>
      <c r="E5362" s="18">
        <v>0</v>
      </c>
      <c r="F5362" s="18">
        <v>0</v>
      </c>
      <c r="G5362" s="18">
        <v>0</v>
      </c>
      <c r="H5362" s="18">
        <v>0</v>
      </c>
    </row>
    <row r="5363" spans="2:8">
      <c r="B5363" s="14" t="s">
        <v>11306</v>
      </c>
      <c r="C5363" s="245" t="s">
        <v>5516</v>
      </c>
      <c r="D5363" s="15">
        <v>3</v>
      </c>
      <c r="E5363" s="15">
        <v>0</v>
      </c>
      <c r="F5363" s="15">
        <v>0</v>
      </c>
      <c r="G5363" s="15">
        <v>0</v>
      </c>
      <c r="H5363" s="15">
        <v>0</v>
      </c>
    </row>
    <row r="5364" spans="2:8">
      <c r="B5364" s="17" t="s">
        <v>11307</v>
      </c>
      <c r="C5364" s="246" t="s">
        <v>3813</v>
      </c>
      <c r="D5364" s="18">
        <v>0</v>
      </c>
      <c r="E5364" s="18">
        <v>0</v>
      </c>
      <c r="F5364" s="18">
        <v>0</v>
      </c>
      <c r="G5364" s="18">
        <v>0</v>
      </c>
      <c r="H5364" s="18">
        <v>0</v>
      </c>
    </row>
    <row r="5365" spans="2:8">
      <c r="B5365" s="14" t="s">
        <v>11308</v>
      </c>
      <c r="C5365" s="245" t="s">
        <v>3813</v>
      </c>
      <c r="D5365" s="15">
        <v>0</v>
      </c>
      <c r="E5365" s="15">
        <v>0</v>
      </c>
      <c r="F5365" s="15">
        <v>0</v>
      </c>
      <c r="G5365" s="15">
        <v>0</v>
      </c>
      <c r="H5365" s="15">
        <v>0</v>
      </c>
    </row>
    <row r="5366" spans="2:8">
      <c r="B5366" s="17" t="s">
        <v>11309</v>
      </c>
      <c r="C5366" s="246" t="s">
        <v>2190</v>
      </c>
      <c r="D5366" s="18">
        <v>0</v>
      </c>
      <c r="E5366" s="18">
        <v>0</v>
      </c>
      <c r="F5366" s="18">
        <v>0</v>
      </c>
      <c r="G5366" s="18">
        <v>0</v>
      </c>
      <c r="H5366" s="18">
        <v>0</v>
      </c>
    </row>
    <row r="5367" spans="2:8">
      <c r="B5367" s="14" t="s">
        <v>11310</v>
      </c>
      <c r="C5367" s="245" t="s">
        <v>2190</v>
      </c>
      <c r="D5367" s="15">
        <v>0</v>
      </c>
      <c r="E5367" s="15">
        <v>0</v>
      </c>
      <c r="F5367" s="15">
        <v>0</v>
      </c>
      <c r="G5367" s="15">
        <v>0</v>
      </c>
      <c r="H5367" s="15">
        <v>0</v>
      </c>
    </row>
    <row r="5368" spans="2:8">
      <c r="B5368" s="17" t="s">
        <v>11311</v>
      </c>
      <c r="C5368" s="246" t="s">
        <v>2511</v>
      </c>
      <c r="D5368" s="18">
        <v>0</v>
      </c>
      <c r="E5368" s="18">
        <v>0</v>
      </c>
      <c r="F5368" s="18">
        <v>0</v>
      </c>
      <c r="G5368" s="18">
        <v>0</v>
      </c>
      <c r="H5368" s="18">
        <v>0</v>
      </c>
    </row>
    <row r="5369" spans="2:8">
      <c r="B5369" s="14" t="s">
        <v>11312</v>
      </c>
      <c r="C5369" s="245" t="s">
        <v>5517</v>
      </c>
      <c r="D5369" s="15">
        <v>0</v>
      </c>
      <c r="E5369" s="15">
        <v>0</v>
      </c>
      <c r="F5369" s="15">
        <v>0</v>
      </c>
      <c r="G5369" s="15">
        <v>0</v>
      </c>
      <c r="H5369" s="15">
        <v>0</v>
      </c>
    </row>
    <row r="5370" spans="2:8">
      <c r="B5370" s="17" t="s">
        <v>11313</v>
      </c>
      <c r="C5370" s="246" t="s">
        <v>5518</v>
      </c>
      <c r="D5370" s="18">
        <v>0</v>
      </c>
      <c r="E5370" s="18">
        <v>0</v>
      </c>
      <c r="F5370" s="18">
        <v>0</v>
      </c>
      <c r="G5370" s="18">
        <v>0</v>
      </c>
      <c r="H5370" s="18">
        <v>0</v>
      </c>
    </row>
    <row r="5371" spans="2:8">
      <c r="B5371" s="14" t="s">
        <v>11314</v>
      </c>
      <c r="C5371" s="245" t="s">
        <v>5519</v>
      </c>
      <c r="D5371" s="15">
        <v>0</v>
      </c>
      <c r="E5371" s="15">
        <v>0</v>
      </c>
      <c r="F5371" s="15">
        <v>0</v>
      </c>
      <c r="G5371" s="15">
        <v>0</v>
      </c>
      <c r="H5371" s="15">
        <v>0</v>
      </c>
    </row>
    <row r="5372" spans="2:8">
      <c r="B5372" s="17" t="s">
        <v>11315</v>
      </c>
      <c r="C5372" s="246" t="s">
        <v>5520</v>
      </c>
      <c r="D5372" s="18">
        <v>0</v>
      </c>
      <c r="E5372" s="18">
        <v>0</v>
      </c>
      <c r="F5372" s="18">
        <v>0</v>
      </c>
      <c r="G5372" s="18">
        <v>0</v>
      </c>
      <c r="H5372" s="18">
        <v>0</v>
      </c>
    </row>
    <row r="5373" spans="2:8">
      <c r="B5373" s="14" t="s">
        <v>11316</v>
      </c>
      <c r="C5373" s="245" t="s">
        <v>5521</v>
      </c>
      <c r="D5373" s="15">
        <v>0</v>
      </c>
      <c r="E5373" s="15">
        <v>3</v>
      </c>
      <c r="F5373" s="15">
        <v>3</v>
      </c>
      <c r="G5373" s="15">
        <v>0</v>
      </c>
      <c r="H5373" s="15">
        <v>0</v>
      </c>
    </row>
    <row r="5374" spans="2:8">
      <c r="B5374" s="17" t="s">
        <v>11317</v>
      </c>
      <c r="C5374" s="246" t="s">
        <v>5522</v>
      </c>
      <c r="D5374" s="18">
        <v>0</v>
      </c>
      <c r="E5374" s="18">
        <v>0</v>
      </c>
      <c r="F5374" s="18">
        <v>0</v>
      </c>
      <c r="G5374" s="18">
        <v>0</v>
      </c>
      <c r="H5374" s="18">
        <v>0</v>
      </c>
    </row>
    <row r="5375" spans="2:8">
      <c r="B5375" s="14" t="s">
        <v>11318</v>
      </c>
      <c r="C5375" s="245" t="s">
        <v>5523</v>
      </c>
      <c r="D5375" s="15">
        <v>0</v>
      </c>
      <c r="E5375" s="15">
        <v>0</v>
      </c>
      <c r="F5375" s="15">
        <v>0</v>
      </c>
      <c r="G5375" s="15">
        <v>0</v>
      </c>
      <c r="H5375" s="15">
        <v>0</v>
      </c>
    </row>
    <row r="5376" spans="2:8">
      <c r="B5376" s="17" t="s">
        <v>11319</v>
      </c>
      <c r="C5376" s="246" t="s">
        <v>5524</v>
      </c>
      <c r="D5376" s="18">
        <v>0</v>
      </c>
      <c r="E5376" s="18">
        <v>0</v>
      </c>
      <c r="F5376" s="18">
        <v>0</v>
      </c>
      <c r="G5376" s="18">
        <v>5</v>
      </c>
      <c r="H5376" s="18">
        <v>0</v>
      </c>
    </row>
    <row r="5377" spans="2:8">
      <c r="B5377" s="14" t="s">
        <v>11320</v>
      </c>
      <c r="C5377" s="245" t="s">
        <v>5525</v>
      </c>
      <c r="D5377" s="15">
        <v>0</v>
      </c>
      <c r="E5377" s="15">
        <v>0</v>
      </c>
      <c r="F5377" s="15">
        <v>0</v>
      </c>
      <c r="G5377" s="15">
        <v>0</v>
      </c>
      <c r="H5377" s="15">
        <v>0</v>
      </c>
    </row>
    <row r="5378" spans="2:8">
      <c r="B5378" s="17" t="s">
        <v>11321</v>
      </c>
      <c r="C5378" s="246" t="s">
        <v>5526</v>
      </c>
      <c r="D5378" s="18">
        <v>0</v>
      </c>
      <c r="E5378" s="18">
        <v>0</v>
      </c>
      <c r="F5378" s="18">
        <v>0</v>
      </c>
      <c r="G5378" s="18">
        <v>0</v>
      </c>
      <c r="H5378" s="18">
        <v>0</v>
      </c>
    </row>
    <row r="5379" spans="2:8">
      <c r="B5379" s="14" t="s">
        <v>11322</v>
      </c>
      <c r="C5379" s="245" t="s">
        <v>5527</v>
      </c>
      <c r="D5379" s="15">
        <v>0</v>
      </c>
      <c r="E5379" s="15">
        <v>0</v>
      </c>
      <c r="F5379" s="15">
        <v>0</v>
      </c>
      <c r="G5379" s="15">
        <v>0</v>
      </c>
      <c r="H5379" s="15">
        <v>0</v>
      </c>
    </row>
    <row r="5380" spans="2:8">
      <c r="B5380" s="17" t="s">
        <v>11323</v>
      </c>
      <c r="C5380" s="246" t="s">
        <v>5528</v>
      </c>
      <c r="D5380" s="18">
        <v>0</v>
      </c>
      <c r="E5380" s="18">
        <v>0</v>
      </c>
      <c r="F5380" s="18">
        <v>0</v>
      </c>
      <c r="G5380" s="18">
        <v>0</v>
      </c>
      <c r="H5380" s="18">
        <v>0</v>
      </c>
    </row>
    <row r="5381" spans="2:8">
      <c r="B5381" s="14" t="s">
        <v>11324</v>
      </c>
      <c r="C5381" s="245" t="s">
        <v>5529</v>
      </c>
      <c r="D5381" s="15">
        <v>0</v>
      </c>
      <c r="E5381" s="15">
        <v>0</v>
      </c>
      <c r="F5381" s="15">
        <v>0</v>
      </c>
      <c r="G5381" s="15">
        <v>0</v>
      </c>
      <c r="H5381" s="15">
        <v>0</v>
      </c>
    </row>
    <row r="5382" spans="2:8">
      <c r="B5382" s="17" t="s">
        <v>11325</v>
      </c>
      <c r="C5382" s="246" t="s">
        <v>5530</v>
      </c>
      <c r="D5382" s="18">
        <v>0</v>
      </c>
      <c r="E5382" s="18">
        <v>0</v>
      </c>
      <c r="F5382" s="18">
        <v>0</v>
      </c>
      <c r="G5382" s="18">
        <v>0</v>
      </c>
      <c r="H5382" s="18">
        <v>0</v>
      </c>
    </row>
    <row r="5383" spans="2:8">
      <c r="B5383" s="14" t="s">
        <v>11326</v>
      </c>
      <c r="C5383" s="245" t="s">
        <v>5531</v>
      </c>
      <c r="D5383" s="15">
        <v>0</v>
      </c>
      <c r="E5383" s="15">
        <v>0</v>
      </c>
      <c r="F5383" s="15">
        <v>0</v>
      </c>
      <c r="G5383" s="15">
        <v>0</v>
      </c>
      <c r="H5383" s="15">
        <v>0</v>
      </c>
    </row>
    <row r="5384" spans="2:8">
      <c r="B5384" s="17" t="s">
        <v>11327</v>
      </c>
      <c r="C5384" s="246" t="s">
        <v>5532</v>
      </c>
      <c r="D5384" s="18">
        <v>0</v>
      </c>
      <c r="E5384" s="18">
        <v>0</v>
      </c>
      <c r="F5384" s="18">
        <v>0</v>
      </c>
      <c r="G5384" s="18">
        <v>0</v>
      </c>
      <c r="H5384" s="18">
        <v>0</v>
      </c>
    </row>
    <row r="5385" spans="2:8">
      <c r="B5385" s="14" t="s">
        <v>11328</v>
      </c>
      <c r="C5385" s="245" t="s">
        <v>5533</v>
      </c>
      <c r="D5385" s="15">
        <v>0</v>
      </c>
      <c r="E5385" s="15">
        <v>0</v>
      </c>
      <c r="F5385" s="15">
        <v>0</v>
      </c>
      <c r="G5385" s="15">
        <v>122</v>
      </c>
      <c r="H5385" s="15">
        <v>0</v>
      </c>
    </row>
    <row r="5386" spans="2:8">
      <c r="B5386" s="17" t="s">
        <v>11329</v>
      </c>
      <c r="C5386" s="246" t="s">
        <v>5534</v>
      </c>
      <c r="D5386" s="18">
        <v>0</v>
      </c>
      <c r="E5386" s="18">
        <v>0</v>
      </c>
      <c r="F5386" s="18">
        <v>0</v>
      </c>
      <c r="G5386" s="18">
        <v>0</v>
      </c>
      <c r="H5386" s="18">
        <v>0</v>
      </c>
    </row>
    <row r="5387" spans="2:8">
      <c r="B5387" s="14" t="s">
        <v>11330</v>
      </c>
      <c r="C5387" s="245" t="s">
        <v>5535</v>
      </c>
      <c r="D5387" s="15">
        <v>0</v>
      </c>
      <c r="E5387" s="15">
        <v>0</v>
      </c>
      <c r="F5387" s="15">
        <v>0</v>
      </c>
      <c r="G5387" s="15">
        <v>0</v>
      </c>
      <c r="H5387" s="15">
        <v>0</v>
      </c>
    </row>
    <row r="5388" spans="2:8">
      <c r="B5388" s="17" t="s">
        <v>11331</v>
      </c>
      <c r="C5388" s="246" t="s">
        <v>5536</v>
      </c>
      <c r="D5388" s="18">
        <v>0</v>
      </c>
      <c r="E5388" s="18">
        <v>0</v>
      </c>
      <c r="F5388" s="18">
        <v>0</v>
      </c>
      <c r="G5388" s="18">
        <v>0</v>
      </c>
      <c r="H5388" s="18">
        <v>0</v>
      </c>
    </row>
    <row r="5389" spans="2:8">
      <c r="B5389" s="14" t="s">
        <v>11332</v>
      </c>
      <c r="C5389" s="245" t="s">
        <v>5537</v>
      </c>
      <c r="D5389" s="15">
        <v>0</v>
      </c>
      <c r="E5389" s="15">
        <v>0</v>
      </c>
      <c r="F5389" s="15">
        <v>0</v>
      </c>
      <c r="G5389" s="15">
        <v>0</v>
      </c>
      <c r="H5389" s="15">
        <v>0</v>
      </c>
    </row>
    <row r="5390" spans="2:8">
      <c r="B5390" s="17" t="s">
        <v>11333</v>
      </c>
      <c r="C5390" s="246" t="s">
        <v>5538</v>
      </c>
      <c r="D5390" s="18">
        <v>0</v>
      </c>
      <c r="E5390" s="18">
        <v>0</v>
      </c>
      <c r="F5390" s="18">
        <v>0</v>
      </c>
      <c r="G5390" s="18">
        <v>0</v>
      </c>
      <c r="H5390" s="18">
        <v>0</v>
      </c>
    </row>
    <row r="5391" spans="2:8">
      <c r="B5391" s="14" t="s">
        <v>11334</v>
      </c>
      <c r="C5391" s="245" t="s">
        <v>5539</v>
      </c>
      <c r="D5391" s="15">
        <v>0</v>
      </c>
      <c r="E5391" s="15">
        <v>0</v>
      </c>
      <c r="F5391" s="15">
        <v>0</v>
      </c>
      <c r="G5391" s="15">
        <v>0</v>
      </c>
      <c r="H5391" s="15">
        <v>0</v>
      </c>
    </row>
    <row r="5392" spans="2:8">
      <c r="B5392" s="17" t="s">
        <v>11335</v>
      </c>
      <c r="C5392" s="246" t="s">
        <v>5540</v>
      </c>
      <c r="D5392" s="18">
        <v>0</v>
      </c>
      <c r="E5392" s="18">
        <v>0</v>
      </c>
      <c r="F5392" s="18">
        <v>0</v>
      </c>
      <c r="G5392" s="18">
        <v>0</v>
      </c>
      <c r="H5392" s="18">
        <v>0</v>
      </c>
    </row>
    <row r="5393" spans="2:8">
      <c r="B5393" s="14" t="s">
        <v>11336</v>
      </c>
      <c r="C5393" s="245" t="s">
        <v>5541</v>
      </c>
      <c r="D5393" s="15">
        <v>0</v>
      </c>
      <c r="E5393" s="15">
        <v>0</v>
      </c>
      <c r="F5393" s="15">
        <v>0</v>
      </c>
      <c r="G5393" s="15">
        <v>0</v>
      </c>
      <c r="H5393" s="15">
        <v>0</v>
      </c>
    </row>
    <row r="5394" spans="2:8">
      <c r="B5394" s="17" t="s">
        <v>11337</v>
      </c>
      <c r="C5394" s="246" t="s">
        <v>5542</v>
      </c>
      <c r="D5394" s="18">
        <v>0</v>
      </c>
      <c r="E5394" s="18">
        <v>0</v>
      </c>
      <c r="F5394" s="18">
        <v>0</v>
      </c>
      <c r="G5394" s="18">
        <v>0</v>
      </c>
      <c r="H5394" s="18">
        <v>0</v>
      </c>
    </row>
    <row r="5395" spans="2:8">
      <c r="B5395" s="14" t="s">
        <v>11338</v>
      </c>
      <c r="C5395" s="245" t="s">
        <v>5543</v>
      </c>
      <c r="D5395" s="15">
        <v>0</v>
      </c>
      <c r="E5395" s="15">
        <v>0</v>
      </c>
      <c r="F5395" s="15">
        <v>0</v>
      </c>
      <c r="G5395" s="15">
        <v>0</v>
      </c>
      <c r="H5395" s="15">
        <v>0</v>
      </c>
    </row>
    <row r="5396" spans="2:8">
      <c r="B5396" s="17" t="s">
        <v>11339</v>
      </c>
      <c r="C5396" s="246" t="s">
        <v>5544</v>
      </c>
      <c r="D5396" s="18">
        <v>0</v>
      </c>
      <c r="E5396" s="18">
        <v>0</v>
      </c>
      <c r="F5396" s="18">
        <v>0</v>
      </c>
      <c r="G5396" s="18">
        <v>0</v>
      </c>
      <c r="H5396" s="18">
        <v>0</v>
      </c>
    </row>
    <row r="5397" spans="2:8">
      <c r="B5397" s="14" t="s">
        <v>11340</v>
      </c>
      <c r="C5397" s="245" t="s">
        <v>5545</v>
      </c>
      <c r="D5397" s="15">
        <v>5</v>
      </c>
      <c r="E5397" s="15">
        <v>244</v>
      </c>
      <c r="F5397" s="15">
        <v>0</v>
      </c>
      <c r="G5397" s="15">
        <v>0</v>
      </c>
      <c r="H5397" s="15">
        <v>0</v>
      </c>
    </row>
    <row r="5398" spans="2:8">
      <c r="B5398" s="17" t="s">
        <v>11341</v>
      </c>
      <c r="C5398" s="246" t="s">
        <v>5546</v>
      </c>
      <c r="D5398" s="18">
        <v>0</v>
      </c>
      <c r="E5398" s="18">
        <v>0</v>
      </c>
      <c r="F5398" s="18">
        <v>0</v>
      </c>
      <c r="G5398" s="18">
        <v>0</v>
      </c>
      <c r="H5398" s="18">
        <v>0</v>
      </c>
    </row>
    <row r="5399" spans="2:8">
      <c r="B5399" s="14" t="s">
        <v>11342</v>
      </c>
      <c r="C5399" s="245" t="s">
        <v>5547</v>
      </c>
      <c r="D5399" s="15">
        <v>0</v>
      </c>
      <c r="E5399" s="15">
        <v>0</v>
      </c>
      <c r="F5399" s="15">
        <v>0</v>
      </c>
      <c r="G5399" s="15">
        <v>0</v>
      </c>
      <c r="H5399" s="15">
        <v>0</v>
      </c>
    </row>
    <row r="5400" spans="2:8">
      <c r="B5400" s="17" t="s">
        <v>11343</v>
      </c>
      <c r="C5400" s="246" t="s">
        <v>5548</v>
      </c>
      <c r="D5400" s="18">
        <v>0</v>
      </c>
      <c r="E5400" s="18">
        <v>0</v>
      </c>
      <c r="F5400" s="18">
        <v>0</v>
      </c>
      <c r="G5400" s="18">
        <v>0</v>
      </c>
      <c r="H5400" s="18">
        <v>0</v>
      </c>
    </row>
    <row r="5401" spans="2:8">
      <c r="B5401" s="14" t="s">
        <v>11344</v>
      </c>
      <c r="C5401" s="245" t="s">
        <v>5549</v>
      </c>
      <c r="D5401" s="15">
        <v>0</v>
      </c>
      <c r="E5401" s="15">
        <v>0</v>
      </c>
      <c r="F5401" s="15">
        <v>0</v>
      </c>
      <c r="G5401" s="15">
        <v>0</v>
      </c>
      <c r="H5401" s="15">
        <v>0</v>
      </c>
    </row>
    <row r="5402" spans="2:8">
      <c r="B5402" s="17" t="s">
        <v>11345</v>
      </c>
      <c r="C5402" s="246" t="s">
        <v>5550</v>
      </c>
      <c r="D5402" s="18">
        <v>0</v>
      </c>
      <c r="E5402" s="18">
        <v>0</v>
      </c>
      <c r="F5402" s="18">
        <v>0</v>
      </c>
      <c r="G5402" s="18">
        <v>0</v>
      </c>
      <c r="H5402" s="18">
        <v>0</v>
      </c>
    </row>
    <row r="5403" spans="2:8">
      <c r="B5403" s="14" t="s">
        <v>11346</v>
      </c>
      <c r="C5403" s="245" t="s">
        <v>5551</v>
      </c>
      <c r="D5403" s="15">
        <v>0</v>
      </c>
      <c r="E5403" s="15">
        <v>0</v>
      </c>
      <c r="F5403" s="15">
        <v>0</v>
      </c>
      <c r="G5403" s="15">
        <v>0</v>
      </c>
      <c r="H5403" s="15">
        <v>0</v>
      </c>
    </row>
    <row r="5404" spans="2:8">
      <c r="B5404" s="17" t="s">
        <v>11347</v>
      </c>
      <c r="C5404" s="246" t="s">
        <v>5552</v>
      </c>
      <c r="D5404" s="18">
        <v>0</v>
      </c>
      <c r="E5404" s="18">
        <v>0</v>
      </c>
      <c r="F5404" s="18">
        <v>0</v>
      </c>
      <c r="G5404" s="18">
        <v>0</v>
      </c>
      <c r="H5404" s="18">
        <v>0</v>
      </c>
    </row>
    <row r="5405" spans="2:8">
      <c r="B5405" s="14" t="s">
        <v>11348</v>
      </c>
      <c r="C5405" s="245" t="s">
        <v>5553</v>
      </c>
      <c r="D5405" s="15">
        <v>0</v>
      </c>
      <c r="E5405" s="15">
        <v>0</v>
      </c>
      <c r="F5405" s="15">
        <v>0</v>
      </c>
      <c r="G5405" s="15">
        <v>0</v>
      </c>
      <c r="H5405" s="15">
        <v>0</v>
      </c>
    </row>
    <row r="5406" spans="2:8">
      <c r="B5406" s="17" t="s">
        <v>11349</v>
      </c>
      <c r="C5406" s="246" t="s">
        <v>5554</v>
      </c>
      <c r="D5406" s="18">
        <v>0</v>
      </c>
      <c r="E5406" s="18">
        <v>0</v>
      </c>
      <c r="F5406" s="18">
        <v>0</v>
      </c>
      <c r="G5406" s="18">
        <v>9</v>
      </c>
      <c r="H5406" s="18">
        <v>0</v>
      </c>
    </row>
    <row r="5407" spans="2:8">
      <c r="B5407" s="14" t="s">
        <v>11350</v>
      </c>
      <c r="C5407" s="245" t="s">
        <v>5555</v>
      </c>
      <c r="D5407" s="15">
        <v>0</v>
      </c>
      <c r="E5407" s="15">
        <v>0</v>
      </c>
      <c r="F5407" s="15">
        <v>0</v>
      </c>
      <c r="G5407" s="15">
        <v>0</v>
      </c>
      <c r="H5407" s="15">
        <v>0</v>
      </c>
    </row>
    <row r="5408" spans="2:8">
      <c r="B5408" s="17" t="s">
        <v>11351</v>
      </c>
      <c r="C5408" s="246" t="s">
        <v>5556</v>
      </c>
      <c r="D5408" s="18">
        <v>0</v>
      </c>
      <c r="E5408" s="18">
        <v>0</v>
      </c>
      <c r="F5408" s="18">
        <v>0</v>
      </c>
      <c r="G5408" s="18">
        <v>0</v>
      </c>
      <c r="H5408" s="18">
        <v>0</v>
      </c>
    </row>
    <row r="5409" spans="2:8">
      <c r="B5409" s="14" t="s">
        <v>11352</v>
      </c>
      <c r="C5409" s="245" t="s">
        <v>5557</v>
      </c>
      <c r="D5409" s="15">
        <v>0</v>
      </c>
      <c r="E5409" s="15">
        <v>0</v>
      </c>
      <c r="F5409" s="15">
        <v>0</v>
      </c>
      <c r="G5409" s="15">
        <v>0</v>
      </c>
      <c r="H5409" s="15">
        <v>0</v>
      </c>
    </row>
    <row r="5410" spans="2:8">
      <c r="B5410" s="17" t="s">
        <v>11353</v>
      </c>
      <c r="C5410" s="246" t="s">
        <v>5558</v>
      </c>
      <c r="D5410" s="18">
        <v>0</v>
      </c>
      <c r="E5410" s="18">
        <v>0</v>
      </c>
      <c r="F5410" s="18">
        <v>0</v>
      </c>
      <c r="G5410" s="18">
        <v>0</v>
      </c>
      <c r="H5410" s="18">
        <v>0</v>
      </c>
    </row>
    <row r="5411" spans="2:8">
      <c r="B5411" s="14" t="s">
        <v>11354</v>
      </c>
      <c r="C5411" s="245" t="s">
        <v>1166</v>
      </c>
      <c r="D5411" s="15">
        <v>0</v>
      </c>
      <c r="E5411" s="15">
        <v>0</v>
      </c>
      <c r="F5411" s="15">
        <v>0</v>
      </c>
      <c r="G5411" s="15">
        <v>0</v>
      </c>
      <c r="H5411" s="15">
        <v>0</v>
      </c>
    </row>
    <row r="5412" spans="2:8">
      <c r="B5412" s="17" t="s">
        <v>11355</v>
      </c>
      <c r="C5412" s="246" t="s">
        <v>5559</v>
      </c>
      <c r="D5412" s="18">
        <v>0</v>
      </c>
      <c r="E5412" s="18">
        <v>0</v>
      </c>
      <c r="F5412" s="18">
        <v>0</v>
      </c>
      <c r="G5412" s="18">
        <v>0</v>
      </c>
      <c r="H5412" s="18">
        <v>0</v>
      </c>
    </row>
    <row r="5413" spans="2:8">
      <c r="B5413" s="14" t="s">
        <v>11356</v>
      </c>
      <c r="C5413" s="245" t="s">
        <v>5560</v>
      </c>
      <c r="D5413" s="15">
        <v>0</v>
      </c>
      <c r="E5413" s="15">
        <v>0</v>
      </c>
      <c r="F5413" s="15">
        <v>0</v>
      </c>
      <c r="G5413" s="15">
        <v>0</v>
      </c>
      <c r="H5413" s="15">
        <v>0</v>
      </c>
    </row>
    <row r="5414" spans="2:8">
      <c r="B5414" s="17" t="s">
        <v>11357</v>
      </c>
      <c r="C5414" s="246" t="s">
        <v>5561</v>
      </c>
      <c r="D5414" s="18">
        <v>0</v>
      </c>
      <c r="E5414" s="18">
        <v>0</v>
      </c>
      <c r="F5414" s="18">
        <v>0</v>
      </c>
      <c r="G5414" s="18">
        <v>0</v>
      </c>
      <c r="H5414" s="18">
        <v>0</v>
      </c>
    </row>
    <row r="5415" spans="2:8">
      <c r="B5415" s="14" t="s">
        <v>11358</v>
      </c>
      <c r="C5415" s="245" t="s">
        <v>5562</v>
      </c>
      <c r="D5415" s="15">
        <v>0</v>
      </c>
      <c r="E5415" s="15">
        <v>0</v>
      </c>
      <c r="F5415" s="15">
        <v>0</v>
      </c>
      <c r="G5415" s="15">
        <v>0</v>
      </c>
      <c r="H5415" s="15">
        <v>0</v>
      </c>
    </row>
    <row r="5416" spans="2:8">
      <c r="B5416" s="17" t="s">
        <v>11359</v>
      </c>
      <c r="C5416" s="246" t="s">
        <v>5563</v>
      </c>
      <c r="D5416" s="18">
        <v>0</v>
      </c>
      <c r="E5416" s="18">
        <v>0</v>
      </c>
      <c r="F5416" s="18">
        <v>0</v>
      </c>
      <c r="G5416" s="18">
        <v>0</v>
      </c>
      <c r="H5416" s="18">
        <v>0</v>
      </c>
    </row>
    <row r="5417" spans="2:8">
      <c r="B5417" s="14" t="s">
        <v>11360</v>
      </c>
      <c r="C5417" s="245" t="s">
        <v>5564</v>
      </c>
      <c r="D5417" s="15">
        <v>0</v>
      </c>
      <c r="E5417" s="15">
        <v>0</v>
      </c>
      <c r="F5417" s="15">
        <v>0</v>
      </c>
      <c r="G5417" s="15">
        <v>0</v>
      </c>
      <c r="H5417" s="15">
        <v>0</v>
      </c>
    </row>
    <row r="5418" spans="2:8">
      <c r="B5418" s="17" t="s">
        <v>11361</v>
      </c>
      <c r="C5418" s="246" t="s">
        <v>5565</v>
      </c>
      <c r="D5418" s="18">
        <v>0</v>
      </c>
      <c r="E5418" s="18">
        <v>0</v>
      </c>
      <c r="F5418" s="18">
        <v>0</v>
      </c>
      <c r="G5418" s="18">
        <v>0</v>
      </c>
      <c r="H5418" s="18">
        <v>0</v>
      </c>
    </row>
    <row r="5419" spans="2:8">
      <c r="B5419" s="14" t="s">
        <v>11362</v>
      </c>
      <c r="C5419" s="245" t="s">
        <v>5566</v>
      </c>
      <c r="D5419" s="15">
        <v>0</v>
      </c>
      <c r="E5419" s="15">
        <v>0</v>
      </c>
      <c r="F5419" s="15">
        <v>0</v>
      </c>
      <c r="G5419" s="15">
        <v>45</v>
      </c>
      <c r="H5419" s="15">
        <v>0</v>
      </c>
    </row>
    <row r="5420" spans="2:8">
      <c r="B5420" s="17" t="s">
        <v>11363</v>
      </c>
      <c r="C5420" s="246" t="s">
        <v>5567</v>
      </c>
      <c r="D5420" s="18">
        <v>0</v>
      </c>
      <c r="E5420" s="18">
        <v>0</v>
      </c>
      <c r="F5420" s="18">
        <v>0</v>
      </c>
      <c r="G5420" s="18">
        <v>0</v>
      </c>
      <c r="H5420" s="18">
        <v>0</v>
      </c>
    </row>
    <row r="5421" spans="2:8">
      <c r="B5421" s="14" t="s">
        <v>11364</v>
      </c>
      <c r="C5421" s="245" t="s">
        <v>5568</v>
      </c>
      <c r="D5421" s="15">
        <v>0</v>
      </c>
      <c r="E5421" s="15">
        <v>0</v>
      </c>
      <c r="F5421" s="15">
        <v>0</v>
      </c>
      <c r="G5421" s="15">
        <v>0</v>
      </c>
      <c r="H5421" s="15">
        <v>0</v>
      </c>
    </row>
    <row r="5422" spans="2:8">
      <c r="B5422" s="17" t="s">
        <v>11365</v>
      </c>
      <c r="C5422" s="246" t="s">
        <v>3961</v>
      </c>
      <c r="D5422" s="18">
        <v>0</v>
      </c>
      <c r="E5422" s="18">
        <v>0</v>
      </c>
      <c r="F5422" s="18">
        <v>0</v>
      </c>
      <c r="G5422" s="18">
        <v>0</v>
      </c>
      <c r="H5422" s="18">
        <v>0</v>
      </c>
    </row>
    <row r="5423" spans="2:8">
      <c r="B5423" s="14" t="s">
        <v>11366</v>
      </c>
      <c r="C5423" s="245" t="s">
        <v>5569</v>
      </c>
      <c r="D5423" s="15">
        <v>0</v>
      </c>
      <c r="E5423" s="15">
        <v>0</v>
      </c>
      <c r="F5423" s="15">
        <v>0</v>
      </c>
      <c r="G5423" s="15">
        <v>0</v>
      </c>
      <c r="H5423" s="15">
        <v>0</v>
      </c>
    </row>
    <row r="5424" spans="2:8">
      <c r="B5424" s="17" t="s">
        <v>11367</v>
      </c>
      <c r="C5424" s="246" t="s">
        <v>2301</v>
      </c>
      <c r="D5424" s="18">
        <v>22</v>
      </c>
      <c r="E5424" s="18">
        <v>12</v>
      </c>
      <c r="F5424" s="18">
        <v>0</v>
      </c>
      <c r="G5424" s="18">
        <v>6</v>
      </c>
      <c r="H5424" s="18">
        <v>0</v>
      </c>
    </row>
    <row r="5425" spans="2:8">
      <c r="B5425" s="14" t="s">
        <v>11368</v>
      </c>
      <c r="C5425" s="245" t="s">
        <v>5570</v>
      </c>
      <c r="D5425" s="15">
        <v>0</v>
      </c>
      <c r="E5425" s="15">
        <v>0</v>
      </c>
      <c r="F5425" s="15">
        <v>0</v>
      </c>
      <c r="G5425" s="15">
        <v>0</v>
      </c>
      <c r="H5425" s="15">
        <v>0</v>
      </c>
    </row>
    <row r="5426" spans="2:8">
      <c r="B5426" s="17" t="s">
        <v>11369</v>
      </c>
      <c r="C5426" s="246" t="s">
        <v>5571</v>
      </c>
      <c r="D5426" s="18">
        <v>0</v>
      </c>
      <c r="E5426" s="18">
        <v>0</v>
      </c>
      <c r="F5426" s="18">
        <v>0</v>
      </c>
      <c r="G5426" s="18">
        <v>0</v>
      </c>
      <c r="H5426" s="18">
        <v>0</v>
      </c>
    </row>
    <row r="5427" spans="2:8">
      <c r="B5427" s="14" t="s">
        <v>11370</v>
      </c>
      <c r="C5427" s="245" t="s">
        <v>5572</v>
      </c>
      <c r="D5427" s="15">
        <v>0</v>
      </c>
      <c r="E5427" s="15">
        <v>0</v>
      </c>
      <c r="F5427" s="15">
        <v>0</v>
      </c>
      <c r="G5427" s="15">
        <v>0</v>
      </c>
      <c r="H5427" s="15">
        <v>0</v>
      </c>
    </row>
    <row r="5428" spans="2:8">
      <c r="B5428" s="17" t="s">
        <v>11371</v>
      </c>
      <c r="C5428" s="246" t="s">
        <v>5573</v>
      </c>
      <c r="D5428" s="18">
        <v>0</v>
      </c>
      <c r="E5428" s="18">
        <v>0</v>
      </c>
      <c r="F5428" s="18">
        <v>0</v>
      </c>
      <c r="G5428" s="18">
        <v>0</v>
      </c>
      <c r="H5428" s="18">
        <v>0</v>
      </c>
    </row>
    <row r="5429" spans="2:8">
      <c r="B5429" s="14" t="s">
        <v>11372</v>
      </c>
      <c r="C5429" s="245" t="s">
        <v>5574</v>
      </c>
      <c r="D5429" s="15">
        <v>0</v>
      </c>
      <c r="E5429" s="15">
        <v>0</v>
      </c>
      <c r="F5429" s="15">
        <v>0</v>
      </c>
      <c r="G5429" s="15">
        <v>0</v>
      </c>
      <c r="H5429" s="15">
        <v>0</v>
      </c>
    </row>
    <row r="5430" spans="2:8">
      <c r="B5430" s="17" t="s">
        <v>11373</v>
      </c>
      <c r="C5430" s="246" t="s">
        <v>5575</v>
      </c>
      <c r="D5430" s="18">
        <v>0</v>
      </c>
      <c r="E5430" s="18">
        <v>0</v>
      </c>
      <c r="F5430" s="18">
        <v>0</v>
      </c>
      <c r="G5430" s="18">
        <v>0</v>
      </c>
      <c r="H5430" s="18">
        <v>0</v>
      </c>
    </row>
    <row r="5431" spans="2:8">
      <c r="B5431" s="14" t="s">
        <v>11374</v>
      </c>
      <c r="C5431" s="245" t="s">
        <v>2956</v>
      </c>
      <c r="D5431" s="15">
        <v>0</v>
      </c>
      <c r="E5431" s="15">
        <v>0</v>
      </c>
      <c r="F5431" s="15">
        <v>0</v>
      </c>
      <c r="G5431" s="15">
        <v>0</v>
      </c>
      <c r="H5431" s="15">
        <v>0</v>
      </c>
    </row>
    <row r="5432" spans="2:8">
      <c r="B5432" s="17" t="s">
        <v>11375</v>
      </c>
      <c r="C5432" s="246" t="s">
        <v>2143</v>
      </c>
      <c r="D5432" s="18">
        <v>0</v>
      </c>
      <c r="E5432" s="18">
        <v>0</v>
      </c>
      <c r="F5432" s="18">
        <v>0</v>
      </c>
      <c r="G5432" s="18">
        <v>0</v>
      </c>
      <c r="H5432" s="18">
        <v>0</v>
      </c>
    </row>
    <row r="5433" spans="2:8">
      <c r="B5433" s="14" t="s">
        <v>11376</v>
      </c>
      <c r="C5433" s="245" t="s">
        <v>5576</v>
      </c>
      <c r="D5433" s="15">
        <v>0</v>
      </c>
      <c r="E5433" s="15">
        <v>0</v>
      </c>
      <c r="F5433" s="15">
        <v>0</v>
      </c>
      <c r="G5433" s="15">
        <v>0</v>
      </c>
      <c r="H5433" s="15">
        <v>0</v>
      </c>
    </row>
    <row r="5434" spans="2:8">
      <c r="B5434" s="17" t="s">
        <v>11377</v>
      </c>
      <c r="C5434" s="246" t="s">
        <v>5577</v>
      </c>
      <c r="D5434" s="18">
        <v>0</v>
      </c>
      <c r="E5434" s="18">
        <v>0</v>
      </c>
      <c r="F5434" s="18">
        <v>0</v>
      </c>
      <c r="G5434" s="18">
        <v>0</v>
      </c>
      <c r="H5434" s="18">
        <v>0</v>
      </c>
    </row>
    <row r="5435" spans="2:8">
      <c r="B5435" s="14" t="s">
        <v>11378</v>
      </c>
      <c r="C5435" s="245" t="s">
        <v>5578</v>
      </c>
      <c r="D5435" s="15">
        <v>0</v>
      </c>
      <c r="E5435" s="15">
        <v>0</v>
      </c>
      <c r="F5435" s="15">
        <v>0</v>
      </c>
      <c r="G5435" s="15">
        <v>0</v>
      </c>
      <c r="H5435" s="15">
        <v>0</v>
      </c>
    </row>
    <row r="5436" spans="2:8">
      <c r="B5436" s="17" t="s">
        <v>11379</v>
      </c>
      <c r="C5436" s="246" t="s">
        <v>5579</v>
      </c>
      <c r="D5436" s="18">
        <v>0</v>
      </c>
      <c r="E5436" s="18">
        <v>0</v>
      </c>
      <c r="F5436" s="18">
        <v>0</v>
      </c>
      <c r="G5436" s="18">
        <v>0</v>
      </c>
      <c r="H5436" s="18">
        <v>0</v>
      </c>
    </row>
    <row r="5437" spans="2:8">
      <c r="B5437" s="14" t="s">
        <v>11380</v>
      </c>
      <c r="C5437" s="245" t="s">
        <v>2149</v>
      </c>
      <c r="D5437" s="15">
        <v>0</v>
      </c>
      <c r="E5437" s="15">
        <v>0</v>
      </c>
      <c r="F5437" s="15">
        <v>0</v>
      </c>
      <c r="G5437" s="15">
        <v>0</v>
      </c>
      <c r="H5437" s="15">
        <v>0</v>
      </c>
    </row>
    <row r="5438" spans="2:8">
      <c r="B5438" s="17" t="s">
        <v>11381</v>
      </c>
      <c r="C5438" s="246" t="s">
        <v>2149</v>
      </c>
      <c r="D5438" s="18">
        <v>0</v>
      </c>
      <c r="E5438" s="18">
        <v>0</v>
      </c>
      <c r="F5438" s="18">
        <v>0</v>
      </c>
      <c r="G5438" s="18">
        <v>0</v>
      </c>
      <c r="H5438" s="18">
        <v>0</v>
      </c>
    </row>
    <row r="5439" spans="2:8">
      <c r="B5439" s="14" t="s">
        <v>11382</v>
      </c>
      <c r="C5439" s="245" t="s">
        <v>2802</v>
      </c>
      <c r="D5439" s="15">
        <v>0</v>
      </c>
      <c r="E5439" s="15">
        <v>0</v>
      </c>
      <c r="F5439" s="15">
        <v>0</v>
      </c>
      <c r="G5439" s="15">
        <v>0</v>
      </c>
      <c r="H5439" s="15">
        <v>0</v>
      </c>
    </row>
    <row r="5440" spans="2:8">
      <c r="B5440" s="17" t="s">
        <v>11383</v>
      </c>
      <c r="C5440" s="246" t="s">
        <v>2802</v>
      </c>
      <c r="D5440" s="18">
        <v>0</v>
      </c>
      <c r="E5440" s="18">
        <v>0</v>
      </c>
      <c r="F5440" s="18">
        <v>0</v>
      </c>
      <c r="G5440" s="18">
        <v>0</v>
      </c>
      <c r="H5440" s="18">
        <v>0</v>
      </c>
    </row>
    <row r="5441" spans="2:8">
      <c r="B5441" s="14" t="s">
        <v>11384</v>
      </c>
      <c r="C5441" s="245" t="s">
        <v>5580</v>
      </c>
      <c r="D5441" s="15">
        <v>0</v>
      </c>
      <c r="E5441" s="15">
        <v>0</v>
      </c>
      <c r="F5441" s="15">
        <v>0</v>
      </c>
      <c r="G5441" s="15">
        <v>0</v>
      </c>
      <c r="H5441" s="15">
        <v>0</v>
      </c>
    </row>
    <row r="5442" spans="2:8">
      <c r="B5442" s="17" t="s">
        <v>11385</v>
      </c>
      <c r="C5442" s="246" t="s">
        <v>5581</v>
      </c>
      <c r="D5442" s="18">
        <v>0</v>
      </c>
      <c r="E5442" s="18">
        <v>0</v>
      </c>
      <c r="F5442" s="18">
        <v>0</v>
      </c>
      <c r="G5442" s="18">
        <v>0</v>
      </c>
      <c r="H5442" s="18">
        <v>0</v>
      </c>
    </row>
    <row r="5443" spans="2:8">
      <c r="B5443" s="14" t="s">
        <v>11386</v>
      </c>
      <c r="C5443" s="245" t="s">
        <v>5582</v>
      </c>
      <c r="D5443" s="15">
        <v>0</v>
      </c>
      <c r="E5443" s="15">
        <v>0</v>
      </c>
      <c r="F5443" s="15">
        <v>0</v>
      </c>
      <c r="G5443" s="15">
        <v>0</v>
      </c>
      <c r="H5443" s="15">
        <v>0</v>
      </c>
    </row>
    <row r="5444" spans="2:8">
      <c r="B5444" s="17" t="s">
        <v>11387</v>
      </c>
      <c r="C5444" s="246" t="s">
        <v>5583</v>
      </c>
      <c r="D5444" s="18">
        <v>0</v>
      </c>
      <c r="E5444" s="18">
        <v>0</v>
      </c>
      <c r="F5444" s="18">
        <v>0</v>
      </c>
      <c r="G5444" s="18">
        <v>0</v>
      </c>
      <c r="H5444" s="18">
        <v>0</v>
      </c>
    </row>
    <row r="5445" spans="2:8">
      <c r="B5445" s="14" t="s">
        <v>11388</v>
      </c>
      <c r="C5445" s="245" t="s">
        <v>5584</v>
      </c>
      <c r="D5445" s="15">
        <v>0</v>
      </c>
      <c r="E5445" s="15">
        <v>0</v>
      </c>
      <c r="F5445" s="15">
        <v>0</v>
      </c>
      <c r="G5445" s="15">
        <v>0</v>
      </c>
      <c r="H5445" s="15">
        <v>0</v>
      </c>
    </row>
    <row r="5446" spans="2:8">
      <c r="B5446" s="17" t="s">
        <v>11389</v>
      </c>
      <c r="C5446" s="246" t="s">
        <v>5585</v>
      </c>
      <c r="D5446" s="18">
        <v>0</v>
      </c>
      <c r="E5446" s="18">
        <v>0</v>
      </c>
      <c r="F5446" s="18">
        <v>0</v>
      </c>
      <c r="G5446" s="18">
        <v>0</v>
      </c>
      <c r="H5446" s="18">
        <v>0</v>
      </c>
    </row>
    <row r="5447" spans="2:8">
      <c r="B5447" s="14" t="s">
        <v>11390</v>
      </c>
      <c r="C5447" s="245" t="s">
        <v>5586</v>
      </c>
      <c r="D5447" s="15">
        <v>15</v>
      </c>
      <c r="E5447" s="15">
        <v>0</v>
      </c>
      <c r="F5447" s="15">
        <v>0</v>
      </c>
      <c r="G5447" s="15">
        <v>0</v>
      </c>
      <c r="H5447" s="15">
        <v>0</v>
      </c>
    </row>
    <row r="5448" spans="2:8">
      <c r="B5448" s="17" t="s">
        <v>11391</v>
      </c>
      <c r="C5448" s="246" t="s">
        <v>5587</v>
      </c>
      <c r="D5448" s="18">
        <v>0</v>
      </c>
      <c r="E5448" s="18">
        <v>0</v>
      </c>
      <c r="F5448" s="18">
        <v>0</v>
      </c>
      <c r="G5448" s="18">
        <v>0</v>
      </c>
      <c r="H5448" s="18">
        <v>0</v>
      </c>
    </row>
    <row r="5449" spans="2:8">
      <c r="B5449" s="14" t="s">
        <v>11392</v>
      </c>
      <c r="C5449" s="245" t="s">
        <v>5588</v>
      </c>
      <c r="D5449" s="15">
        <v>0</v>
      </c>
      <c r="E5449" s="15">
        <v>0</v>
      </c>
      <c r="F5449" s="15">
        <v>0</v>
      </c>
      <c r="G5449" s="15">
        <v>0</v>
      </c>
      <c r="H5449" s="15">
        <v>0</v>
      </c>
    </row>
    <row r="5450" spans="2:8">
      <c r="B5450" s="17" t="s">
        <v>11393</v>
      </c>
      <c r="C5450" s="246" t="s">
        <v>5589</v>
      </c>
      <c r="D5450" s="18">
        <v>0</v>
      </c>
      <c r="E5450" s="18">
        <v>0</v>
      </c>
      <c r="F5450" s="18">
        <v>0</v>
      </c>
      <c r="G5450" s="18">
        <v>0</v>
      </c>
      <c r="H5450" s="18">
        <v>0</v>
      </c>
    </row>
    <row r="5451" spans="2:8">
      <c r="B5451" s="14" t="s">
        <v>11394</v>
      </c>
      <c r="C5451" s="245" t="s">
        <v>5590</v>
      </c>
      <c r="D5451" s="15">
        <v>12</v>
      </c>
      <c r="E5451" s="15">
        <v>0</v>
      </c>
      <c r="F5451" s="15">
        <v>0</v>
      </c>
      <c r="G5451" s="15">
        <v>0</v>
      </c>
      <c r="H5451" s="15">
        <v>0</v>
      </c>
    </row>
    <row r="5452" spans="2:8">
      <c r="B5452" s="17" t="s">
        <v>11395</v>
      </c>
      <c r="C5452" s="246" t="s">
        <v>5591</v>
      </c>
      <c r="D5452" s="18">
        <v>22</v>
      </c>
      <c r="E5452" s="18">
        <v>0</v>
      </c>
      <c r="F5452" s="18">
        <v>0</v>
      </c>
      <c r="G5452" s="18">
        <v>0</v>
      </c>
      <c r="H5452" s="18">
        <v>0</v>
      </c>
    </row>
    <row r="5453" spans="2:8">
      <c r="B5453" s="14" t="s">
        <v>11396</v>
      </c>
      <c r="C5453" s="245" t="s">
        <v>5592</v>
      </c>
      <c r="D5453" s="15">
        <v>0</v>
      </c>
      <c r="E5453" s="15">
        <v>0</v>
      </c>
      <c r="F5453" s="15">
        <v>0</v>
      </c>
      <c r="G5453" s="15">
        <v>0</v>
      </c>
      <c r="H5453" s="15">
        <v>0</v>
      </c>
    </row>
    <row r="5454" spans="2:8">
      <c r="B5454" s="17" t="s">
        <v>11397</v>
      </c>
      <c r="C5454" s="246" t="s">
        <v>5593</v>
      </c>
      <c r="D5454" s="18">
        <v>0</v>
      </c>
      <c r="E5454" s="18">
        <v>0</v>
      </c>
      <c r="F5454" s="18">
        <v>0</v>
      </c>
      <c r="G5454" s="18">
        <v>0</v>
      </c>
      <c r="H5454" s="18">
        <v>0</v>
      </c>
    </row>
    <row r="5455" spans="2:8">
      <c r="B5455" s="14" t="s">
        <v>11398</v>
      </c>
      <c r="C5455" s="245" t="s">
        <v>5594</v>
      </c>
      <c r="D5455" s="15">
        <v>0</v>
      </c>
      <c r="E5455" s="15">
        <v>0</v>
      </c>
      <c r="F5455" s="15">
        <v>0</v>
      </c>
      <c r="G5455" s="15">
        <v>0</v>
      </c>
      <c r="H5455" s="15">
        <v>0</v>
      </c>
    </row>
    <row r="5456" spans="2:8">
      <c r="B5456" s="17" t="s">
        <v>11399</v>
      </c>
      <c r="C5456" s="246" t="s">
        <v>5595</v>
      </c>
      <c r="D5456" s="18">
        <v>0</v>
      </c>
      <c r="E5456" s="18">
        <v>0</v>
      </c>
      <c r="F5456" s="18">
        <v>0</v>
      </c>
      <c r="G5456" s="18">
        <v>0</v>
      </c>
      <c r="H5456" s="18">
        <v>0</v>
      </c>
    </row>
    <row r="5457" spans="2:8">
      <c r="B5457" s="14" t="s">
        <v>11400</v>
      </c>
      <c r="C5457" s="245" t="s">
        <v>5596</v>
      </c>
      <c r="D5457" s="15">
        <v>0</v>
      </c>
      <c r="E5457" s="15">
        <v>0</v>
      </c>
      <c r="F5457" s="15">
        <v>0</v>
      </c>
      <c r="G5457" s="15">
        <v>0</v>
      </c>
      <c r="H5457" s="15">
        <v>0</v>
      </c>
    </row>
    <row r="5458" spans="2:8">
      <c r="B5458" s="17" t="s">
        <v>11401</v>
      </c>
      <c r="C5458" s="246" t="s">
        <v>5597</v>
      </c>
      <c r="D5458" s="18">
        <v>0</v>
      </c>
      <c r="E5458" s="18">
        <v>0</v>
      </c>
      <c r="F5458" s="18">
        <v>0</v>
      </c>
      <c r="G5458" s="18">
        <v>0</v>
      </c>
      <c r="H5458" s="18">
        <v>0</v>
      </c>
    </row>
    <row r="5459" spans="2:8">
      <c r="B5459" s="14" t="s">
        <v>11402</v>
      </c>
      <c r="C5459" s="245" t="s">
        <v>5598</v>
      </c>
      <c r="D5459" s="15">
        <v>0</v>
      </c>
      <c r="E5459" s="15">
        <v>0</v>
      </c>
      <c r="F5459" s="15">
        <v>0</v>
      </c>
      <c r="G5459" s="15">
        <v>0</v>
      </c>
      <c r="H5459" s="15">
        <v>0</v>
      </c>
    </row>
    <row r="5460" spans="2:8">
      <c r="B5460" s="17" t="s">
        <v>11403</v>
      </c>
      <c r="C5460" s="246" t="s">
        <v>5599</v>
      </c>
      <c r="D5460" s="18">
        <v>4</v>
      </c>
      <c r="E5460" s="18">
        <v>0</v>
      </c>
      <c r="F5460" s="18">
        <v>0</v>
      </c>
      <c r="G5460" s="18">
        <v>0</v>
      </c>
      <c r="H5460" s="18">
        <v>0</v>
      </c>
    </row>
    <row r="5461" spans="2:8">
      <c r="B5461" s="14" t="s">
        <v>11404</v>
      </c>
      <c r="C5461" s="245" t="s">
        <v>5600</v>
      </c>
      <c r="D5461" s="15">
        <v>0</v>
      </c>
      <c r="E5461" s="15">
        <v>0</v>
      </c>
      <c r="F5461" s="15">
        <v>0</v>
      </c>
      <c r="G5461" s="15">
        <v>0</v>
      </c>
      <c r="H5461" s="15">
        <v>0</v>
      </c>
    </row>
    <row r="5462" spans="2:8">
      <c r="B5462" s="17" t="s">
        <v>11405</v>
      </c>
      <c r="C5462" s="246" t="s">
        <v>5601</v>
      </c>
      <c r="D5462" s="18">
        <v>0</v>
      </c>
      <c r="E5462" s="18">
        <v>0</v>
      </c>
      <c r="F5462" s="18">
        <v>0</v>
      </c>
      <c r="G5462" s="18">
        <v>0</v>
      </c>
      <c r="H5462" s="18">
        <v>0</v>
      </c>
    </row>
    <row r="5463" spans="2:8">
      <c r="B5463" s="14" t="s">
        <v>11406</v>
      </c>
      <c r="C5463" s="245" t="s">
        <v>5602</v>
      </c>
      <c r="D5463" s="15">
        <v>0</v>
      </c>
      <c r="E5463" s="15">
        <v>0</v>
      </c>
      <c r="F5463" s="15">
        <v>0</v>
      </c>
      <c r="G5463" s="15">
        <v>0</v>
      </c>
      <c r="H5463" s="15">
        <v>0</v>
      </c>
    </row>
    <row r="5464" spans="2:8">
      <c r="B5464" s="17" t="s">
        <v>11407</v>
      </c>
      <c r="C5464" s="246" t="s">
        <v>5603</v>
      </c>
      <c r="D5464" s="18">
        <v>0</v>
      </c>
      <c r="E5464" s="18">
        <v>0</v>
      </c>
      <c r="F5464" s="18">
        <v>0</v>
      </c>
      <c r="G5464" s="18">
        <v>0</v>
      </c>
      <c r="H5464" s="18">
        <v>0</v>
      </c>
    </row>
    <row r="5465" spans="2:8">
      <c r="B5465" s="14" t="s">
        <v>11408</v>
      </c>
      <c r="C5465" s="245" t="s">
        <v>5604</v>
      </c>
      <c r="D5465" s="15">
        <v>0</v>
      </c>
      <c r="E5465" s="15">
        <v>0</v>
      </c>
      <c r="F5465" s="15">
        <v>0</v>
      </c>
      <c r="G5465" s="15">
        <v>0</v>
      </c>
      <c r="H5465" s="15">
        <v>0</v>
      </c>
    </row>
    <row r="5466" spans="2:8">
      <c r="B5466" s="17" t="s">
        <v>11409</v>
      </c>
      <c r="C5466" s="246" t="s">
        <v>5605</v>
      </c>
      <c r="D5466" s="18">
        <v>0</v>
      </c>
      <c r="E5466" s="18">
        <v>0</v>
      </c>
      <c r="F5466" s="18">
        <v>0</v>
      </c>
      <c r="G5466" s="18">
        <v>0</v>
      </c>
      <c r="H5466" s="18">
        <v>0</v>
      </c>
    </row>
    <row r="5467" spans="2:8">
      <c r="B5467" s="14" t="s">
        <v>11410</v>
      </c>
      <c r="C5467" s="245" t="s">
        <v>5606</v>
      </c>
      <c r="D5467" s="15">
        <v>0</v>
      </c>
      <c r="E5467" s="15">
        <v>0</v>
      </c>
      <c r="F5467" s="15">
        <v>0</v>
      </c>
      <c r="G5467" s="15">
        <v>0</v>
      </c>
      <c r="H5467" s="15">
        <v>0</v>
      </c>
    </row>
    <row r="5468" spans="2:8">
      <c r="B5468" s="17" t="s">
        <v>11411</v>
      </c>
      <c r="C5468" s="246" t="s">
        <v>5607</v>
      </c>
      <c r="D5468" s="18">
        <v>0</v>
      </c>
      <c r="E5468" s="18">
        <v>0</v>
      </c>
      <c r="F5468" s="18">
        <v>0</v>
      </c>
      <c r="G5468" s="18">
        <v>0</v>
      </c>
      <c r="H5468" s="18">
        <v>0</v>
      </c>
    </row>
    <row r="5469" spans="2:8">
      <c r="B5469" s="14" t="s">
        <v>11412</v>
      </c>
      <c r="C5469" s="245" t="s">
        <v>5608</v>
      </c>
      <c r="D5469" s="15">
        <v>0</v>
      </c>
      <c r="E5469" s="15">
        <v>0</v>
      </c>
      <c r="F5469" s="15">
        <v>0</v>
      </c>
      <c r="G5469" s="15">
        <v>0</v>
      </c>
      <c r="H5469" s="15">
        <v>0</v>
      </c>
    </row>
    <row r="5470" spans="2:8">
      <c r="B5470" s="17" t="s">
        <v>11413</v>
      </c>
      <c r="C5470" s="246" t="s">
        <v>5609</v>
      </c>
      <c r="D5470" s="18">
        <v>0</v>
      </c>
      <c r="E5470" s="18">
        <v>0</v>
      </c>
      <c r="F5470" s="18">
        <v>0</v>
      </c>
      <c r="G5470" s="18">
        <v>0</v>
      </c>
      <c r="H5470" s="18">
        <v>0</v>
      </c>
    </row>
    <row r="5471" spans="2:8">
      <c r="B5471" s="14" t="s">
        <v>11414</v>
      </c>
      <c r="C5471" s="245" t="s">
        <v>1532</v>
      </c>
      <c r="D5471" s="15">
        <v>0</v>
      </c>
      <c r="E5471" s="15">
        <v>0</v>
      </c>
      <c r="F5471" s="15">
        <v>0</v>
      </c>
      <c r="G5471" s="15">
        <v>0</v>
      </c>
      <c r="H5471" s="15">
        <v>0</v>
      </c>
    </row>
    <row r="5472" spans="2:8">
      <c r="B5472" s="17" t="s">
        <v>11415</v>
      </c>
      <c r="C5472" s="246" t="s">
        <v>1532</v>
      </c>
      <c r="D5472" s="18">
        <v>0</v>
      </c>
      <c r="E5472" s="18">
        <v>0</v>
      </c>
      <c r="F5472" s="18">
        <v>0</v>
      </c>
      <c r="G5472" s="18">
        <v>0</v>
      </c>
      <c r="H5472" s="18">
        <v>0</v>
      </c>
    </row>
    <row r="5473" spans="2:8">
      <c r="B5473" s="14" t="s">
        <v>11416</v>
      </c>
      <c r="C5473" s="245" t="s">
        <v>2378</v>
      </c>
      <c r="D5473" s="15">
        <v>0</v>
      </c>
      <c r="E5473" s="15">
        <v>0</v>
      </c>
      <c r="F5473" s="15">
        <v>0</v>
      </c>
      <c r="G5473" s="15">
        <v>0</v>
      </c>
      <c r="H5473" s="15">
        <v>0</v>
      </c>
    </row>
    <row r="5474" spans="2:8">
      <c r="B5474" s="17" t="s">
        <v>11417</v>
      </c>
      <c r="C5474" s="246" t="s">
        <v>4107</v>
      </c>
      <c r="D5474" s="18">
        <v>0</v>
      </c>
      <c r="E5474" s="18">
        <v>0</v>
      </c>
      <c r="F5474" s="18">
        <v>0</v>
      </c>
      <c r="G5474" s="18">
        <v>0</v>
      </c>
      <c r="H5474" s="18">
        <v>0</v>
      </c>
    </row>
    <row r="5475" spans="2:8">
      <c r="B5475" s="14" t="s">
        <v>11418</v>
      </c>
      <c r="C5475" s="245" t="s">
        <v>3880</v>
      </c>
      <c r="D5475" s="15">
        <v>0</v>
      </c>
      <c r="E5475" s="15">
        <v>0</v>
      </c>
      <c r="F5475" s="15">
        <v>0</v>
      </c>
      <c r="G5475" s="15">
        <v>0</v>
      </c>
      <c r="H5475" s="15">
        <v>0</v>
      </c>
    </row>
    <row r="5476" spans="2:8">
      <c r="B5476" s="17" t="s">
        <v>11419</v>
      </c>
      <c r="C5476" s="246" t="s">
        <v>5610</v>
      </c>
      <c r="D5476" s="18">
        <v>0</v>
      </c>
      <c r="E5476" s="18">
        <v>0</v>
      </c>
      <c r="F5476" s="18">
        <v>0</v>
      </c>
      <c r="G5476" s="18">
        <v>0</v>
      </c>
      <c r="H5476" s="18">
        <v>0</v>
      </c>
    </row>
    <row r="5477" spans="2:8">
      <c r="B5477" s="14" t="s">
        <v>11420</v>
      </c>
      <c r="C5477" s="245" t="s">
        <v>5611</v>
      </c>
      <c r="D5477" s="15">
        <v>0</v>
      </c>
      <c r="E5477" s="15">
        <v>0</v>
      </c>
      <c r="F5477" s="15">
        <v>0</v>
      </c>
      <c r="G5477" s="15">
        <v>0</v>
      </c>
      <c r="H5477" s="15">
        <v>0</v>
      </c>
    </row>
    <row r="5478" spans="2:8">
      <c r="B5478" s="17" t="s">
        <v>11421</v>
      </c>
      <c r="C5478" s="246" t="s">
        <v>5612</v>
      </c>
      <c r="D5478" s="18">
        <v>0</v>
      </c>
      <c r="E5478" s="18">
        <v>0</v>
      </c>
      <c r="F5478" s="18">
        <v>0</v>
      </c>
      <c r="G5478" s="18">
        <v>0</v>
      </c>
      <c r="H5478" s="18">
        <v>0</v>
      </c>
    </row>
    <row r="5479" spans="2:8">
      <c r="B5479" s="14" t="s">
        <v>11422</v>
      </c>
      <c r="C5479" s="245" t="s">
        <v>5613</v>
      </c>
      <c r="D5479" s="15">
        <v>0</v>
      </c>
      <c r="E5479" s="15">
        <v>94</v>
      </c>
      <c r="F5479" s="15">
        <v>123</v>
      </c>
      <c r="G5479" s="15">
        <v>0</v>
      </c>
      <c r="H5479" s="15">
        <v>0</v>
      </c>
    </row>
    <row r="5480" spans="2:8">
      <c r="B5480" s="17" t="s">
        <v>11423</v>
      </c>
      <c r="C5480" s="246" t="s">
        <v>5614</v>
      </c>
      <c r="D5480" s="18">
        <v>0</v>
      </c>
      <c r="E5480" s="18">
        <v>0</v>
      </c>
      <c r="F5480" s="18">
        <v>0</v>
      </c>
      <c r="G5480" s="18">
        <v>0</v>
      </c>
      <c r="H5480" s="18">
        <v>0</v>
      </c>
    </row>
    <row r="5481" spans="2:8">
      <c r="B5481" s="14" t="s">
        <v>11424</v>
      </c>
      <c r="C5481" s="245" t="s">
        <v>5615</v>
      </c>
      <c r="D5481" s="15">
        <v>0</v>
      </c>
      <c r="E5481" s="15">
        <v>0</v>
      </c>
      <c r="F5481" s="15">
        <v>0</v>
      </c>
      <c r="G5481" s="15">
        <v>0</v>
      </c>
      <c r="H5481" s="15">
        <v>0</v>
      </c>
    </row>
    <row r="5482" spans="2:8">
      <c r="B5482" s="17" t="s">
        <v>11425</v>
      </c>
      <c r="C5482" s="246" t="s">
        <v>5616</v>
      </c>
      <c r="D5482" s="18">
        <v>0</v>
      </c>
      <c r="E5482" s="18">
        <v>0</v>
      </c>
      <c r="F5482" s="18">
        <v>0</v>
      </c>
      <c r="G5482" s="18">
        <v>0</v>
      </c>
      <c r="H5482" s="18">
        <v>0</v>
      </c>
    </row>
    <row r="5483" spans="2:8">
      <c r="B5483" s="14" t="s">
        <v>11426</v>
      </c>
      <c r="C5483" s="245" t="s">
        <v>5617</v>
      </c>
      <c r="D5483" s="15">
        <v>0</v>
      </c>
      <c r="E5483" s="15">
        <v>0</v>
      </c>
      <c r="F5483" s="15">
        <v>0</v>
      </c>
      <c r="G5483" s="15">
        <v>0</v>
      </c>
      <c r="H5483" s="15">
        <v>0</v>
      </c>
    </row>
    <row r="5484" spans="2:8">
      <c r="B5484" s="17" t="s">
        <v>11427</v>
      </c>
      <c r="C5484" s="246" t="s">
        <v>5618</v>
      </c>
      <c r="D5484" s="18">
        <v>0</v>
      </c>
      <c r="E5484" s="18">
        <v>0</v>
      </c>
      <c r="F5484" s="18">
        <v>0</v>
      </c>
      <c r="G5484" s="18">
        <v>0</v>
      </c>
      <c r="H5484" s="18">
        <v>0</v>
      </c>
    </row>
    <row r="5485" spans="2:8">
      <c r="B5485" s="14" t="s">
        <v>11428</v>
      </c>
      <c r="C5485" s="245" t="s">
        <v>1219</v>
      </c>
      <c r="D5485" s="15">
        <v>0</v>
      </c>
      <c r="E5485" s="15">
        <v>0</v>
      </c>
      <c r="F5485" s="15">
        <v>0</v>
      </c>
      <c r="G5485" s="15">
        <v>0</v>
      </c>
      <c r="H5485" s="15">
        <v>0</v>
      </c>
    </row>
    <row r="5486" spans="2:8">
      <c r="B5486" s="17" t="s">
        <v>11429</v>
      </c>
      <c r="C5486" s="246" t="s">
        <v>5619</v>
      </c>
      <c r="D5486" s="18">
        <v>0</v>
      </c>
      <c r="E5486" s="18">
        <v>0</v>
      </c>
      <c r="F5486" s="18">
        <v>0</v>
      </c>
      <c r="G5486" s="18">
        <v>0</v>
      </c>
      <c r="H5486" s="18">
        <v>0</v>
      </c>
    </row>
    <row r="5487" spans="2:8">
      <c r="B5487" s="14" t="s">
        <v>11430</v>
      </c>
      <c r="C5487" s="245" t="s">
        <v>5620</v>
      </c>
      <c r="D5487" s="15">
        <v>0</v>
      </c>
      <c r="E5487" s="15">
        <v>0</v>
      </c>
      <c r="F5487" s="15">
        <v>0</v>
      </c>
      <c r="G5487" s="15">
        <v>0</v>
      </c>
      <c r="H5487" s="15">
        <v>0</v>
      </c>
    </row>
    <row r="5488" spans="2:8">
      <c r="B5488" s="17" t="s">
        <v>11431</v>
      </c>
      <c r="C5488" s="246" t="s">
        <v>5621</v>
      </c>
      <c r="D5488" s="18">
        <v>7</v>
      </c>
      <c r="E5488" s="18">
        <v>0</v>
      </c>
      <c r="F5488" s="18">
        <v>3</v>
      </c>
      <c r="G5488" s="18">
        <v>0</v>
      </c>
      <c r="H5488" s="18">
        <v>0</v>
      </c>
    </row>
    <row r="5489" spans="2:8">
      <c r="B5489" s="14" t="s">
        <v>11432</v>
      </c>
      <c r="C5489" s="245" t="s">
        <v>5622</v>
      </c>
      <c r="D5489" s="15">
        <v>0</v>
      </c>
      <c r="E5489" s="15">
        <v>78</v>
      </c>
      <c r="F5489" s="15">
        <v>104</v>
      </c>
      <c r="G5489" s="15">
        <v>9</v>
      </c>
      <c r="H5489" s="15">
        <v>0</v>
      </c>
    </row>
    <row r="5490" spans="2:8">
      <c r="B5490" s="17" t="s">
        <v>11433</v>
      </c>
      <c r="C5490" s="246" t="s">
        <v>5623</v>
      </c>
      <c r="D5490" s="18">
        <v>0</v>
      </c>
      <c r="E5490" s="18">
        <v>0</v>
      </c>
      <c r="F5490" s="18">
        <v>0</v>
      </c>
      <c r="G5490" s="18">
        <v>0</v>
      </c>
      <c r="H5490" s="18">
        <v>0</v>
      </c>
    </row>
    <row r="5491" spans="2:8">
      <c r="B5491" s="14" t="s">
        <v>11434</v>
      </c>
      <c r="C5491" s="245" t="s">
        <v>5624</v>
      </c>
      <c r="D5491" s="15">
        <v>0</v>
      </c>
      <c r="E5491" s="15">
        <v>0</v>
      </c>
      <c r="F5491" s="15">
        <v>0</v>
      </c>
      <c r="G5491" s="15">
        <v>0</v>
      </c>
      <c r="H5491" s="15">
        <v>0</v>
      </c>
    </row>
    <row r="5492" spans="2:8">
      <c r="B5492" s="17" t="s">
        <v>11435</v>
      </c>
      <c r="C5492" s="246" t="s">
        <v>5625</v>
      </c>
      <c r="D5492" s="18">
        <v>0</v>
      </c>
      <c r="E5492" s="18">
        <v>0</v>
      </c>
      <c r="F5492" s="18">
        <v>0</v>
      </c>
      <c r="G5492" s="18">
        <v>0</v>
      </c>
      <c r="H5492" s="18">
        <v>0</v>
      </c>
    </row>
    <row r="5493" spans="2:8">
      <c r="B5493" s="14" t="s">
        <v>11436</v>
      </c>
      <c r="C5493" s="245" t="s">
        <v>5626</v>
      </c>
      <c r="D5493" s="15">
        <v>5</v>
      </c>
      <c r="E5493" s="15">
        <v>0</v>
      </c>
      <c r="F5493" s="15">
        <v>0</v>
      </c>
      <c r="G5493" s="15">
        <v>0</v>
      </c>
      <c r="H5493" s="15">
        <v>0</v>
      </c>
    </row>
    <row r="5494" spans="2:8">
      <c r="B5494" s="17" t="s">
        <v>11437</v>
      </c>
      <c r="C5494" s="246" t="s">
        <v>5627</v>
      </c>
      <c r="D5494" s="18">
        <v>0</v>
      </c>
      <c r="E5494" s="18">
        <v>3</v>
      </c>
      <c r="F5494" s="18">
        <v>0</v>
      </c>
      <c r="G5494" s="18">
        <v>0</v>
      </c>
      <c r="H5494" s="18">
        <v>0</v>
      </c>
    </row>
    <row r="5495" spans="2:8">
      <c r="B5495" s="14" t="s">
        <v>11438</v>
      </c>
      <c r="C5495" s="245" t="s">
        <v>5628</v>
      </c>
      <c r="D5495" s="15">
        <v>0</v>
      </c>
      <c r="E5495" s="15">
        <v>0</v>
      </c>
      <c r="F5495" s="15">
        <v>0</v>
      </c>
      <c r="G5495" s="15">
        <v>0</v>
      </c>
      <c r="H5495" s="15">
        <v>0</v>
      </c>
    </row>
    <row r="5496" spans="2:8">
      <c r="B5496" s="17" t="s">
        <v>11439</v>
      </c>
      <c r="C5496" s="246" t="s">
        <v>5629</v>
      </c>
      <c r="D5496" s="18">
        <v>0</v>
      </c>
      <c r="E5496" s="18">
        <v>0</v>
      </c>
      <c r="F5496" s="18">
        <v>0</v>
      </c>
      <c r="G5496" s="18">
        <v>0</v>
      </c>
      <c r="H5496" s="18">
        <v>0</v>
      </c>
    </row>
    <row r="5497" spans="2:8">
      <c r="B5497" s="14" t="s">
        <v>11440</v>
      </c>
      <c r="C5497" s="245" t="s">
        <v>5630</v>
      </c>
      <c r="D5497" s="15">
        <v>0</v>
      </c>
      <c r="E5497" s="15">
        <v>0</v>
      </c>
      <c r="F5497" s="15">
        <v>0</v>
      </c>
      <c r="G5497" s="15">
        <v>0</v>
      </c>
      <c r="H5497" s="15">
        <v>0</v>
      </c>
    </row>
    <row r="5498" spans="2:8">
      <c r="B5498" s="17" t="s">
        <v>11441</v>
      </c>
      <c r="C5498" s="246" t="s">
        <v>5631</v>
      </c>
      <c r="D5498" s="18">
        <v>0</v>
      </c>
      <c r="E5498" s="18">
        <v>0</v>
      </c>
      <c r="F5498" s="18">
        <v>0</v>
      </c>
      <c r="G5498" s="18">
        <v>0</v>
      </c>
      <c r="H5498" s="18">
        <v>0</v>
      </c>
    </row>
    <row r="5499" spans="2:8">
      <c r="B5499" s="14" t="s">
        <v>11442</v>
      </c>
      <c r="C5499" s="245" t="s">
        <v>5632</v>
      </c>
      <c r="D5499" s="15">
        <v>0</v>
      </c>
      <c r="E5499" s="15">
        <v>0</v>
      </c>
      <c r="F5499" s="15">
        <v>0</v>
      </c>
      <c r="G5499" s="15">
        <v>0</v>
      </c>
      <c r="H5499" s="15">
        <v>0</v>
      </c>
    </row>
    <row r="5500" spans="2:8">
      <c r="B5500" s="17" t="s">
        <v>11443</v>
      </c>
      <c r="C5500" s="246" t="s">
        <v>5633</v>
      </c>
      <c r="D5500" s="18">
        <v>0</v>
      </c>
      <c r="E5500" s="18">
        <v>0</v>
      </c>
      <c r="F5500" s="18">
        <v>0</v>
      </c>
      <c r="G5500" s="18">
        <v>0</v>
      </c>
      <c r="H5500" s="18">
        <v>0</v>
      </c>
    </row>
    <row r="5501" spans="2:8">
      <c r="B5501" s="14" t="s">
        <v>11444</v>
      </c>
      <c r="C5501" s="245" t="s">
        <v>5634</v>
      </c>
      <c r="D5501" s="15">
        <v>0</v>
      </c>
      <c r="E5501" s="15">
        <v>0</v>
      </c>
      <c r="F5501" s="15">
        <v>0</v>
      </c>
      <c r="G5501" s="15">
        <v>0</v>
      </c>
      <c r="H5501" s="15">
        <v>0</v>
      </c>
    </row>
    <row r="5502" spans="2:8">
      <c r="B5502" s="17" t="s">
        <v>11445</v>
      </c>
      <c r="C5502" s="246" t="s">
        <v>5635</v>
      </c>
      <c r="D5502" s="18">
        <v>0</v>
      </c>
      <c r="E5502" s="18">
        <v>0</v>
      </c>
      <c r="F5502" s="18">
        <v>0</v>
      </c>
      <c r="G5502" s="18">
        <v>0</v>
      </c>
      <c r="H5502" s="18">
        <v>0</v>
      </c>
    </row>
    <row r="5503" spans="2:8">
      <c r="B5503" s="14" t="s">
        <v>11446</v>
      </c>
      <c r="C5503" s="245" t="s">
        <v>5636</v>
      </c>
      <c r="D5503" s="15">
        <v>0</v>
      </c>
      <c r="E5503" s="15">
        <v>0</v>
      </c>
      <c r="F5503" s="15">
        <v>0</v>
      </c>
      <c r="G5503" s="15">
        <v>0</v>
      </c>
      <c r="H5503" s="15">
        <v>0</v>
      </c>
    </row>
    <row r="5504" spans="2:8">
      <c r="B5504" s="17" t="s">
        <v>11447</v>
      </c>
      <c r="C5504" s="246" t="s">
        <v>5637</v>
      </c>
      <c r="D5504" s="18">
        <v>0</v>
      </c>
      <c r="E5504" s="18">
        <v>0</v>
      </c>
      <c r="F5504" s="18">
        <v>0</v>
      </c>
      <c r="G5504" s="18">
        <v>0</v>
      </c>
      <c r="H5504" s="18">
        <v>0</v>
      </c>
    </row>
    <row r="5505" spans="2:8">
      <c r="B5505" s="14" t="s">
        <v>11448</v>
      </c>
      <c r="C5505" s="245" t="s">
        <v>5638</v>
      </c>
      <c r="D5505" s="15">
        <v>0</v>
      </c>
      <c r="E5505" s="15">
        <v>0</v>
      </c>
      <c r="F5505" s="15">
        <v>0</v>
      </c>
      <c r="G5505" s="15">
        <v>0</v>
      </c>
      <c r="H5505" s="15">
        <v>0</v>
      </c>
    </row>
    <row r="5506" spans="2:8">
      <c r="B5506" s="17" t="s">
        <v>11449</v>
      </c>
      <c r="C5506" s="246" t="s">
        <v>5639</v>
      </c>
      <c r="D5506" s="18">
        <v>0</v>
      </c>
      <c r="E5506" s="18">
        <v>0</v>
      </c>
      <c r="F5506" s="18">
        <v>0</v>
      </c>
      <c r="G5506" s="18">
        <v>0</v>
      </c>
      <c r="H5506" s="18">
        <v>0</v>
      </c>
    </row>
    <row r="5507" spans="2:8">
      <c r="B5507" s="14" t="s">
        <v>11450</v>
      </c>
      <c r="C5507" s="245" t="s">
        <v>5640</v>
      </c>
      <c r="D5507" s="15">
        <v>0</v>
      </c>
      <c r="E5507" s="15">
        <v>0</v>
      </c>
      <c r="F5507" s="15">
        <v>0</v>
      </c>
      <c r="G5507" s="15">
        <v>0</v>
      </c>
      <c r="H5507" s="15">
        <v>0</v>
      </c>
    </row>
    <row r="5508" spans="2:8">
      <c r="B5508" s="17" t="s">
        <v>11451</v>
      </c>
      <c r="C5508" s="246" t="s">
        <v>5641</v>
      </c>
      <c r="D5508" s="18">
        <v>0</v>
      </c>
      <c r="E5508" s="18">
        <v>0</v>
      </c>
      <c r="F5508" s="18">
        <v>0</v>
      </c>
      <c r="G5508" s="18">
        <v>0</v>
      </c>
      <c r="H5508" s="18">
        <v>0</v>
      </c>
    </row>
    <row r="5509" spans="2:8">
      <c r="B5509" s="14" t="s">
        <v>11452</v>
      </c>
      <c r="C5509" s="245" t="s">
        <v>5642</v>
      </c>
      <c r="D5509" s="15">
        <v>0</v>
      </c>
      <c r="E5509" s="15">
        <v>0</v>
      </c>
      <c r="F5509" s="15">
        <v>0</v>
      </c>
      <c r="G5509" s="15">
        <v>0</v>
      </c>
      <c r="H5509" s="15">
        <v>0</v>
      </c>
    </row>
    <row r="5510" spans="2:8">
      <c r="B5510" s="17" t="s">
        <v>11453</v>
      </c>
      <c r="C5510" s="246" t="s">
        <v>5643</v>
      </c>
      <c r="D5510" s="18">
        <v>0</v>
      </c>
      <c r="E5510" s="18">
        <v>0</v>
      </c>
      <c r="F5510" s="18">
        <v>0</v>
      </c>
      <c r="G5510" s="18">
        <v>0</v>
      </c>
      <c r="H5510" s="18">
        <v>0</v>
      </c>
    </row>
    <row r="5511" spans="2:8">
      <c r="B5511" s="14" t="s">
        <v>11454</v>
      </c>
      <c r="C5511" s="245" t="s">
        <v>5644</v>
      </c>
      <c r="D5511" s="15">
        <v>0</v>
      </c>
      <c r="E5511" s="15">
        <v>0</v>
      </c>
      <c r="F5511" s="15">
        <v>0</v>
      </c>
      <c r="G5511" s="15">
        <v>0</v>
      </c>
      <c r="H5511" s="15">
        <v>0</v>
      </c>
    </row>
    <row r="5512" spans="2:8">
      <c r="B5512" s="17" t="s">
        <v>11455</v>
      </c>
      <c r="C5512" s="246" t="s">
        <v>5645</v>
      </c>
      <c r="D5512" s="18">
        <v>0</v>
      </c>
      <c r="E5512" s="18">
        <v>0</v>
      </c>
      <c r="F5512" s="18">
        <v>0</v>
      </c>
      <c r="G5512" s="18">
        <v>0</v>
      </c>
      <c r="H5512" s="18">
        <v>0</v>
      </c>
    </row>
    <row r="5513" spans="2:8">
      <c r="B5513" s="14" t="s">
        <v>11456</v>
      </c>
      <c r="C5513" s="245" t="s">
        <v>5646</v>
      </c>
      <c r="D5513" s="15">
        <v>0</v>
      </c>
      <c r="E5513" s="15">
        <v>0</v>
      </c>
      <c r="F5513" s="15">
        <v>0</v>
      </c>
      <c r="G5513" s="15">
        <v>0</v>
      </c>
      <c r="H5513" s="15">
        <v>0</v>
      </c>
    </row>
    <row r="5514" spans="2:8">
      <c r="B5514" s="17" t="s">
        <v>11457</v>
      </c>
      <c r="C5514" s="246" t="s">
        <v>5647</v>
      </c>
      <c r="D5514" s="18">
        <v>0</v>
      </c>
      <c r="E5514" s="18">
        <v>0</v>
      </c>
      <c r="F5514" s="18">
        <v>0</v>
      </c>
      <c r="G5514" s="18">
        <v>0</v>
      </c>
      <c r="H5514" s="18">
        <v>0</v>
      </c>
    </row>
    <row r="5515" spans="2:8">
      <c r="B5515" s="14" t="s">
        <v>11458</v>
      </c>
      <c r="C5515" s="245" t="s">
        <v>5648</v>
      </c>
      <c r="D5515" s="15">
        <v>0</v>
      </c>
      <c r="E5515" s="15">
        <v>0</v>
      </c>
      <c r="F5515" s="15">
        <v>0</v>
      </c>
      <c r="G5515" s="15">
        <v>0</v>
      </c>
      <c r="H5515" s="15">
        <v>0</v>
      </c>
    </row>
    <row r="5516" spans="2:8">
      <c r="B5516" s="17" t="s">
        <v>11459</v>
      </c>
      <c r="C5516" s="246" t="s">
        <v>5649</v>
      </c>
      <c r="D5516" s="18">
        <v>0</v>
      </c>
      <c r="E5516" s="18">
        <v>0</v>
      </c>
      <c r="F5516" s="18">
        <v>0</v>
      </c>
      <c r="G5516" s="18">
        <v>0</v>
      </c>
      <c r="H5516" s="18">
        <v>0</v>
      </c>
    </row>
    <row r="5517" spans="2:8">
      <c r="B5517" s="14" t="s">
        <v>11460</v>
      </c>
      <c r="C5517" s="245" t="s">
        <v>5650</v>
      </c>
      <c r="D5517" s="15">
        <v>0</v>
      </c>
      <c r="E5517" s="15">
        <v>0</v>
      </c>
      <c r="F5517" s="15">
        <v>0</v>
      </c>
      <c r="G5517" s="15">
        <v>0</v>
      </c>
      <c r="H5517" s="15">
        <v>0</v>
      </c>
    </row>
    <row r="5518" spans="2:8">
      <c r="B5518" s="17" t="s">
        <v>11461</v>
      </c>
      <c r="C5518" s="246" t="s">
        <v>5651</v>
      </c>
      <c r="D5518" s="18">
        <v>0</v>
      </c>
      <c r="E5518" s="18">
        <v>0</v>
      </c>
      <c r="F5518" s="18">
        <v>0</v>
      </c>
      <c r="G5518" s="18">
        <v>0</v>
      </c>
      <c r="H5518" s="18">
        <v>0</v>
      </c>
    </row>
    <row r="5519" spans="2:8">
      <c r="B5519" s="14" t="s">
        <v>11462</v>
      </c>
      <c r="C5519" s="245" t="s">
        <v>5652</v>
      </c>
      <c r="D5519" s="15">
        <v>0</v>
      </c>
      <c r="E5519" s="15">
        <v>0</v>
      </c>
      <c r="F5519" s="15">
        <v>0</v>
      </c>
      <c r="G5519" s="15">
        <v>0</v>
      </c>
      <c r="H5519" s="15">
        <v>0</v>
      </c>
    </row>
    <row r="5520" spans="2:8">
      <c r="B5520" s="17" t="s">
        <v>11463</v>
      </c>
      <c r="C5520" s="246" t="s">
        <v>5653</v>
      </c>
      <c r="D5520" s="18">
        <v>0</v>
      </c>
      <c r="E5520" s="18">
        <v>0</v>
      </c>
      <c r="F5520" s="18">
        <v>0</v>
      </c>
      <c r="G5520" s="18">
        <v>0</v>
      </c>
      <c r="H5520" s="18">
        <v>0</v>
      </c>
    </row>
    <row r="5521" spans="2:8">
      <c r="B5521" s="14" t="s">
        <v>11464</v>
      </c>
      <c r="C5521" s="245" t="s">
        <v>5654</v>
      </c>
      <c r="D5521" s="15">
        <v>0</v>
      </c>
      <c r="E5521" s="15">
        <v>0</v>
      </c>
      <c r="F5521" s="15">
        <v>0</v>
      </c>
      <c r="G5521" s="15">
        <v>0</v>
      </c>
      <c r="H5521" s="15">
        <v>0</v>
      </c>
    </row>
    <row r="5522" spans="2:8">
      <c r="B5522" s="17" t="s">
        <v>11465</v>
      </c>
      <c r="C5522" s="246" t="s">
        <v>4415</v>
      </c>
      <c r="D5522" s="18">
        <v>0</v>
      </c>
      <c r="E5522" s="18">
        <v>0</v>
      </c>
      <c r="F5522" s="18">
        <v>0</v>
      </c>
      <c r="G5522" s="18">
        <v>0</v>
      </c>
      <c r="H5522" s="18">
        <v>0</v>
      </c>
    </row>
    <row r="5523" spans="2:8">
      <c r="B5523" s="14" t="s">
        <v>11466</v>
      </c>
      <c r="C5523" s="245" t="s">
        <v>5655</v>
      </c>
      <c r="D5523" s="15">
        <v>0</v>
      </c>
      <c r="E5523" s="15">
        <v>4</v>
      </c>
      <c r="F5523" s="15">
        <v>0</v>
      </c>
      <c r="G5523" s="15">
        <v>0</v>
      </c>
      <c r="H5523" s="15">
        <v>0</v>
      </c>
    </row>
    <row r="5524" spans="2:8">
      <c r="B5524" s="17" t="s">
        <v>11467</v>
      </c>
      <c r="C5524" s="246" t="s">
        <v>5656</v>
      </c>
      <c r="D5524" s="18">
        <v>0</v>
      </c>
      <c r="E5524" s="18">
        <v>0</v>
      </c>
      <c r="F5524" s="18">
        <v>0</v>
      </c>
      <c r="G5524" s="18">
        <v>0</v>
      </c>
      <c r="H5524" s="18">
        <v>0</v>
      </c>
    </row>
    <row r="5525" spans="2:8">
      <c r="B5525" s="14" t="s">
        <v>11468</v>
      </c>
      <c r="C5525" s="245" t="s">
        <v>5657</v>
      </c>
      <c r="D5525" s="15">
        <v>0</v>
      </c>
      <c r="E5525" s="15">
        <v>0</v>
      </c>
      <c r="F5525" s="15">
        <v>0</v>
      </c>
      <c r="G5525" s="15">
        <v>0</v>
      </c>
      <c r="H5525" s="15">
        <v>0</v>
      </c>
    </row>
    <row r="5526" spans="2:8">
      <c r="B5526" s="17" t="s">
        <v>11469</v>
      </c>
      <c r="C5526" s="246" t="s">
        <v>5658</v>
      </c>
      <c r="D5526" s="18">
        <v>0</v>
      </c>
      <c r="E5526" s="18">
        <v>0</v>
      </c>
      <c r="F5526" s="18">
        <v>0</v>
      </c>
      <c r="G5526" s="18">
        <v>0</v>
      </c>
      <c r="H5526" s="18">
        <v>0</v>
      </c>
    </row>
    <row r="5527" spans="2:8">
      <c r="B5527" s="14" t="s">
        <v>11470</v>
      </c>
      <c r="C5527" s="245" t="s">
        <v>5659</v>
      </c>
      <c r="D5527" s="15">
        <v>0</v>
      </c>
      <c r="E5527" s="15">
        <v>0</v>
      </c>
      <c r="F5527" s="15">
        <v>0</v>
      </c>
      <c r="G5527" s="15">
        <v>0</v>
      </c>
      <c r="H5527" s="15">
        <v>0</v>
      </c>
    </row>
    <row r="5528" spans="2:8">
      <c r="B5528" s="17" t="s">
        <v>11471</v>
      </c>
      <c r="C5528" s="246" t="s">
        <v>5660</v>
      </c>
      <c r="D5528" s="18">
        <v>0</v>
      </c>
      <c r="E5528" s="18">
        <v>0</v>
      </c>
      <c r="F5528" s="18">
        <v>0</v>
      </c>
      <c r="G5528" s="18">
        <v>0</v>
      </c>
      <c r="H5528" s="18">
        <v>0</v>
      </c>
    </row>
    <row r="5529" spans="2:8">
      <c r="B5529" s="14" t="s">
        <v>11472</v>
      </c>
      <c r="C5529" s="245" t="s">
        <v>5661</v>
      </c>
      <c r="D5529" s="15">
        <v>0</v>
      </c>
      <c r="E5529" s="15">
        <v>0</v>
      </c>
      <c r="F5529" s="15">
        <v>0</v>
      </c>
      <c r="G5529" s="15">
        <v>0</v>
      </c>
      <c r="H5529" s="15">
        <v>0</v>
      </c>
    </row>
    <row r="5530" spans="2:8">
      <c r="B5530" s="17" t="s">
        <v>11473</v>
      </c>
      <c r="C5530" s="246" t="s">
        <v>5662</v>
      </c>
      <c r="D5530" s="18">
        <v>0</v>
      </c>
      <c r="E5530" s="18">
        <v>0</v>
      </c>
      <c r="F5530" s="18">
        <v>0</v>
      </c>
      <c r="G5530" s="18">
        <v>2</v>
      </c>
      <c r="H5530" s="18">
        <v>0</v>
      </c>
    </row>
    <row r="5531" spans="2:8">
      <c r="B5531" s="14" t="s">
        <v>11474</v>
      </c>
      <c r="C5531" s="245" t="s">
        <v>5663</v>
      </c>
      <c r="D5531" s="15">
        <v>4</v>
      </c>
      <c r="E5531" s="15">
        <v>0</v>
      </c>
      <c r="F5531" s="15">
        <v>0</v>
      </c>
      <c r="G5531" s="15">
        <v>0</v>
      </c>
      <c r="H5531" s="15">
        <v>0</v>
      </c>
    </row>
    <row r="5532" spans="2:8">
      <c r="B5532" s="17" t="s">
        <v>11475</v>
      </c>
      <c r="C5532" s="246" t="s">
        <v>4400</v>
      </c>
      <c r="D5532" s="18">
        <v>0</v>
      </c>
      <c r="E5532" s="18">
        <v>0</v>
      </c>
      <c r="F5532" s="18">
        <v>0</v>
      </c>
      <c r="G5532" s="18">
        <v>0</v>
      </c>
      <c r="H5532" s="18">
        <v>0</v>
      </c>
    </row>
    <row r="5533" spans="2:8">
      <c r="B5533" s="14" t="s">
        <v>11476</v>
      </c>
      <c r="C5533" s="245" t="s">
        <v>5664</v>
      </c>
      <c r="D5533" s="15">
        <v>0</v>
      </c>
      <c r="E5533" s="15">
        <v>0</v>
      </c>
      <c r="F5533" s="15">
        <v>0</v>
      </c>
      <c r="G5533" s="15">
        <v>0</v>
      </c>
      <c r="H5533" s="15">
        <v>0</v>
      </c>
    </row>
    <row r="5534" spans="2:8">
      <c r="B5534" s="17" t="s">
        <v>11477</v>
      </c>
      <c r="C5534" s="246" t="s">
        <v>5665</v>
      </c>
      <c r="D5534" s="18">
        <v>0</v>
      </c>
      <c r="E5534" s="18">
        <v>0</v>
      </c>
      <c r="F5534" s="18">
        <v>0</v>
      </c>
      <c r="G5534" s="18">
        <v>0</v>
      </c>
      <c r="H5534" s="18">
        <v>0</v>
      </c>
    </row>
    <row r="5535" spans="2:8">
      <c r="B5535" s="14" t="s">
        <v>11478</v>
      </c>
      <c r="C5535" s="245" t="s">
        <v>5666</v>
      </c>
      <c r="D5535" s="15">
        <v>0</v>
      </c>
      <c r="E5535" s="15">
        <v>0</v>
      </c>
      <c r="F5535" s="15">
        <v>0</v>
      </c>
      <c r="G5535" s="15">
        <v>0</v>
      </c>
      <c r="H5535" s="15">
        <v>0</v>
      </c>
    </row>
    <row r="5536" spans="2:8">
      <c r="B5536" s="17" t="s">
        <v>11479</v>
      </c>
      <c r="C5536" s="246" t="s">
        <v>5667</v>
      </c>
      <c r="D5536" s="18">
        <v>0</v>
      </c>
      <c r="E5536" s="18">
        <v>0</v>
      </c>
      <c r="F5536" s="18">
        <v>0</v>
      </c>
      <c r="G5536" s="18">
        <v>0</v>
      </c>
      <c r="H5536" s="18">
        <v>0</v>
      </c>
    </row>
    <row r="5537" spans="2:8">
      <c r="B5537" s="14" t="s">
        <v>11480</v>
      </c>
      <c r="C5537" s="245" t="s">
        <v>5668</v>
      </c>
      <c r="D5537" s="15">
        <v>0</v>
      </c>
      <c r="E5537" s="15">
        <v>0</v>
      </c>
      <c r="F5537" s="15">
        <v>0</v>
      </c>
      <c r="G5537" s="15">
        <v>0</v>
      </c>
      <c r="H5537" s="15">
        <v>0</v>
      </c>
    </row>
    <row r="5538" spans="2:8">
      <c r="B5538" s="17" t="s">
        <v>11481</v>
      </c>
      <c r="C5538" s="246" t="s">
        <v>5669</v>
      </c>
      <c r="D5538" s="18">
        <v>0</v>
      </c>
      <c r="E5538" s="18">
        <v>0</v>
      </c>
      <c r="F5538" s="18">
        <v>0</v>
      </c>
      <c r="G5538" s="18">
        <v>0</v>
      </c>
      <c r="H5538" s="18">
        <v>0</v>
      </c>
    </row>
    <row r="5539" spans="2:8">
      <c r="B5539" s="14" t="s">
        <v>11482</v>
      </c>
      <c r="C5539" s="245" t="s">
        <v>5670</v>
      </c>
      <c r="D5539" s="15">
        <v>0</v>
      </c>
      <c r="E5539" s="15">
        <v>0</v>
      </c>
      <c r="F5539" s="15">
        <v>0</v>
      </c>
      <c r="G5539" s="15">
        <v>0</v>
      </c>
      <c r="H5539" s="15">
        <v>0</v>
      </c>
    </row>
    <row r="5540" spans="2:8">
      <c r="B5540" s="17" t="s">
        <v>11483</v>
      </c>
      <c r="C5540" s="246" t="s">
        <v>5671</v>
      </c>
      <c r="D5540" s="18">
        <v>0</v>
      </c>
      <c r="E5540" s="18">
        <v>0</v>
      </c>
      <c r="F5540" s="18">
        <v>0</v>
      </c>
      <c r="G5540" s="18">
        <v>0</v>
      </c>
      <c r="H5540" s="18">
        <v>0</v>
      </c>
    </row>
    <row r="5541" spans="2:8">
      <c r="B5541" s="14" t="s">
        <v>11484</v>
      </c>
      <c r="C5541" s="245" t="s">
        <v>5672</v>
      </c>
      <c r="D5541" s="15">
        <v>0</v>
      </c>
      <c r="E5541" s="15">
        <v>0</v>
      </c>
      <c r="F5541" s="15">
        <v>0</v>
      </c>
      <c r="G5541" s="15">
        <v>0</v>
      </c>
      <c r="H5541" s="15">
        <v>0</v>
      </c>
    </row>
    <row r="5542" spans="2:8">
      <c r="B5542" s="17" t="s">
        <v>11485</v>
      </c>
      <c r="C5542" s="246" t="s">
        <v>5673</v>
      </c>
      <c r="D5542" s="18">
        <v>0</v>
      </c>
      <c r="E5542" s="18">
        <v>0</v>
      </c>
      <c r="F5542" s="18">
        <v>0</v>
      </c>
      <c r="G5542" s="18">
        <v>0</v>
      </c>
      <c r="H5542" s="18">
        <v>0</v>
      </c>
    </row>
    <row r="5543" spans="2:8">
      <c r="B5543" s="14" t="s">
        <v>11486</v>
      </c>
      <c r="C5543" s="245" t="s">
        <v>5674</v>
      </c>
      <c r="D5543" s="15">
        <v>0</v>
      </c>
      <c r="E5543" s="15">
        <v>0</v>
      </c>
      <c r="F5543" s="15">
        <v>0</v>
      </c>
      <c r="G5543" s="15">
        <v>0</v>
      </c>
      <c r="H5543" s="15">
        <v>0</v>
      </c>
    </row>
    <row r="5544" spans="2:8">
      <c r="B5544" s="17" t="s">
        <v>11487</v>
      </c>
      <c r="C5544" s="246" t="s">
        <v>5675</v>
      </c>
      <c r="D5544" s="18">
        <v>0</v>
      </c>
      <c r="E5544" s="18">
        <v>0</v>
      </c>
      <c r="F5544" s="18">
        <v>0</v>
      </c>
      <c r="G5544" s="18">
        <v>0</v>
      </c>
      <c r="H5544" s="18">
        <v>0</v>
      </c>
    </row>
    <row r="5545" spans="2:8">
      <c r="B5545" s="14" t="s">
        <v>11488</v>
      </c>
      <c r="C5545" s="245" t="s">
        <v>5676</v>
      </c>
      <c r="D5545" s="15">
        <v>0</v>
      </c>
      <c r="E5545" s="15">
        <v>0</v>
      </c>
      <c r="F5545" s="15">
        <v>0</v>
      </c>
      <c r="G5545" s="15">
        <v>0</v>
      </c>
      <c r="H5545" s="15">
        <v>0</v>
      </c>
    </row>
    <row r="5546" spans="2:8">
      <c r="B5546" s="17" t="s">
        <v>11489</v>
      </c>
      <c r="C5546" s="246" t="s">
        <v>5677</v>
      </c>
      <c r="D5546" s="18">
        <v>0</v>
      </c>
      <c r="E5546" s="18">
        <v>0</v>
      </c>
      <c r="F5546" s="18">
        <v>0</v>
      </c>
      <c r="G5546" s="18">
        <v>0</v>
      </c>
      <c r="H5546" s="18">
        <v>0</v>
      </c>
    </row>
    <row r="5547" spans="2:8">
      <c r="B5547" s="14" t="s">
        <v>11490</v>
      </c>
      <c r="C5547" s="245" t="s">
        <v>2669</v>
      </c>
      <c r="D5547" s="15">
        <v>0</v>
      </c>
      <c r="E5547" s="15">
        <v>0</v>
      </c>
      <c r="F5547" s="15">
        <v>0</v>
      </c>
      <c r="G5547" s="15">
        <v>0</v>
      </c>
      <c r="H5547" s="15">
        <v>0</v>
      </c>
    </row>
    <row r="5548" spans="2:8">
      <c r="B5548" s="17" t="s">
        <v>11491</v>
      </c>
      <c r="C5548" s="246" t="s">
        <v>5678</v>
      </c>
      <c r="D5548" s="18">
        <v>0</v>
      </c>
      <c r="E5548" s="18">
        <v>0</v>
      </c>
      <c r="F5548" s="18">
        <v>0</v>
      </c>
      <c r="G5548" s="18">
        <v>0</v>
      </c>
      <c r="H5548" s="18">
        <v>0</v>
      </c>
    </row>
    <row r="5549" spans="2:8">
      <c r="B5549" s="14" t="s">
        <v>11492</v>
      </c>
      <c r="C5549" s="245" t="s">
        <v>5679</v>
      </c>
      <c r="D5549" s="15">
        <v>0</v>
      </c>
      <c r="E5549" s="15">
        <v>0</v>
      </c>
      <c r="F5549" s="15">
        <v>0</v>
      </c>
      <c r="G5549" s="15">
        <v>0</v>
      </c>
      <c r="H5549" s="15">
        <v>0</v>
      </c>
    </row>
    <row r="5550" spans="2:8">
      <c r="B5550" s="17" t="s">
        <v>11493</v>
      </c>
      <c r="C5550" s="246" t="s">
        <v>5680</v>
      </c>
      <c r="D5550" s="18">
        <v>0</v>
      </c>
      <c r="E5550" s="18">
        <v>0</v>
      </c>
      <c r="F5550" s="18">
        <v>0</v>
      </c>
      <c r="G5550" s="18">
        <v>0</v>
      </c>
      <c r="H5550" s="18">
        <v>0</v>
      </c>
    </row>
    <row r="5551" spans="2:8">
      <c r="B5551" s="14" t="s">
        <v>11494</v>
      </c>
      <c r="C5551" s="245" t="s">
        <v>5681</v>
      </c>
      <c r="D5551" s="15">
        <v>0</v>
      </c>
      <c r="E5551" s="15">
        <v>0</v>
      </c>
      <c r="F5551" s="15">
        <v>0</v>
      </c>
      <c r="G5551" s="15">
        <v>0</v>
      </c>
      <c r="H5551" s="15">
        <v>0</v>
      </c>
    </row>
    <row r="5552" spans="2:8">
      <c r="B5552" s="17" t="s">
        <v>11495</v>
      </c>
      <c r="C5552" s="246" t="s">
        <v>2674</v>
      </c>
      <c r="D5552" s="18">
        <v>0</v>
      </c>
      <c r="E5552" s="18">
        <v>0</v>
      </c>
      <c r="F5552" s="18">
        <v>0</v>
      </c>
      <c r="G5552" s="18">
        <v>0</v>
      </c>
      <c r="H5552" s="18">
        <v>0</v>
      </c>
    </row>
    <row r="5553" spans="2:8">
      <c r="B5553" s="14" t="s">
        <v>11496</v>
      </c>
      <c r="C5553" s="245" t="s">
        <v>5682</v>
      </c>
      <c r="D5553" s="15">
        <v>0</v>
      </c>
      <c r="E5553" s="15">
        <v>0</v>
      </c>
      <c r="F5553" s="15">
        <v>0</v>
      </c>
      <c r="G5553" s="15">
        <v>0</v>
      </c>
      <c r="H5553" s="15">
        <v>0</v>
      </c>
    </row>
    <row r="5554" spans="2:8">
      <c r="B5554" s="17" t="s">
        <v>11497</v>
      </c>
      <c r="C5554" s="246" t="s">
        <v>5683</v>
      </c>
      <c r="D5554" s="18">
        <v>0</v>
      </c>
      <c r="E5554" s="18">
        <v>0</v>
      </c>
      <c r="F5554" s="18">
        <v>0</v>
      </c>
      <c r="G5554" s="18">
        <v>0</v>
      </c>
      <c r="H5554" s="18">
        <v>0</v>
      </c>
    </row>
    <row r="5555" spans="2:8">
      <c r="B5555" s="14" t="s">
        <v>11498</v>
      </c>
      <c r="C5555" s="245" t="s">
        <v>5684</v>
      </c>
      <c r="D5555" s="15">
        <v>0</v>
      </c>
      <c r="E5555" s="15">
        <v>0</v>
      </c>
      <c r="F5555" s="15">
        <v>0</v>
      </c>
      <c r="G5555" s="15">
        <v>0</v>
      </c>
      <c r="H5555" s="15">
        <v>0</v>
      </c>
    </row>
    <row r="5556" spans="2:8">
      <c r="B5556" s="17" t="s">
        <v>11499</v>
      </c>
      <c r="C5556" s="246" t="s">
        <v>5685</v>
      </c>
      <c r="D5556" s="18">
        <v>0</v>
      </c>
      <c r="E5556" s="18">
        <v>0</v>
      </c>
      <c r="F5556" s="18">
        <v>0</v>
      </c>
      <c r="G5556" s="18">
        <v>0</v>
      </c>
      <c r="H5556" s="18">
        <v>0</v>
      </c>
    </row>
    <row r="5557" spans="2:8">
      <c r="B5557" s="14" t="s">
        <v>11500</v>
      </c>
      <c r="C5557" s="245" t="s">
        <v>5686</v>
      </c>
      <c r="D5557" s="15">
        <v>0</v>
      </c>
      <c r="E5557" s="15">
        <v>0</v>
      </c>
      <c r="F5557" s="15">
        <v>0</v>
      </c>
      <c r="G5557" s="15">
        <v>0</v>
      </c>
      <c r="H5557" s="15">
        <v>0</v>
      </c>
    </row>
    <row r="5558" spans="2:8">
      <c r="B5558" s="17" t="s">
        <v>11501</v>
      </c>
      <c r="C5558" s="246" t="s">
        <v>5687</v>
      </c>
      <c r="D5558" s="18">
        <v>0</v>
      </c>
      <c r="E5558" s="18">
        <v>0</v>
      </c>
      <c r="F5558" s="18">
        <v>0</v>
      </c>
      <c r="G5558" s="18">
        <v>0</v>
      </c>
      <c r="H5558" s="18">
        <v>0</v>
      </c>
    </row>
    <row r="5559" spans="2:8">
      <c r="B5559" s="14" t="s">
        <v>11502</v>
      </c>
      <c r="C5559" s="245" t="s">
        <v>5688</v>
      </c>
      <c r="D5559" s="15">
        <v>0</v>
      </c>
      <c r="E5559" s="15">
        <v>0</v>
      </c>
      <c r="F5559" s="15">
        <v>0</v>
      </c>
      <c r="G5559" s="15">
        <v>0</v>
      </c>
      <c r="H5559" s="15">
        <v>0</v>
      </c>
    </row>
    <row r="5560" spans="2:8">
      <c r="B5560" s="17" t="s">
        <v>11503</v>
      </c>
      <c r="C5560" s="246" t="s">
        <v>5689</v>
      </c>
      <c r="D5560" s="18">
        <v>0</v>
      </c>
      <c r="E5560" s="18">
        <v>0</v>
      </c>
      <c r="F5560" s="18">
        <v>0</v>
      </c>
      <c r="G5560" s="18">
        <v>0</v>
      </c>
      <c r="H5560" s="18">
        <v>0</v>
      </c>
    </row>
    <row r="5561" spans="2:8">
      <c r="B5561" s="14" t="s">
        <v>11504</v>
      </c>
      <c r="C5561" s="245" t="s">
        <v>5690</v>
      </c>
      <c r="D5561" s="15">
        <v>0</v>
      </c>
      <c r="E5561" s="15">
        <v>0</v>
      </c>
      <c r="F5561" s="15">
        <v>0</v>
      </c>
      <c r="G5561" s="15">
        <v>0</v>
      </c>
      <c r="H5561" s="15">
        <v>0</v>
      </c>
    </row>
    <row r="5562" spans="2:8">
      <c r="B5562" s="17" t="s">
        <v>11505</v>
      </c>
      <c r="C5562" s="246" t="s">
        <v>5691</v>
      </c>
      <c r="D5562" s="18">
        <v>0</v>
      </c>
      <c r="E5562" s="18">
        <v>0</v>
      </c>
      <c r="F5562" s="18">
        <v>0</v>
      </c>
      <c r="G5562" s="18">
        <v>0</v>
      </c>
      <c r="H5562" s="18">
        <v>0</v>
      </c>
    </row>
    <row r="5563" spans="2:8">
      <c r="B5563" s="14" t="s">
        <v>11506</v>
      </c>
      <c r="C5563" s="245" t="s">
        <v>5692</v>
      </c>
      <c r="D5563" s="15">
        <v>0</v>
      </c>
      <c r="E5563" s="15">
        <v>0</v>
      </c>
      <c r="F5563" s="15">
        <v>0</v>
      </c>
      <c r="G5563" s="15">
        <v>0</v>
      </c>
      <c r="H5563" s="15">
        <v>0</v>
      </c>
    </row>
    <row r="5564" spans="2:8">
      <c r="B5564" s="17" t="s">
        <v>11507</v>
      </c>
      <c r="C5564" s="246" t="s">
        <v>5693</v>
      </c>
      <c r="D5564" s="18">
        <v>0</v>
      </c>
      <c r="E5564" s="18">
        <v>0</v>
      </c>
      <c r="F5564" s="18">
        <v>0</v>
      </c>
      <c r="G5564" s="18">
        <v>0</v>
      </c>
      <c r="H5564" s="18">
        <v>0</v>
      </c>
    </row>
    <row r="5565" spans="2:8">
      <c r="B5565" s="14" t="s">
        <v>11508</v>
      </c>
      <c r="C5565" s="245" t="s">
        <v>5694</v>
      </c>
      <c r="D5565" s="15">
        <v>0</v>
      </c>
      <c r="E5565" s="15">
        <v>0</v>
      </c>
      <c r="F5565" s="15">
        <v>0</v>
      </c>
      <c r="G5565" s="15">
        <v>0</v>
      </c>
      <c r="H5565" s="15">
        <v>0</v>
      </c>
    </row>
    <row r="5566" spans="2:8">
      <c r="B5566" s="17" t="s">
        <v>11509</v>
      </c>
      <c r="C5566" s="246" t="s">
        <v>5695</v>
      </c>
      <c r="D5566" s="18">
        <v>0</v>
      </c>
      <c r="E5566" s="18">
        <v>0</v>
      </c>
      <c r="F5566" s="18">
        <v>0</v>
      </c>
      <c r="G5566" s="18">
        <v>0</v>
      </c>
      <c r="H5566" s="18">
        <v>0</v>
      </c>
    </row>
    <row r="5567" spans="2:8">
      <c r="B5567" s="14" t="s">
        <v>11510</v>
      </c>
      <c r="C5567" s="245" t="s">
        <v>5696</v>
      </c>
      <c r="D5567" s="15">
        <v>0</v>
      </c>
      <c r="E5567" s="15">
        <v>0</v>
      </c>
      <c r="F5567" s="15">
        <v>0</v>
      </c>
      <c r="G5567" s="15">
        <v>0</v>
      </c>
      <c r="H5567" s="15">
        <v>0</v>
      </c>
    </row>
    <row r="5568" spans="2:8">
      <c r="B5568" s="17" t="s">
        <v>11511</v>
      </c>
      <c r="C5568" s="246" t="s">
        <v>5697</v>
      </c>
      <c r="D5568" s="18">
        <v>0</v>
      </c>
      <c r="E5568" s="18">
        <v>0</v>
      </c>
      <c r="F5568" s="18">
        <v>0</v>
      </c>
      <c r="G5568" s="18">
        <v>0</v>
      </c>
      <c r="H5568" s="18">
        <v>0</v>
      </c>
    </row>
    <row r="5569" spans="2:8">
      <c r="B5569" s="14" t="s">
        <v>11512</v>
      </c>
      <c r="C5569" s="245" t="s">
        <v>5698</v>
      </c>
      <c r="D5569" s="15">
        <v>0</v>
      </c>
      <c r="E5569" s="15">
        <v>0</v>
      </c>
      <c r="F5569" s="15">
        <v>0</v>
      </c>
      <c r="G5569" s="15">
        <v>0</v>
      </c>
      <c r="H5569" s="15">
        <v>0</v>
      </c>
    </row>
    <row r="5570" spans="2:8">
      <c r="B5570" s="17" t="s">
        <v>11513</v>
      </c>
      <c r="C5570" s="246" t="s">
        <v>5699</v>
      </c>
      <c r="D5570" s="18">
        <v>0</v>
      </c>
      <c r="E5570" s="18">
        <v>0</v>
      </c>
      <c r="F5570" s="18">
        <v>0</v>
      </c>
      <c r="G5570" s="18">
        <v>0</v>
      </c>
      <c r="H5570" s="18">
        <v>0</v>
      </c>
    </row>
    <row r="5571" spans="2:8">
      <c r="B5571" s="14" t="s">
        <v>11514</v>
      </c>
      <c r="C5571" s="245" t="s">
        <v>5700</v>
      </c>
      <c r="D5571" s="15">
        <v>0</v>
      </c>
      <c r="E5571" s="15">
        <v>0</v>
      </c>
      <c r="F5571" s="15">
        <v>0</v>
      </c>
      <c r="G5571" s="15">
        <v>0</v>
      </c>
      <c r="H5571" s="15">
        <v>0</v>
      </c>
    </row>
    <row r="5572" spans="2:8">
      <c r="B5572" s="17" t="s">
        <v>11515</v>
      </c>
      <c r="C5572" s="246" t="s">
        <v>5701</v>
      </c>
      <c r="D5572" s="18">
        <v>0</v>
      </c>
      <c r="E5572" s="18">
        <v>0</v>
      </c>
      <c r="F5572" s="18">
        <v>0</v>
      </c>
      <c r="G5572" s="18">
        <v>0</v>
      </c>
      <c r="H5572" s="18">
        <v>0</v>
      </c>
    </row>
    <row r="5573" spans="2:8">
      <c r="B5573" s="14" t="s">
        <v>11516</v>
      </c>
      <c r="C5573" s="245" t="s">
        <v>5702</v>
      </c>
      <c r="D5573" s="15">
        <v>0</v>
      </c>
      <c r="E5573" s="15">
        <v>0</v>
      </c>
      <c r="F5573" s="15">
        <v>0</v>
      </c>
      <c r="G5573" s="15">
        <v>0</v>
      </c>
      <c r="H5573" s="15">
        <v>0</v>
      </c>
    </row>
    <row r="5574" spans="2:8">
      <c r="B5574" s="17" t="s">
        <v>11517</v>
      </c>
      <c r="C5574" s="246" t="s">
        <v>5703</v>
      </c>
      <c r="D5574" s="18">
        <v>0</v>
      </c>
      <c r="E5574" s="18">
        <v>0</v>
      </c>
      <c r="F5574" s="18">
        <v>0</v>
      </c>
      <c r="G5574" s="18">
        <v>0</v>
      </c>
      <c r="H5574" s="18">
        <v>0</v>
      </c>
    </row>
    <row r="5575" spans="2:8">
      <c r="B5575" s="14" t="s">
        <v>11518</v>
      </c>
      <c r="C5575" s="245" t="s">
        <v>5704</v>
      </c>
      <c r="D5575" s="15">
        <v>0</v>
      </c>
      <c r="E5575" s="15">
        <v>0</v>
      </c>
      <c r="F5575" s="15">
        <v>0</v>
      </c>
      <c r="G5575" s="15">
        <v>0</v>
      </c>
      <c r="H5575" s="15">
        <v>0</v>
      </c>
    </row>
    <row r="5576" spans="2:8">
      <c r="B5576" s="17" t="s">
        <v>11519</v>
      </c>
      <c r="C5576" s="246" t="s">
        <v>5705</v>
      </c>
      <c r="D5576" s="18">
        <v>0</v>
      </c>
      <c r="E5576" s="18">
        <v>0</v>
      </c>
      <c r="F5576" s="18">
        <v>0</v>
      </c>
      <c r="G5576" s="18">
        <v>0</v>
      </c>
      <c r="H5576" s="18">
        <v>0</v>
      </c>
    </row>
    <row r="5577" spans="2:8">
      <c r="B5577" s="14" t="s">
        <v>11520</v>
      </c>
      <c r="C5577" s="245" t="s">
        <v>5706</v>
      </c>
      <c r="D5577" s="15">
        <v>0</v>
      </c>
      <c r="E5577" s="15">
        <v>0</v>
      </c>
      <c r="F5577" s="15">
        <v>0</v>
      </c>
      <c r="G5577" s="15">
        <v>0</v>
      </c>
      <c r="H5577" s="15">
        <v>0</v>
      </c>
    </row>
    <row r="5578" spans="2:8">
      <c r="B5578" s="17" t="s">
        <v>11521</v>
      </c>
      <c r="C5578" s="246" t="s">
        <v>5707</v>
      </c>
      <c r="D5578" s="18">
        <v>0</v>
      </c>
      <c r="E5578" s="18">
        <v>0</v>
      </c>
      <c r="F5578" s="18">
        <v>0</v>
      </c>
      <c r="G5578" s="18">
        <v>0</v>
      </c>
      <c r="H5578" s="18">
        <v>0</v>
      </c>
    </row>
    <row r="5579" spans="2:8">
      <c r="B5579" s="14" t="s">
        <v>11522</v>
      </c>
      <c r="C5579" s="245" t="s">
        <v>5708</v>
      </c>
      <c r="D5579" s="15">
        <v>0</v>
      </c>
      <c r="E5579" s="15">
        <v>0</v>
      </c>
      <c r="F5579" s="15">
        <v>0</v>
      </c>
      <c r="G5579" s="15">
        <v>0</v>
      </c>
      <c r="H5579" s="15">
        <v>0</v>
      </c>
    </row>
    <row r="5580" spans="2:8">
      <c r="B5580" s="17" t="s">
        <v>11523</v>
      </c>
      <c r="C5580" s="246" t="s">
        <v>5709</v>
      </c>
      <c r="D5580" s="18">
        <v>0</v>
      </c>
      <c r="E5580" s="18">
        <v>0</v>
      </c>
      <c r="F5580" s="18">
        <v>0</v>
      </c>
      <c r="G5580" s="18">
        <v>0</v>
      </c>
      <c r="H5580" s="18">
        <v>0</v>
      </c>
    </row>
    <row r="5581" spans="2:8">
      <c r="B5581" s="14" t="s">
        <v>11524</v>
      </c>
      <c r="C5581" s="245" t="s">
        <v>5710</v>
      </c>
      <c r="D5581" s="15">
        <v>0</v>
      </c>
      <c r="E5581" s="15">
        <v>0</v>
      </c>
      <c r="F5581" s="15">
        <v>4</v>
      </c>
      <c r="G5581" s="15">
        <v>0</v>
      </c>
      <c r="H5581" s="15">
        <v>0</v>
      </c>
    </row>
    <row r="5582" spans="2:8">
      <c r="B5582" s="17" t="s">
        <v>11525</v>
      </c>
      <c r="C5582" s="246" t="s">
        <v>5711</v>
      </c>
      <c r="D5582" s="18">
        <v>0</v>
      </c>
      <c r="E5582" s="18">
        <v>0</v>
      </c>
      <c r="F5582" s="18">
        <v>0</v>
      </c>
      <c r="G5582" s="18">
        <v>0</v>
      </c>
      <c r="H5582" s="18">
        <v>0</v>
      </c>
    </row>
    <row r="5583" spans="2:8">
      <c r="B5583" s="14" t="s">
        <v>11526</v>
      </c>
      <c r="C5583" s="245" t="s">
        <v>5712</v>
      </c>
      <c r="D5583" s="15">
        <v>0</v>
      </c>
      <c r="E5583" s="15">
        <v>0</v>
      </c>
      <c r="F5583" s="15">
        <v>0</v>
      </c>
      <c r="G5583" s="15">
        <v>0</v>
      </c>
      <c r="H5583" s="15">
        <v>0</v>
      </c>
    </row>
    <row r="5584" spans="2:8">
      <c r="B5584" s="17" t="s">
        <v>11527</v>
      </c>
      <c r="C5584" s="246" t="s">
        <v>5713</v>
      </c>
      <c r="D5584" s="18">
        <v>0</v>
      </c>
      <c r="E5584" s="18">
        <v>0</v>
      </c>
      <c r="F5584" s="18">
        <v>0</v>
      </c>
      <c r="G5584" s="18">
        <v>0</v>
      </c>
      <c r="H5584" s="18">
        <v>0</v>
      </c>
    </row>
    <row r="5585" spans="2:8">
      <c r="B5585" s="14" t="s">
        <v>11528</v>
      </c>
      <c r="C5585" s="245" t="s">
        <v>5714</v>
      </c>
      <c r="D5585" s="15">
        <v>0</v>
      </c>
      <c r="E5585" s="15">
        <v>6</v>
      </c>
      <c r="F5585" s="15">
        <v>37</v>
      </c>
      <c r="G5585" s="15">
        <v>0</v>
      </c>
      <c r="H5585" s="15">
        <v>0</v>
      </c>
    </row>
    <row r="5586" spans="2:8">
      <c r="B5586" s="17" t="s">
        <v>11529</v>
      </c>
      <c r="C5586" s="246" t="s">
        <v>5715</v>
      </c>
      <c r="D5586" s="18">
        <v>0</v>
      </c>
      <c r="E5586" s="18">
        <v>0</v>
      </c>
      <c r="F5586" s="18">
        <v>0</v>
      </c>
      <c r="G5586" s="18">
        <v>0</v>
      </c>
      <c r="H5586" s="18">
        <v>0</v>
      </c>
    </row>
    <row r="5587" spans="2:8">
      <c r="B5587" s="14" t="s">
        <v>11530</v>
      </c>
      <c r="C5587" s="245" t="s">
        <v>5716</v>
      </c>
      <c r="D5587" s="15">
        <v>0</v>
      </c>
      <c r="E5587" s="15">
        <v>0</v>
      </c>
      <c r="F5587" s="15">
        <v>0</v>
      </c>
      <c r="G5587" s="15">
        <v>0</v>
      </c>
      <c r="H5587" s="15">
        <v>0</v>
      </c>
    </row>
    <row r="5588" spans="2:8">
      <c r="B5588" s="17" t="s">
        <v>11531</v>
      </c>
      <c r="C5588" s="246" t="s">
        <v>5717</v>
      </c>
      <c r="D5588" s="18">
        <v>0</v>
      </c>
      <c r="E5588" s="18">
        <v>0</v>
      </c>
      <c r="F5588" s="18">
        <v>0</v>
      </c>
      <c r="G5588" s="18">
        <v>0</v>
      </c>
      <c r="H5588" s="18">
        <v>0</v>
      </c>
    </row>
    <row r="5589" spans="2:8">
      <c r="B5589" s="14" t="s">
        <v>11532</v>
      </c>
      <c r="C5589" s="245" t="s">
        <v>5718</v>
      </c>
      <c r="D5589" s="15">
        <v>0</v>
      </c>
      <c r="E5589" s="15">
        <v>0</v>
      </c>
      <c r="F5589" s="15">
        <v>0</v>
      </c>
      <c r="G5589" s="15">
        <v>0</v>
      </c>
      <c r="H5589" s="15">
        <v>0</v>
      </c>
    </row>
    <row r="5590" spans="2:8">
      <c r="B5590" s="17" t="s">
        <v>11533</v>
      </c>
      <c r="C5590" s="246" t="s">
        <v>5719</v>
      </c>
      <c r="D5590" s="18">
        <v>0</v>
      </c>
      <c r="E5590" s="18">
        <v>0</v>
      </c>
      <c r="F5590" s="18">
        <v>0</v>
      </c>
      <c r="G5590" s="18">
        <v>0</v>
      </c>
      <c r="H5590" s="18">
        <v>0</v>
      </c>
    </row>
    <row r="5591" spans="2:8">
      <c r="B5591" s="14" t="s">
        <v>11534</v>
      </c>
      <c r="C5591" s="245" t="s">
        <v>5720</v>
      </c>
      <c r="D5591" s="15">
        <v>0</v>
      </c>
      <c r="E5591" s="15">
        <v>0</v>
      </c>
      <c r="F5591" s="15">
        <v>0</v>
      </c>
      <c r="G5591" s="15">
        <v>0</v>
      </c>
      <c r="H5591" s="15">
        <v>0</v>
      </c>
    </row>
    <row r="5592" spans="2:8">
      <c r="B5592" s="17" t="s">
        <v>11535</v>
      </c>
      <c r="C5592" s="246" t="s">
        <v>5721</v>
      </c>
      <c r="D5592" s="18">
        <v>0</v>
      </c>
      <c r="E5592" s="18">
        <v>0</v>
      </c>
      <c r="F5592" s="18">
        <v>0</v>
      </c>
      <c r="G5592" s="18">
        <v>0</v>
      </c>
      <c r="H5592" s="18">
        <v>0</v>
      </c>
    </row>
    <row r="5593" spans="2:8">
      <c r="B5593" s="14" t="s">
        <v>11536</v>
      </c>
      <c r="C5593" s="245" t="s">
        <v>5722</v>
      </c>
      <c r="D5593" s="15">
        <v>0</v>
      </c>
      <c r="E5593" s="15">
        <v>0</v>
      </c>
      <c r="F5593" s="15">
        <v>0</v>
      </c>
      <c r="G5593" s="15">
        <v>0</v>
      </c>
      <c r="H5593" s="15">
        <v>0</v>
      </c>
    </row>
    <row r="5594" spans="2:8">
      <c r="B5594" s="17" t="s">
        <v>11537</v>
      </c>
      <c r="C5594" s="246" t="s">
        <v>5723</v>
      </c>
      <c r="D5594" s="18">
        <v>0</v>
      </c>
      <c r="E5594" s="18">
        <v>0</v>
      </c>
      <c r="F5594" s="18">
        <v>0</v>
      </c>
      <c r="G5594" s="18">
        <v>0</v>
      </c>
      <c r="H5594" s="18">
        <v>0</v>
      </c>
    </row>
    <row r="5595" spans="2:8">
      <c r="B5595" s="14" t="s">
        <v>11538</v>
      </c>
      <c r="C5595" s="245" t="s">
        <v>5724</v>
      </c>
      <c r="D5595" s="15">
        <v>0</v>
      </c>
      <c r="E5595" s="15">
        <v>7</v>
      </c>
      <c r="F5595" s="15">
        <v>0</v>
      </c>
      <c r="G5595" s="15">
        <v>0</v>
      </c>
      <c r="H5595" s="15">
        <v>0</v>
      </c>
    </row>
    <row r="5596" spans="2:8">
      <c r="B5596" s="17" t="s">
        <v>11539</v>
      </c>
      <c r="C5596" s="246" t="s">
        <v>5725</v>
      </c>
      <c r="D5596" s="18">
        <v>0</v>
      </c>
      <c r="E5596" s="18">
        <v>0</v>
      </c>
      <c r="F5596" s="18">
        <v>0</v>
      </c>
      <c r="G5596" s="18">
        <v>0</v>
      </c>
      <c r="H5596" s="18">
        <v>0</v>
      </c>
    </row>
    <row r="5597" spans="2:8">
      <c r="B5597" s="14" t="s">
        <v>11540</v>
      </c>
      <c r="C5597" s="245" t="s">
        <v>5726</v>
      </c>
      <c r="D5597" s="15">
        <v>0</v>
      </c>
      <c r="E5597" s="15">
        <v>0</v>
      </c>
      <c r="F5597" s="15">
        <v>0</v>
      </c>
      <c r="G5597" s="15">
        <v>0</v>
      </c>
      <c r="H5597" s="15">
        <v>0</v>
      </c>
    </row>
    <row r="5598" spans="2:8">
      <c r="B5598" s="17" t="s">
        <v>11541</v>
      </c>
      <c r="C5598" s="246" t="s">
        <v>5727</v>
      </c>
      <c r="D5598" s="18">
        <v>0</v>
      </c>
      <c r="E5598" s="18">
        <v>0</v>
      </c>
      <c r="F5598" s="18">
        <v>0</v>
      </c>
      <c r="G5598" s="18">
        <v>0</v>
      </c>
      <c r="H5598" s="18">
        <v>0</v>
      </c>
    </row>
    <row r="5599" spans="2:8">
      <c r="B5599" s="14" t="s">
        <v>11542</v>
      </c>
      <c r="C5599" s="245" t="s">
        <v>5728</v>
      </c>
      <c r="D5599" s="15">
        <v>0</v>
      </c>
      <c r="E5599" s="15">
        <v>0</v>
      </c>
      <c r="F5599" s="15">
        <v>0</v>
      </c>
      <c r="G5599" s="15">
        <v>0</v>
      </c>
      <c r="H5599" s="15">
        <v>0</v>
      </c>
    </row>
    <row r="5600" spans="2:8">
      <c r="B5600" s="17" t="s">
        <v>11543</v>
      </c>
      <c r="C5600" s="246" t="s">
        <v>5729</v>
      </c>
      <c r="D5600" s="18">
        <v>0</v>
      </c>
      <c r="E5600" s="18">
        <v>0</v>
      </c>
      <c r="F5600" s="18">
        <v>0</v>
      </c>
      <c r="G5600" s="18">
        <v>0</v>
      </c>
      <c r="H5600" s="18">
        <v>0</v>
      </c>
    </row>
    <row r="5601" spans="2:8">
      <c r="B5601" s="14" t="s">
        <v>11544</v>
      </c>
      <c r="C5601" s="245" t="s">
        <v>5730</v>
      </c>
      <c r="D5601" s="15">
        <v>14</v>
      </c>
      <c r="E5601" s="15">
        <v>0</v>
      </c>
      <c r="F5601" s="15">
        <v>0</v>
      </c>
      <c r="G5601" s="15">
        <v>0</v>
      </c>
      <c r="H5601" s="15">
        <v>0</v>
      </c>
    </row>
    <row r="5602" spans="2:8">
      <c r="B5602" s="17" t="s">
        <v>11545</v>
      </c>
      <c r="C5602" s="246" t="s">
        <v>5731</v>
      </c>
      <c r="D5602" s="18">
        <v>0</v>
      </c>
      <c r="E5602" s="18">
        <v>0</v>
      </c>
      <c r="F5602" s="18">
        <v>0</v>
      </c>
      <c r="G5602" s="18">
        <v>0</v>
      </c>
      <c r="H5602" s="18">
        <v>0</v>
      </c>
    </row>
    <row r="5603" spans="2:8">
      <c r="B5603" s="14" t="s">
        <v>11546</v>
      </c>
      <c r="C5603" s="245" t="s">
        <v>5732</v>
      </c>
      <c r="D5603" s="15">
        <v>0</v>
      </c>
      <c r="E5603" s="15">
        <v>0</v>
      </c>
      <c r="F5603" s="15">
        <v>0</v>
      </c>
      <c r="G5603" s="15">
        <v>0</v>
      </c>
      <c r="H5603" s="15">
        <v>0</v>
      </c>
    </row>
    <row r="5604" spans="2:8">
      <c r="B5604" s="17" t="s">
        <v>11547</v>
      </c>
      <c r="C5604" s="246" t="s">
        <v>5733</v>
      </c>
      <c r="D5604" s="18">
        <v>0</v>
      </c>
      <c r="E5604" s="18">
        <v>0</v>
      </c>
      <c r="F5604" s="18">
        <v>0</v>
      </c>
      <c r="G5604" s="18">
        <v>0</v>
      </c>
      <c r="H5604" s="18">
        <v>0</v>
      </c>
    </row>
    <row r="5605" spans="2:8">
      <c r="B5605" s="14" t="s">
        <v>11548</v>
      </c>
      <c r="C5605" s="245" t="s">
        <v>5734</v>
      </c>
      <c r="D5605" s="15">
        <v>0</v>
      </c>
      <c r="E5605" s="15">
        <v>0</v>
      </c>
      <c r="F5605" s="15">
        <v>0</v>
      </c>
      <c r="G5605" s="15">
        <v>0</v>
      </c>
      <c r="H5605" s="15">
        <v>0</v>
      </c>
    </row>
    <row r="5606" spans="2:8">
      <c r="B5606" s="17" t="s">
        <v>11549</v>
      </c>
      <c r="C5606" s="246" t="s">
        <v>5735</v>
      </c>
      <c r="D5606" s="18">
        <v>0</v>
      </c>
      <c r="E5606" s="18">
        <v>0</v>
      </c>
      <c r="F5606" s="18">
        <v>0</v>
      </c>
      <c r="G5606" s="18">
        <v>0</v>
      </c>
      <c r="H5606" s="18">
        <v>0</v>
      </c>
    </row>
    <row r="5607" spans="2:8">
      <c r="B5607" s="14" t="s">
        <v>11550</v>
      </c>
      <c r="C5607" s="245" t="s">
        <v>5736</v>
      </c>
      <c r="D5607" s="15">
        <v>0</v>
      </c>
      <c r="E5607" s="15">
        <v>0</v>
      </c>
      <c r="F5607" s="15">
        <v>0</v>
      </c>
      <c r="G5607" s="15">
        <v>0</v>
      </c>
      <c r="H5607" s="15">
        <v>0</v>
      </c>
    </row>
    <row r="5608" spans="2:8">
      <c r="B5608" s="17" t="s">
        <v>11551</v>
      </c>
      <c r="C5608" s="246" t="s">
        <v>5737</v>
      </c>
      <c r="D5608" s="18">
        <v>0</v>
      </c>
      <c r="E5608" s="18">
        <v>0</v>
      </c>
      <c r="F5608" s="18">
        <v>0</v>
      </c>
      <c r="G5608" s="18">
        <v>0</v>
      </c>
      <c r="H5608" s="18">
        <v>0</v>
      </c>
    </row>
    <row r="5609" spans="2:8">
      <c r="B5609" s="14" t="s">
        <v>11552</v>
      </c>
      <c r="C5609" s="245" t="s">
        <v>5738</v>
      </c>
      <c r="D5609" s="15">
        <v>0</v>
      </c>
      <c r="E5609" s="15">
        <v>0</v>
      </c>
      <c r="F5609" s="15">
        <v>0</v>
      </c>
      <c r="G5609" s="15">
        <v>0</v>
      </c>
      <c r="H5609" s="15">
        <v>0</v>
      </c>
    </row>
    <row r="5610" spans="2:8">
      <c r="B5610" s="17" t="s">
        <v>11553</v>
      </c>
      <c r="C5610" s="246" t="s">
        <v>5739</v>
      </c>
      <c r="D5610" s="18">
        <v>0</v>
      </c>
      <c r="E5610" s="18">
        <v>0</v>
      </c>
      <c r="F5610" s="18">
        <v>0</v>
      </c>
      <c r="G5610" s="18">
        <v>0</v>
      </c>
      <c r="H5610" s="18">
        <v>0</v>
      </c>
    </row>
    <row r="5611" spans="2:8">
      <c r="B5611" s="14" t="s">
        <v>11554</v>
      </c>
      <c r="C5611" s="245" t="s">
        <v>5740</v>
      </c>
      <c r="D5611" s="15">
        <v>0</v>
      </c>
      <c r="E5611" s="15">
        <v>0</v>
      </c>
      <c r="F5611" s="15">
        <v>0</v>
      </c>
      <c r="G5611" s="15">
        <v>0</v>
      </c>
      <c r="H5611" s="15">
        <v>0</v>
      </c>
    </row>
    <row r="5612" spans="2:8">
      <c r="B5612" s="17" t="s">
        <v>11555</v>
      </c>
      <c r="C5612" s="246" t="s">
        <v>5741</v>
      </c>
      <c r="D5612" s="18">
        <v>0</v>
      </c>
      <c r="E5612" s="18">
        <v>0</v>
      </c>
      <c r="F5612" s="18">
        <v>0</v>
      </c>
      <c r="G5612" s="18">
        <v>0</v>
      </c>
      <c r="H5612" s="18">
        <v>0</v>
      </c>
    </row>
    <row r="5613" spans="2:8">
      <c r="B5613" s="14" t="s">
        <v>11556</v>
      </c>
      <c r="C5613" s="245" t="s">
        <v>5742</v>
      </c>
      <c r="D5613" s="15">
        <v>0</v>
      </c>
      <c r="E5613" s="15">
        <v>0</v>
      </c>
      <c r="F5613" s="15">
        <v>0</v>
      </c>
      <c r="G5613" s="15">
        <v>0</v>
      </c>
      <c r="H5613" s="15">
        <v>0</v>
      </c>
    </row>
    <row r="5614" spans="2:8">
      <c r="B5614" s="17" t="s">
        <v>11557</v>
      </c>
      <c r="C5614" s="246" t="s">
        <v>5743</v>
      </c>
      <c r="D5614" s="18">
        <v>0</v>
      </c>
      <c r="E5614" s="18">
        <v>0</v>
      </c>
      <c r="F5614" s="18">
        <v>0</v>
      </c>
      <c r="G5614" s="18">
        <v>0</v>
      </c>
      <c r="H5614" s="18">
        <v>0</v>
      </c>
    </row>
    <row r="5615" spans="2:8">
      <c r="B5615" s="14" t="s">
        <v>11558</v>
      </c>
      <c r="C5615" s="245" t="s">
        <v>5744</v>
      </c>
      <c r="D5615" s="15">
        <v>0</v>
      </c>
      <c r="E5615" s="15">
        <v>0</v>
      </c>
      <c r="F5615" s="15">
        <v>0</v>
      </c>
      <c r="G5615" s="15">
        <v>0</v>
      </c>
      <c r="H5615" s="15">
        <v>0</v>
      </c>
    </row>
    <row r="5616" spans="2:8">
      <c r="B5616" s="17" t="s">
        <v>11559</v>
      </c>
      <c r="C5616" s="246" t="s">
        <v>5745</v>
      </c>
      <c r="D5616" s="18">
        <v>0</v>
      </c>
      <c r="E5616" s="18">
        <v>0</v>
      </c>
      <c r="F5616" s="18">
        <v>0</v>
      </c>
      <c r="G5616" s="18">
        <v>0</v>
      </c>
      <c r="H5616" s="18">
        <v>0</v>
      </c>
    </row>
    <row r="5617" spans="2:8">
      <c r="B5617" s="14" t="s">
        <v>11560</v>
      </c>
      <c r="C5617" s="245" t="s">
        <v>5746</v>
      </c>
      <c r="D5617" s="15">
        <v>0</v>
      </c>
      <c r="E5617" s="15">
        <v>0</v>
      </c>
      <c r="F5617" s="15">
        <v>0</v>
      </c>
      <c r="G5617" s="15">
        <v>0</v>
      </c>
      <c r="H5617" s="15">
        <v>0</v>
      </c>
    </row>
    <row r="5618" spans="2:8">
      <c r="B5618" s="17" t="s">
        <v>11561</v>
      </c>
      <c r="C5618" s="246" t="s">
        <v>5747</v>
      </c>
      <c r="D5618" s="18">
        <v>0</v>
      </c>
      <c r="E5618" s="18">
        <v>0</v>
      </c>
      <c r="F5618" s="18">
        <v>0</v>
      </c>
      <c r="G5618" s="18">
        <v>0</v>
      </c>
      <c r="H5618" s="18">
        <v>0</v>
      </c>
    </row>
    <row r="5619" spans="2:8">
      <c r="B5619" s="14" t="s">
        <v>11562</v>
      </c>
      <c r="C5619" s="245" t="s">
        <v>5748</v>
      </c>
      <c r="D5619" s="15">
        <v>0</v>
      </c>
      <c r="E5619" s="15">
        <v>0</v>
      </c>
      <c r="F5619" s="15">
        <v>0</v>
      </c>
      <c r="G5619" s="15">
        <v>0</v>
      </c>
      <c r="H5619" s="15">
        <v>0</v>
      </c>
    </row>
    <row r="5620" spans="2:8">
      <c r="B5620" s="17" t="s">
        <v>11563</v>
      </c>
      <c r="C5620" s="246" t="s">
        <v>5749</v>
      </c>
      <c r="D5620" s="18">
        <v>0</v>
      </c>
      <c r="E5620" s="18">
        <v>0</v>
      </c>
      <c r="F5620" s="18">
        <v>0</v>
      </c>
      <c r="G5620" s="18">
        <v>0</v>
      </c>
      <c r="H5620" s="18">
        <v>0</v>
      </c>
    </row>
    <row r="5621" spans="2:8">
      <c r="B5621" s="14" t="s">
        <v>11564</v>
      </c>
      <c r="C5621" s="245" t="s">
        <v>5750</v>
      </c>
      <c r="D5621" s="15">
        <v>0</v>
      </c>
      <c r="E5621" s="15">
        <v>0</v>
      </c>
      <c r="F5621" s="15">
        <v>0</v>
      </c>
      <c r="G5621" s="15">
        <v>0</v>
      </c>
      <c r="H5621" s="15">
        <v>0</v>
      </c>
    </row>
    <row r="5622" spans="2:8">
      <c r="B5622" s="17" t="s">
        <v>11565</v>
      </c>
      <c r="C5622" s="246" t="s">
        <v>5751</v>
      </c>
      <c r="D5622" s="18">
        <v>0</v>
      </c>
      <c r="E5622" s="18">
        <v>0</v>
      </c>
      <c r="F5622" s="18">
        <v>0</v>
      </c>
      <c r="G5622" s="18">
        <v>0</v>
      </c>
      <c r="H5622" s="18">
        <v>0</v>
      </c>
    </row>
    <row r="5623" spans="2:8">
      <c r="B5623" s="14" t="s">
        <v>11566</v>
      </c>
      <c r="C5623" s="245" t="s">
        <v>5752</v>
      </c>
      <c r="D5623" s="15">
        <v>0</v>
      </c>
      <c r="E5623" s="15">
        <v>0</v>
      </c>
      <c r="F5623" s="15">
        <v>0</v>
      </c>
      <c r="G5623" s="15">
        <v>3</v>
      </c>
      <c r="H5623" s="15">
        <v>0</v>
      </c>
    </row>
    <row r="5624" spans="2:8">
      <c r="B5624" s="17" t="s">
        <v>11567</v>
      </c>
      <c r="C5624" s="246" t="s">
        <v>5753</v>
      </c>
      <c r="D5624" s="18">
        <v>0</v>
      </c>
      <c r="E5624" s="18">
        <v>0</v>
      </c>
      <c r="F5624" s="18">
        <v>0</v>
      </c>
      <c r="G5624" s="18">
        <v>0</v>
      </c>
      <c r="H5624" s="18">
        <v>0</v>
      </c>
    </row>
    <row r="5625" spans="2:8">
      <c r="B5625" s="14" t="s">
        <v>11568</v>
      </c>
      <c r="C5625" s="245" t="s">
        <v>5754</v>
      </c>
      <c r="D5625" s="15">
        <v>0</v>
      </c>
      <c r="E5625" s="15">
        <v>0</v>
      </c>
      <c r="F5625" s="15">
        <v>0</v>
      </c>
      <c r="G5625" s="15">
        <v>0</v>
      </c>
      <c r="H5625" s="15">
        <v>0</v>
      </c>
    </row>
    <row r="5626" spans="2:8">
      <c r="B5626" s="17" t="s">
        <v>11569</v>
      </c>
      <c r="C5626" s="246" t="s">
        <v>5755</v>
      </c>
      <c r="D5626" s="18">
        <v>0</v>
      </c>
      <c r="E5626" s="18">
        <v>0</v>
      </c>
      <c r="F5626" s="18">
        <v>0</v>
      </c>
      <c r="G5626" s="18">
        <v>0</v>
      </c>
      <c r="H5626" s="18">
        <v>0</v>
      </c>
    </row>
    <row r="5627" spans="2:8">
      <c r="B5627" s="14" t="s">
        <v>11570</v>
      </c>
      <c r="C5627" s="245" t="s">
        <v>5756</v>
      </c>
      <c r="D5627" s="15">
        <v>0</v>
      </c>
      <c r="E5627" s="15">
        <v>0</v>
      </c>
      <c r="F5627" s="15">
        <v>0</v>
      </c>
      <c r="G5627" s="15">
        <v>0</v>
      </c>
      <c r="H5627" s="15">
        <v>0</v>
      </c>
    </row>
    <row r="5628" spans="2:8">
      <c r="B5628" s="17" t="s">
        <v>11571</v>
      </c>
      <c r="C5628" s="246" t="s">
        <v>5757</v>
      </c>
      <c r="D5628" s="18">
        <v>0</v>
      </c>
      <c r="E5628" s="18">
        <v>0</v>
      </c>
      <c r="F5628" s="18">
        <v>0</v>
      </c>
      <c r="G5628" s="18">
        <v>0</v>
      </c>
      <c r="H5628" s="18">
        <v>0</v>
      </c>
    </row>
    <row r="5629" spans="2:8">
      <c r="B5629" s="14" t="s">
        <v>11572</v>
      </c>
      <c r="C5629" s="245" t="s">
        <v>5758</v>
      </c>
      <c r="D5629" s="15">
        <v>0</v>
      </c>
      <c r="E5629" s="15">
        <v>0</v>
      </c>
      <c r="F5629" s="15">
        <v>0</v>
      </c>
      <c r="G5629" s="15">
        <v>0</v>
      </c>
      <c r="H5629" s="15">
        <v>0</v>
      </c>
    </row>
    <row r="5630" spans="2:8">
      <c r="B5630" s="17" t="s">
        <v>11573</v>
      </c>
      <c r="C5630" s="246" t="s">
        <v>5759</v>
      </c>
      <c r="D5630" s="18">
        <v>0</v>
      </c>
      <c r="E5630" s="18">
        <v>0</v>
      </c>
      <c r="F5630" s="18">
        <v>0</v>
      </c>
      <c r="G5630" s="18">
        <v>0</v>
      </c>
      <c r="H5630" s="18">
        <v>0</v>
      </c>
    </row>
    <row r="5631" spans="2:8">
      <c r="B5631" s="14" t="s">
        <v>11574</v>
      </c>
      <c r="C5631" s="245" t="s">
        <v>5760</v>
      </c>
      <c r="D5631" s="15">
        <v>0</v>
      </c>
      <c r="E5631" s="15">
        <v>0</v>
      </c>
      <c r="F5631" s="15">
        <v>0</v>
      </c>
      <c r="G5631" s="15">
        <v>0</v>
      </c>
      <c r="H5631" s="15">
        <v>0</v>
      </c>
    </row>
    <row r="5632" spans="2:8">
      <c r="B5632" s="17" t="s">
        <v>11575</v>
      </c>
      <c r="C5632" s="246" t="s">
        <v>5761</v>
      </c>
      <c r="D5632" s="18">
        <v>0</v>
      </c>
      <c r="E5632" s="18">
        <v>0</v>
      </c>
      <c r="F5632" s="18">
        <v>0</v>
      </c>
      <c r="G5632" s="18">
        <v>0</v>
      </c>
      <c r="H5632" s="18">
        <v>0</v>
      </c>
    </row>
    <row r="5633" spans="2:8">
      <c r="B5633" s="14" t="s">
        <v>11576</v>
      </c>
      <c r="C5633" s="245" t="s">
        <v>5762</v>
      </c>
      <c r="D5633" s="15">
        <v>0</v>
      </c>
      <c r="E5633" s="15">
        <v>0</v>
      </c>
      <c r="F5633" s="15">
        <v>0</v>
      </c>
      <c r="G5633" s="15">
        <v>0</v>
      </c>
      <c r="H5633" s="15">
        <v>0</v>
      </c>
    </row>
    <row r="5634" spans="2:8">
      <c r="B5634" s="17" t="s">
        <v>11577</v>
      </c>
      <c r="C5634" s="246" t="s">
        <v>5763</v>
      </c>
      <c r="D5634" s="18">
        <v>0</v>
      </c>
      <c r="E5634" s="18">
        <v>0</v>
      </c>
      <c r="F5634" s="18">
        <v>27</v>
      </c>
      <c r="G5634" s="18">
        <v>15</v>
      </c>
      <c r="H5634" s="18">
        <v>0</v>
      </c>
    </row>
    <row r="5635" spans="2:8">
      <c r="B5635" s="14" t="s">
        <v>11578</v>
      </c>
      <c r="C5635" s="245" t="s">
        <v>5764</v>
      </c>
      <c r="D5635" s="15">
        <v>0</v>
      </c>
      <c r="E5635" s="15">
        <v>0</v>
      </c>
      <c r="F5635" s="15">
        <v>0</v>
      </c>
      <c r="G5635" s="15">
        <v>0</v>
      </c>
      <c r="H5635" s="15">
        <v>0</v>
      </c>
    </row>
    <row r="5636" spans="2:8">
      <c r="B5636" s="17" t="s">
        <v>11579</v>
      </c>
      <c r="C5636" s="246" t="s">
        <v>5765</v>
      </c>
      <c r="D5636" s="18">
        <v>0</v>
      </c>
      <c r="E5636" s="18">
        <v>0</v>
      </c>
      <c r="F5636" s="18">
        <v>0</v>
      </c>
      <c r="G5636" s="18">
        <v>0</v>
      </c>
      <c r="H5636" s="18">
        <v>0</v>
      </c>
    </row>
    <row r="5637" spans="2:8">
      <c r="B5637" s="14" t="s">
        <v>11580</v>
      </c>
      <c r="C5637" s="245" t="s">
        <v>5766</v>
      </c>
      <c r="D5637" s="15">
        <v>0</v>
      </c>
      <c r="E5637" s="15">
        <v>0</v>
      </c>
      <c r="F5637" s="15">
        <v>0</v>
      </c>
      <c r="G5637" s="15">
        <v>0</v>
      </c>
      <c r="H5637" s="15">
        <v>0</v>
      </c>
    </row>
    <row r="5638" spans="2:8">
      <c r="B5638" s="17" t="s">
        <v>11581</v>
      </c>
      <c r="C5638" s="246" t="s">
        <v>5767</v>
      </c>
      <c r="D5638" s="18">
        <v>0</v>
      </c>
      <c r="E5638" s="18">
        <v>0</v>
      </c>
      <c r="F5638" s="18">
        <v>0</v>
      </c>
      <c r="G5638" s="18">
        <v>0</v>
      </c>
      <c r="H5638" s="18">
        <v>0</v>
      </c>
    </row>
    <row r="5639" spans="2:8">
      <c r="B5639" s="14" t="s">
        <v>11582</v>
      </c>
      <c r="C5639" s="245" t="s">
        <v>5768</v>
      </c>
      <c r="D5639" s="15">
        <v>67</v>
      </c>
      <c r="E5639" s="15">
        <v>37</v>
      </c>
      <c r="F5639" s="15">
        <v>54</v>
      </c>
      <c r="G5639" s="15">
        <v>0</v>
      </c>
      <c r="H5639" s="15">
        <v>0</v>
      </c>
    </row>
    <row r="5640" spans="2:8">
      <c r="B5640" s="17" t="s">
        <v>11583</v>
      </c>
      <c r="C5640" s="246" t="s">
        <v>5769</v>
      </c>
      <c r="D5640" s="18">
        <v>0</v>
      </c>
      <c r="E5640" s="18">
        <v>0</v>
      </c>
      <c r="F5640" s="18">
        <v>0</v>
      </c>
      <c r="G5640" s="18">
        <v>0</v>
      </c>
      <c r="H5640" s="18">
        <v>0</v>
      </c>
    </row>
    <row r="5641" spans="2:8">
      <c r="B5641" s="14" t="s">
        <v>11584</v>
      </c>
      <c r="C5641" s="245" t="s">
        <v>5770</v>
      </c>
      <c r="D5641" s="15">
        <v>19</v>
      </c>
      <c r="E5641" s="15">
        <v>0</v>
      </c>
      <c r="F5641" s="15">
        <v>0</v>
      </c>
      <c r="G5641" s="15">
        <v>6</v>
      </c>
      <c r="H5641" s="15">
        <v>0</v>
      </c>
    </row>
    <row r="5642" spans="2:8">
      <c r="B5642" s="17" t="s">
        <v>11585</v>
      </c>
      <c r="C5642" s="246" t="s">
        <v>5771</v>
      </c>
      <c r="D5642" s="18">
        <v>47</v>
      </c>
      <c r="E5642" s="18">
        <v>161</v>
      </c>
      <c r="F5642" s="18">
        <v>0</v>
      </c>
      <c r="G5642" s="18">
        <v>0</v>
      </c>
      <c r="H5642" s="18">
        <v>0</v>
      </c>
    </row>
    <row r="5643" spans="2:8">
      <c r="B5643" s="14" t="s">
        <v>11586</v>
      </c>
      <c r="C5643" s="245" t="s">
        <v>5772</v>
      </c>
      <c r="D5643" s="15">
        <v>0</v>
      </c>
      <c r="E5643" s="15">
        <v>0</v>
      </c>
      <c r="F5643" s="15">
        <v>0</v>
      </c>
      <c r="G5643" s="15">
        <v>0</v>
      </c>
      <c r="H5643" s="15">
        <v>0</v>
      </c>
    </row>
    <row r="5644" spans="2:8">
      <c r="B5644" s="17" t="s">
        <v>11587</v>
      </c>
      <c r="C5644" s="246" t="s">
        <v>5773</v>
      </c>
      <c r="D5644" s="18">
        <v>10</v>
      </c>
      <c r="E5644" s="18">
        <v>0</v>
      </c>
      <c r="F5644" s="18">
        <v>0</v>
      </c>
      <c r="G5644" s="18">
        <v>0</v>
      </c>
      <c r="H5644" s="18">
        <v>0</v>
      </c>
    </row>
    <row r="5645" spans="2:8">
      <c r="B5645" s="14" t="s">
        <v>11588</v>
      </c>
      <c r="C5645" s="245" t="s">
        <v>5774</v>
      </c>
      <c r="D5645" s="15">
        <v>0</v>
      </c>
      <c r="E5645" s="15">
        <v>0</v>
      </c>
      <c r="F5645" s="15">
        <v>0</v>
      </c>
      <c r="G5645" s="15">
        <v>53</v>
      </c>
      <c r="H5645" s="15">
        <v>0</v>
      </c>
    </row>
    <row r="5646" spans="2:8">
      <c r="B5646" s="17" t="s">
        <v>11589</v>
      </c>
      <c r="C5646" s="246" t="s">
        <v>5775</v>
      </c>
      <c r="D5646" s="18">
        <v>0</v>
      </c>
      <c r="E5646" s="18">
        <v>52</v>
      </c>
      <c r="F5646" s="18">
        <v>103</v>
      </c>
      <c r="G5646" s="18">
        <v>62</v>
      </c>
      <c r="H5646" s="18">
        <v>0</v>
      </c>
    </row>
    <row r="5647" spans="2:8">
      <c r="B5647" s="14" t="s">
        <v>11590</v>
      </c>
      <c r="C5647" s="245" t="s">
        <v>5776</v>
      </c>
      <c r="D5647" s="15">
        <v>0</v>
      </c>
      <c r="E5647" s="15">
        <v>0</v>
      </c>
      <c r="F5647" s="15">
        <v>0</v>
      </c>
      <c r="G5647" s="15">
        <v>0</v>
      </c>
      <c r="H5647" s="15">
        <v>0</v>
      </c>
    </row>
    <row r="5648" spans="2:8">
      <c r="B5648" s="17" t="s">
        <v>11591</v>
      </c>
      <c r="C5648" s="246" t="s">
        <v>5777</v>
      </c>
      <c r="D5648" s="18">
        <v>0</v>
      </c>
      <c r="E5648" s="18">
        <v>0</v>
      </c>
      <c r="F5648" s="18">
        <v>0</v>
      </c>
      <c r="G5648" s="18">
        <v>10</v>
      </c>
      <c r="H5648" s="18">
        <v>0</v>
      </c>
    </row>
    <row r="5649" spans="2:8">
      <c r="B5649" s="14" t="s">
        <v>11592</v>
      </c>
      <c r="C5649" s="245" t="s">
        <v>5778</v>
      </c>
      <c r="D5649" s="15">
        <v>0</v>
      </c>
      <c r="E5649" s="15">
        <v>0</v>
      </c>
      <c r="F5649" s="15">
        <v>0</v>
      </c>
      <c r="G5649" s="15">
        <v>0</v>
      </c>
      <c r="H5649" s="15">
        <v>0</v>
      </c>
    </row>
    <row r="5650" spans="2:8">
      <c r="B5650" s="17" t="s">
        <v>11593</v>
      </c>
      <c r="C5650" s="246" t="s">
        <v>3507</v>
      </c>
      <c r="D5650" s="18">
        <v>0</v>
      </c>
      <c r="E5650" s="18">
        <v>0</v>
      </c>
      <c r="F5650" s="18">
        <v>0</v>
      </c>
      <c r="G5650" s="18">
        <v>0</v>
      </c>
      <c r="H5650" s="18">
        <v>0</v>
      </c>
    </row>
    <row r="5651" spans="2:8">
      <c r="B5651" s="14" t="s">
        <v>11594</v>
      </c>
      <c r="C5651" s="245" t="s">
        <v>5779</v>
      </c>
      <c r="D5651" s="15">
        <v>0</v>
      </c>
      <c r="E5651" s="15">
        <v>0</v>
      </c>
      <c r="F5651" s="15">
        <v>0</v>
      </c>
      <c r="G5651" s="15">
        <v>0</v>
      </c>
      <c r="H5651" s="15">
        <v>0</v>
      </c>
    </row>
    <row r="5652" spans="2:8">
      <c r="B5652" s="17" t="s">
        <v>11595</v>
      </c>
      <c r="C5652" s="246" t="s">
        <v>5780</v>
      </c>
      <c r="D5652" s="18">
        <v>0</v>
      </c>
      <c r="E5652" s="18">
        <v>0</v>
      </c>
      <c r="F5652" s="18">
        <v>0</v>
      </c>
      <c r="G5652" s="18">
        <v>0</v>
      </c>
      <c r="H5652" s="18">
        <v>0</v>
      </c>
    </row>
    <row r="5653" spans="2:8">
      <c r="B5653" s="14" t="s">
        <v>11596</v>
      </c>
      <c r="C5653" s="245" t="s">
        <v>5781</v>
      </c>
      <c r="D5653" s="15">
        <v>0</v>
      </c>
      <c r="E5653" s="15">
        <v>0</v>
      </c>
      <c r="F5653" s="15">
        <v>0</v>
      </c>
      <c r="G5653" s="15">
        <v>0</v>
      </c>
      <c r="H5653" s="15">
        <v>0</v>
      </c>
    </row>
    <row r="5654" spans="2:8">
      <c r="B5654" s="17" t="s">
        <v>11597</v>
      </c>
      <c r="C5654" s="246" t="s">
        <v>5782</v>
      </c>
      <c r="D5654" s="18">
        <v>0</v>
      </c>
      <c r="E5654" s="18">
        <v>0</v>
      </c>
      <c r="F5654" s="18">
        <v>0</v>
      </c>
      <c r="G5654" s="18">
        <v>0</v>
      </c>
      <c r="H5654" s="18">
        <v>0</v>
      </c>
    </row>
    <row r="5655" spans="2:8">
      <c r="B5655" s="14" t="s">
        <v>11598</v>
      </c>
      <c r="C5655" s="245" t="s">
        <v>5783</v>
      </c>
      <c r="D5655" s="15">
        <v>0</v>
      </c>
      <c r="E5655" s="15">
        <v>0</v>
      </c>
      <c r="F5655" s="15">
        <v>0</v>
      </c>
      <c r="G5655" s="15">
        <v>0</v>
      </c>
      <c r="H5655" s="15">
        <v>0</v>
      </c>
    </row>
    <row r="5656" spans="2:8">
      <c r="B5656" s="17" t="s">
        <v>11599</v>
      </c>
      <c r="C5656" s="246" t="s">
        <v>5784</v>
      </c>
      <c r="D5656" s="18">
        <v>0</v>
      </c>
      <c r="E5656" s="18">
        <v>0</v>
      </c>
      <c r="F5656" s="18">
        <v>0</v>
      </c>
      <c r="G5656" s="18">
        <v>0</v>
      </c>
      <c r="H5656" s="18">
        <v>0</v>
      </c>
    </row>
    <row r="5657" spans="2:8">
      <c r="B5657" s="14" t="s">
        <v>11600</v>
      </c>
      <c r="C5657" s="245" t="s">
        <v>5785</v>
      </c>
      <c r="D5657" s="15">
        <v>47</v>
      </c>
      <c r="E5657" s="15">
        <v>0</v>
      </c>
      <c r="F5657" s="15">
        <v>42</v>
      </c>
      <c r="G5657" s="15">
        <v>0</v>
      </c>
      <c r="H5657" s="15">
        <v>0</v>
      </c>
    </row>
    <row r="5658" spans="2:8">
      <c r="B5658" s="17" t="s">
        <v>11601</v>
      </c>
      <c r="C5658" s="246" t="s">
        <v>5786</v>
      </c>
      <c r="D5658" s="18">
        <v>0</v>
      </c>
      <c r="E5658" s="18">
        <v>0</v>
      </c>
      <c r="F5658" s="18">
        <v>0</v>
      </c>
      <c r="G5658" s="18">
        <v>0</v>
      </c>
      <c r="H5658" s="18">
        <v>0</v>
      </c>
    </row>
    <row r="5659" spans="2:8">
      <c r="B5659" s="14" t="s">
        <v>11602</v>
      </c>
      <c r="C5659" s="245" t="s">
        <v>5787</v>
      </c>
      <c r="D5659" s="15">
        <v>0</v>
      </c>
      <c r="E5659" s="15">
        <v>0</v>
      </c>
      <c r="F5659" s="15">
        <v>0</v>
      </c>
      <c r="G5659" s="15">
        <v>0</v>
      </c>
      <c r="H5659" s="15">
        <v>0</v>
      </c>
    </row>
    <row r="5660" spans="2:8">
      <c r="B5660" s="17" t="s">
        <v>11603</v>
      </c>
      <c r="C5660" s="246" t="s">
        <v>5788</v>
      </c>
      <c r="D5660" s="18">
        <v>0</v>
      </c>
      <c r="E5660" s="18">
        <v>0</v>
      </c>
      <c r="F5660" s="18">
        <v>0</v>
      </c>
      <c r="G5660" s="18">
        <v>0</v>
      </c>
      <c r="H5660" s="18">
        <v>0</v>
      </c>
    </row>
    <row r="5661" spans="2:8">
      <c r="B5661" s="14" t="s">
        <v>11604</v>
      </c>
      <c r="C5661" s="245" t="s">
        <v>5788</v>
      </c>
      <c r="D5661" s="15">
        <v>0</v>
      </c>
      <c r="E5661" s="15">
        <v>0</v>
      </c>
      <c r="F5661" s="15">
        <v>0</v>
      </c>
      <c r="G5661" s="15">
        <v>0</v>
      </c>
      <c r="H5661" s="15">
        <v>0</v>
      </c>
    </row>
    <row r="5662" spans="2:8">
      <c r="B5662" s="17" t="s">
        <v>11605</v>
      </c>
      <c r="C5662" s="246" t="s">
        <v>5789</v>
      </c>
      <c r="D5662" s="18">
        <v>0</v>
      </c>
      <c r="E5662" s="18">
        <v>0</v>
      </c>
      <c r="F5662" s="18">
        <v>0</v>
      </c>
      <c r="G5662" s="18">
        <v>0</v>
      </c>
      <c r="H5662" s="18">
        <v>0</v>
      </c>
    </row>
    <row r="5663" spans="2:8">
      <c r="B5663" s="14" t="s">
        <v>11606</v>
      </c>
      <c r="C5663" s="245" t="s">
        <v>3534</v>
      </c>
      <c r="D5663" s="15">
        <v>0</v>
      </c>
      <c r="E5663" s="15">
        <v>0</v>
      </c>
      <c r="F5663" s="15">
        <v>0</v>
      </c>
      <c r="G5663" s="15">
        <v>0</v>
      </c>
      <c r="H5663" s="15">
        <v>0</v>
      </c>
    </row>
    <row r="5664" spans="2:8">
      <c r="B5664" s="17" t="s">
        <v>11607</v>
      </c>
      <c r="C5664" s="246" t="s">
        <v>1923</v>
      </c>
      <c r="D5664" s="18">
        <v>0</v>
      </c>
      <c r="E5664" s="18">
        <v>0</v>
      </c>
      <c r="F5664" s="18">
        <v>0</v>
      </c>
      <c r="G5664" s="18">
        <v>0</v>
      </c>
      <c r="H5664" s="18">
        <v>0</v>
      </c>
    </row>
    <row r="5665" spans="2:8">
      <c r="B5665" s="14" t="s">
        <v>11608</v>
      </c>
      <c r="C5665" s="245" t="s">
        <v>5790</v>
      </c>
      <c r="D5665" s="15">
        <v>0</v>
      </c>
      <c r="E5665" s="15">
        <v>0</v>
      </c>
      <c r="F5665" s="15">
        <v>0</v>
      </c>
      <c r="G5665" s="15">
        <v>0</v>
      </c>
      <c r="H5665" s="15">
        <v>0</v>
      </c>
    </row>
    <row r="5666" spans="2:8">
      <c r="B5666" s="17" t="s">
        <v>11609</v>
      </c>
      <c r="C5666" s="246" t="s">
        <v>5791</v>
      </c>
      <c r="D5666" s="18">
        <v>0</v>
      </c>
      <c r="E5666" s="18">
        <v>0</v>
      </c>
      <c r="F5666" s="18">
        <v>9</v>
      </c>
      <c r="G5666" s="18">
        <v>0</v>
      </c>
      <c r="H5666" s="18">
        <v>0</v>
      </c>
    </row>
    <row r="5667" spans="2:8">
      <c r="B5667" s="14" t="s">
        <v>11610</v>
      </c>
      <c r="C5667" s="245" t="s">
        <v>5792</v>
      </c>
      <c r="D5667" s="15">
        <v>0</v>
      </c>
      <c r="E5667" s="15">
        <v>0</v>
      </c>
      <c r="F5667" s="15">
        <v>0</v>
      </c>
      <c r="G5667" s="15">
        <v>0</v>
      </c>
      <c r="H5667" s="15">
        <v>0</v>
      </c>
    </row>
    <row r="5668" spans="2:8">
      <c r="B5668" s="17" t="s">
        <v>11611</v>
      </c>
      <c r="C5668" s="246" t="s">
        <v>5793</v>
      </c>
      <c r="D5668" s="18">
        <v>0</v>
      </c>
      <c r="E5668" s="18">
        <v>0</v>
      </c>
      <c r="F5668" s="18">
        <v>0</v>
      </c>
      <c r="G5668" s="18">
        <v>0</v>
      </c>
      <c r="H5668" s="18">
        <v>0</v>
      </c>
    </row>
    <row r="5669" spans="2:8">
      <c r="B5669" s="14" t="s">
        <v>11612</v>
      </c>
      <c r="C5669" s="245" t="s">
        <v>5794</v>
      </c>
      <c r="D5669" s="15">
        <v>0</v>
      </c>
      <c r="E5669" s="15">
        <v>0</v>
      </c>
      <c r="F5669" s="15">
        <v>0</v>
      </c>
      <c r="G5669" s="15">
        <v>0</v>
      </c>
      <c r="H5669" s="15">
        <v>0</v>
      </c>
    </row>
    <row r="5670" spans="2:8">
      <c r="B5670" s="17" t="s">
        <v>11613</v>
      </c>
      <c r="C5670" s="246" t="s">
        <v>5795</v>
      </c>
      <c r="D5670" s="18">
        <v>0</v>
      </c>
      <c r="E5670" s="18">
        <v>0</v>
      </c>
      <c r="F5670" s="18">
        <v>0</v>
      </c>
      <c r="G5670" s="18">
        <v>0</v>
      </c>
      <c r="H5670" s="18">
        <v>0</v>
      </c>
    </row>
    <row r="5671" spans="2:8">
      <c r="B5671" s="14" t="s">
        <v>11614</v>
      </c>
      <c r="C5671" s="245" t="s">
        <v>5796</v>
      </c>
      <c r="D5671" s="15">
        <v>0</v>
      </c>
      <c r="E5671" s="15">
        <v>0</v>
      </c>
      <c r="F5671" s="15">
        <v>0</v>
      </c>
      <c r="G5671" s="15">
        <v>0</v>
      </c>
      <c r="H5671" s="15">
        <v>0</v>
      </c>
    </row>
    <row r="5672" spans="2:8">
      <c r="B5672" s="17" t="s">
        <v>11615</v>
      </c>
      <c r="C5672" s="246" t="s">
        <v>5797</v>
      </c>
      <c r="D5672" s="18">
        <v>0</v>
      </c>
      <c r="E5672" s="18">
        <v>0</v>
      </c>
      <c r="F5672" s="18">
        <v>0</v>
      </c>
      <c r="G5672" s="18">
        <v>0</v>
      </c>
      <c r="H5672" s="18">
        <v>0</v>
      </c>
    </row>
    <row r="5673" spans="2:8">
      <c r="B5673" s="14" t="s">
        <v>11616</v>
      </c>
      <c r="C5673" s="245" t="s">
        <v>5798</v>
      </c>
      <c r="D5673" s="15">
        <v>0</v>
      </c>
      <c r="E5673" s="15">
        <v>0</v>
      </c>
      <c r="F5673" s="15">
        <v>0</v>
      </c>
      <c r="G5673" s="15">
        <v>0</v>
      </c>
      <c r="H5673" s="15">
        <v>0</v>
      </c>
    </row>
    <row r="5674" spans="2:8">
      <c r="B5674" s="17" t="s">
        <v>11617</v>
      </c>
      <c r="C5674" s="246" t="s">
        <v>5799</v>
      </c>
      <c r="D5674" s="18">
        <v>0</v>
      </c>
      <c r="E5674" s="18">
        <v>0</v>
      </c>
      <c r="F5674" s="18">
        <v>0</v>
      </c>
      <c r="G5674" s="18">
        <v>0</v>
      </c>
      <c r="H5674" s="18">
        <v>0</v>
      </c>
    </row>
    <row r="5675" spans="2:8">
      <c r="B5675" s="14" t="s">
        <v>11618</v>
      </c>
      <c r="C5675" s="245" t="s">
        <v>5800</v>
      </c>
      <c r="D5675" s="15">
        <v>0</v>
      </c>
      <c r="E5675" s="15">
        <v>0</v>
      </c>
      <c r="F5675" s="15">
        <v>0</v>
      </c>
      <c r="G5675" s="15">
        <v>0</v>
      </c>
      <c r="H5675" s="15">
        <v>0</v>
      </c>
    </row>
    <row r="5676" spans="2:8">
      <c r="B5676" s="17" t="s">
        <v>11619</v>
      </c>
      <c r="C5676" s="246" t="s">
        <v>5801</v>
      </c>
      <c r="D5676" s="18">
        <v>0</v>
      </c>
      <c r="E5676" s="18">
        <v>0</v>
      </c>
      <c r="F5676" s="18">
        <v>0</v>
      </c>
      <c r="G5676" s="18">
        <v>0</v>
      </c>
      <c r="H5676" s="18">
        <v>0</v>
      </c>
    </row>
    <row r="5677" spans="2:8">
      <c r="B5677" s="14" t="s">
        <v>11620</v>
      </c>
      <c r="C5677" s="245" t="s">
        <v>1107</v>
      </c>
      <c r="D5677" s="15">
        <v>9</v>
      </c>
      <c r="E5677" s="15">
        <v>19</v>
      </c>
      <c r="F5677" s="15">
        <v>9</v>
      </c>
      <c r="G5677" s="15">
        <v>8</v>
      </c>
      <c r="H5677" s="15">
        <v>0</v>
      </c>
    </row>
    <row r="5678" spans="2:8">
      <c r="B5678" s="17" t="s">
        <v>11621</v>
      </c>
      <c r="C5678" s="246" t="s">
        <v>5802</v>
      </c>
      <c r="D5678" s="18">
        <v>0</v>
      </c>
      <c r="E5678" s="18">
        <v>0</v>
      </c>
      <c r="F5678" s="18">
        <v>0</v>
      </c>
      <c r="G5678" s="18">
        <v>0</v>
      </c>
      <c r="H5678" s="18">
        <v>0</v>
      </c>
    </row>
    <row r="5679" spans="2:8">
      <c r="B5679" s="14" t="s">
        <v>11622</v>
      </c>
      <c r="C5679" s="245" t="s">
        <v>2447</v>
      </c>
      <c r="D5679" s="15">
        <v>0</v>
      </c>
      <c r="E5679" s="15">
        <v>0</v>
      </c>
      <c r="F5679" s="15">
        <v>0</v>
      </c>
      <c r="G5679" s="15">
        <v>0</v>
      </c>
      <c r="H5679" s="15">
        <v>0</v>
      </c>
    </row>
    <row r="5680" spans="2:8">
      <c r="B5680" s="17" t="s">
        <v>11623</v>
      </c>
      <c r="C5680" s="246" t="s">
        <v>5803</v>
      </c>
      <c r="D5680" s="18">
        <v>0</v>
      </c>
      <c r="E5680" s="18">
        <v>0</v>
      </c>
      <c r="F5680" s="18">
        <v>0</v>
      </c>
      <c r="G5680" s="18">
        <v>0</v>
      </c>
      <c r="H5680" s="18">
        <v>0</v>
      </c>
    </row>
    <row r="5681" spans="2:8">
      <c r="B5681" s="14" t="s">
        <v>11624</v>
      </c>
      <c r="C5681" s="245" t="s">
        <v>5804</v>
      </c>
      <c r="D5681" s="15">
        <v>0</v>
      </c>
      <c r="E5681" s="15">
        <v>0</v>
      </c>
      <c r="F5681" s="15">
        <v>0</v>
      </c>
      <c r="G5681" s="15">
        <v>0</v>
      </c>
      <c r="H5681" s="15">
        <v>0</v>
      </c>
    </row>
    <row r="5682" spans="2:8">
      <c r="B5682" s="17" t="s">
        <v>11625</v>
      </c>
      <c r="C5682" s="246" t="s">
        <v>5805</v>
      </c>
      <c r="D5682" s="18">
        <v>0</v>
      </c>
      <c r="E5682" s="18">
        <v>0</v>
      </c>
      <c r="F5682" s="18">
        <v>0</v>
      </c>
      <c r="G5682" s="18">
        <v>0</v>
      </c>
      <c r="H5682" s="18">
        <v>0</v>
      </c>
    </row>
    <row r="5683" spans="2:8">
      <c r="B5683" s="14" t="s">
        <v>11626</v>
      </c>
      <c r="C5683" s="245" t="s">
        <v>5806</v>
      </c>
      <c r="D5683" s="15">
        <v>0</v>
      </c>
      <c r="E5683" s="15">
        <v>0</v>
      </c>
      <c r="F5683" s="15">
        <v>0</v>
      </c>
      <c r="G5683" s="15">
        <v>0</v>
      </c>
      <c r="H5683" s="15">
        <v>0</v>
      </c>
    </row>
    <row r="5684" spans="2:8">
      <c r="B5684" s="17" t="s">
        <v>11627</v>
      </c>
      <c r="C5684" s="246" t="s">
        <v>5807</v>
      </c>
      <c r="D5684" s="18">
        <v>0</v>
      </c>
      <c r="E5684" s="18">
        <v>0</v>
      </c>
      <c r="F5684" s="18">
        <v>0</v>
      </c>
      <c r="G5684" s="18">
        <v>0</v>
      </c>
      <c r="H5684" s="18">
        <v>0</v>
      </c>
    </row>
    <row r="5685" spans="2:8">
      <c r="B5685" s="14" t="s">
        <v>11628</v>
      </c>
      <c r="C5685" s="245" t="s">
        <v>5808</v>
      </c>
      <c r="D5685" s="15">
        <v>0</v>
      </c>
      <c r="E5685" s="15">
        <v>0</v>
      </c>
      <c r="F5685" s="15">
        <v>0</v>
      </c>
      <c r="G5685" s="15">
        <v>0</v>
      </c>
      <c r="H5685" s="15">
        <v>0</v>
      </c>
    </row>
    <row r="5686" spans="2:8">
      <c r="B5686" s="17" t="s">
        <v>11629</v>
      </c>
      <c r="C5686" s="246" t="s">
        <v>5809</v>
      </c>
      <c r="D5686" s="18">
        <v>1</v>
      </c>
      <c r="E5686" s="18">
        <v>1</v>
      </c>
      <c r="F5686" s="18">
        <v>0</v>
      </c>
      <c r="G5686" s="18">
        <v>2</v>
      </c>
      <c r="H5686" s="18">
        <v>0</v>
      </c>
    </row>
    <row r="5687" spans="2:8">
      <c r="B5687" s="14" t="s">
        <v>11630</v>
      </c>
      <c r="C5687" s="245" t="s">
        <v>5810</v>
      </c>
      <c r="D5687" s="15">
        <v>0</v>
      </c>
      <c r="E5687" s="15">
        <v>0</v>
      </c>
      <c r="F5687" s="15">
        <v>0</v>
      </c>
      <c r="G5687" s="15">
        <v>0</v>
      </c>
      <c r="H5687" s="15">
        <v>0</v>
      </c>
    </row>
    <row r="5688" spans="2:8">
      <c r="B5688" s="17" t="s">
        <v>11631</v>
      </c>
      <c r="C5688" s="246" t="s">
        <v>5811</v>
      </c>
      <c r="D5688" s="18">
        <v>1</v>
      </c>
      <c r="E5688" s="18">
        <v>0</v>
      </c>
      <c r="F5688" s="18">
        <v>0</v>
      </c>
      <c r="G5688" s="18">
        <v>0</v>
      </c>
      <c r="H5688" s="18">
        <v>0</v>
      </c>
    </row>
    <row r="5689" spans="2:8">
      <c r="B5689" s="14" t="s">
        <v>11632</v>
      </c>
      <c r="C5689" s="245" t="s">
        <v>5812</v>
      </c>
      <c r="D5689" s="15">
        <v>0</v>
      </c>
      <c r="E5689" s="15">
        <v>0</v>
      </c>
      <c r="F5689" s="15">
        <v>0</v>
      </c>
      <c r="G5689" s="15">
        <v>0</v>
      </c>
      <c r="H5689" s="15">
        <v>0</v>
      </c>
    </row>
    <row r="5690" spans="2:8">
      <c r="B5690" s="17" t="s">
        <v>11633</v>
      </c>
      <c r="C5690" s="246" t="s">
        <v>1874</v>
      </c>
      <c r="D5690" s="18">
        <v>0</v>
      </c>
      <c r="E5690" s="18">
        <v>0</v>
      </c>
      <c r="F5690" s="18">
        <v>0</v>
      </c>
      <c r="G5690" s="18">
        <v>0</v>
      </c>
      <c r="H5690" s="18">
        <v>0</v>
      </c>
    </row>
    <row r="5691" spans="2:8">
      <c r="B5691" s="14" t="s">
        <v>11634</v>
      </c>
      <c r="C5691" s="245" t="s">
        <v>5813</v>
      </c>
      <c r="D5691" s="15">
        <v>0</v>
      </c>
      <c r="E5691" s="15">
        <v>49</v>
      </c>
      <c r="F5691" s="15">
        <v>0</v>
      </c>
      <c r="G5691" s="15">
        <v>0</v>
      </c>
      <c r="H5691" s="15">
        <v>0</v>
      </c>
    </row>
    <row r="5692" spans="2:8">
      <c r="B5692" s="17" t="s">
        <v>11635</v>
      </c>
      <c r="C5692" s="246" t="s">
        <v>5814</v>
      </c>
      <c r="D5692" s="18">
        <v>0</v>
      </c>
      <c r="E5692" s="18">
        <v>0</v>
      </c>
      <c r="F5692" s="18">
        <v>0</v>
      </c>
      <c r="G5692" s="18">
        <v>0</v>
      </c>
      <c r="H5692" s="18">
        <v>0</v>
      </c>
    </row>
    <row r="5693" spans="2:8">
      <c r="B5693" s="14" t="s">
        <v>11636</v>
      </c>
      <c r="C5693" s="245" t="s">
        <v>5815</v>
      </c>
      <c r="D5693" s="15">
        <v>0</v>
      </c>
      <c r="E5693" s="15">
        <v>0</v>
      </c>
      <c r="F5693" s="15">
        <v>0</v>
      </c>
      <c r="G5693" s="15">
        <v>41</v>
      </c>
      <c r="H5693" s="15">
        <v>0</v>
      </c>
    </row>
    <row r="5694" spans="2:8">
      <c r="B5694" s="17" t="s">
        <v>11637</v>
      </c>
      <c r="C5694" s="246" t="s">
        <v>5816</v>
      </c>
      <c r="D5694" s="18">
        <v>0</v>
      </c>
      <c r="E5694" s="18">
        <v>0</v>
      </c>
      <c r="F5694" s="18">
        <v>0</v>
      </c>
      <c r="G5694" s="18">
        <v>0</v>
      </c>
      <c r="H5694" s="18">
        <v>0</v>
      </c>
    </row>
    <row r="5695" spans="2:8">
      <c r="B5695" s="14" t="s">
        <v>11638</v>
      </c>
      <c r="C5695" s="245" t="s">
        <v>5817</v>
      </c>
      <c r="D5695" s="15">
        <v>0</v>
      </c>
      <c r="E5695" s="15">
        <v>0</v>
      </c>
      <c r="F5695" s="15">
        <v>0</v>
      </c>
      <c r="G5695" s="15">
        <v>0</v>
      </c>
      <c r="H5695" s="15">
        <v>0</v>
      </c>
    </row>
    <row r="5696" spans="2:8">
      <c r="B5696" s="17" t="s">
        <v>11639</v>
      </c>
      <c r="C5696" s="246" t="s">
        <v>5818</v>
      </c>
      <c r="D5696" s="18">
        <v>0</v>
      </c>
      <c r="E5696" s="18">
        <v>0</v>
      </c>
      <c r="F5696" s="18">
        <v>0</v>
      </c>
      <c r="G5696" s="18">
        <v>0</v>
      </c>
      <c r="H5696" s="18">
        <v>0</v>
      </c>
    </row>
    <row r="5697" spans="2:8">
      <c r="B5697" s="14" t="s">
        <v>11640</v>
      </c>
      <c r="C5697" s="245" t="s">
        <v>5819</v>
      </c>
      <c r="D5697" s="15">
        <v>0</v>
      </c>
      <c r="E5697" s="15">
        <v>0</v>
      </c>
      <c r="F5697" s="15">
        <v>0</v>
      </c>
      <c r="G5697" s="15">
        <v>0</v>
      </c>
      <c r="H5697" s="15">
        <v>0</v>
      </c>
    </row>
    <row r="5698" spans="2:8">
      <c r="B5698" s="17" t="s">
        <v>11641</v>
      </c>
      <c r="C5698" s="246" t="s">
        <v>4475</v>
      </c>
      <c r="D5698" s="18">
        <v>2</v>
      </c>
      <c r="E5698" s="18">
        <v>0</v>
      </c>
      <c r="F5698" s="18">
        <v>9</v>
      </c>
      <c r="G5698" s="18">
        <v>0</v>
      </c>
      <c r="H5698" s="18">
        <v>0</v>
      </c>
    </row>
    <row r="5699" spans="2:8">
      <c r="B5699" s="14" t="s">
        <v>11642</v>
      </c>
      <c r="C5699" s="245" t="s">
        <v>5820</v>
      </c>
      <c r="D5699" s="15">
        <v>0</v>
      </c>
      <c r="E5699" s="15">
        <v>0</v>
      </c>
      <c r="F5699" s="15">
        <v>0</v>
      </c>
      <c r="G5699" s="15">
        <v>0</v>
      </c>
      <c r="H5699" s="15">
        <v>0</v>
      </c>
    </row>
    <row r="5700" spans="2:8">
      <c r="B5700" s="17" t="s">
        <v>11643</v>
      </c>
      <c r="C5700" s="246" t="s">
        <v>5821</v>
      </c>
      <c r="D5700" s="18">
        <v>0</v>
      </c>
      <c r="E5700" s="18">
        <v>0</v>
      </c>
      <c r="F5700" s="18">
        <v>0</v>
      </c>
      <c r="G5700" s="18">
        <v>0</v>
      </c>
      <c r="H5700" s="18">
        <v>0</v>
      </c>
    </row>
    <row r="5701" spans="2:8">
      <c r="B5701" s="14" t="s">
        <v>11644</v>
      </c>
      <c r="C5701" s="245" t="s">
        <v>5822</v>
      </c>
      <c r="D5701" s="15">
        <v>0</v>
      </c>
      <c r="E5701" s="15">
        <v>3</v>
      </c>
      <c r="F5701" s="15">
        <v>0</v>
      </c>
      <c r="G5701" s="15">
        <v>0</v>
      </c>
      <c r="H5701" s="15">
        <v>0</v>
      </c>
    </row>
    <row r="5702" spans="2:8">
      <c r="B5702" s="17" t="s">
        <v>11645</v>
      </c>
      <c r="C5702" s="246" t="s">
        <v>5823</v>
      </c>
      <c r="D5702" s="18">
        <v>0</v>
      </c>
      <c r="E5702" s="18">
        <v>0</v>
      </c>
      <c r="F5702" s="18">
        <v>0</v>
      </c>
      <c r="G5702" s="18">
        <v>0</v>
      </c>
      <c r="H5702" s="18">
        <v>0</v>
      </c>
    </row>
    <row r="5703" spans="2:8">
      <c r="B5703" s="14" t="s">
        <v>11646</v>
      </c>
      <c r="C5703" s="245" t="s">
        <v>5824</v>
      </c>
      <c r="D5703" s="15">
        <v>0</v>
      </c>
      <c r="E5703" s="15">
        <v>0</v>
      </c>
      <c r="F5703" s="15">
        <v>0</v>
      </c>
      <c r="G5703" s="15">
        <v>0</v>
      </c>
      <c r="H5703" s="15">
        <v>0</v>
      </c>
    </row>
    <row r="5704" spans="2:8">
      <c r="B5704" s="17" t="s">
        <v>11647</v>
      </c>
      <c r="C5704" s="246" t="s">
        <v>5825</v>
      </c>
      <c r="D5704" s="18">
        <v>0</v>
      </c>
      <c r="E5704" s="18">
        <v>0</v>
      </c>
      <c r="F5704" s="18">
        <v>0</v>
      </c>
      <c r="G5704" s="18">
        <v>0</v>
      </c>
      <c r="H5704" s="18">
        <v>0</v>
      </c>
    </row>
    <row r="5705" spans="2:8">
      <c r="B5705" s="14" t="s">
        <v>11648</v>
      </c>
      <c r="C5705" s="245" t="s">
        <v>2478</v>
      </c>
      <c r="D5705" s="15">
        <v>0</v>
      </c>
      <c r="E5705" s="15">
        <v>0</v>
      </c>
      <c r="F5705" s="15">
        <v>0</v>
      </c>
      <c r="G5705" s="15">
        <v>0</v>
      </c>
      <c r="H5705" s="15">
        <v>0</v>
      </c>
    </row>
    <row r="5706" spans="2:8">
      <c r="B5706" s="17" t="s">
        <v>11649</v>
      </c>
      <c r="C5706" s="246" t="s">
        <v>5826</v>
      </c>
      <c r="D5706" s="18">
        <v>0</v>
      </c>
      <c r="E5706" s="18">
        <v>5</v>
      </c>
      <c r="F5706" s="18">
        <v>0</v>
      </c>
      <c r="G5706" s="18">
        <v>0</v>
      </c>
      <c r="H5706" s="18">
        <v>0</v>
      </c>
    </row>
    <row r="5707" spans="2:8">
      <c r="B5707" s="14" t="s">
        <v>11650</v>
      </c>
      <c r="C5707" s="245" t="s">
        <v>5827</v>
      </c>
      <c r="D5707" s="15">
        <v>0</v>
      </c>
      <c r="E5707" s="15">
        <v>0</v>
      </c>
      <c r="F5707" s="15">
        <v>0</v>
      </c>
      <c r="G5707" s="15">
        <v>0</v>
      </c>
      <c r="H5707" s="15">
        <v>0</v>
      </c>
    </row>
    <row r="5708" spans="2:8">
      <c r="B5708" s="17" t="s">
        <v>11651</v>
      </c>
      <c r="C5708" s="246" t="s">
        <v>5828</v>
      </c>
      <c r="D5708" s="18">
        <v>0</v>
      </c>
      <c r="E5708" s="18">
        <v>0</v>
      </c>
      <c r="F5708" s="18">
        <v>0</v>
      </c>
      <c r="G5708" s="18">
        <v>0</v>
      </c>
      <c r="H5708" s="18">
        <v>0</v>
      </c>
    </row>
    <row r="5709" spans="2:8">
      <c r="B5709" s="14" t="s">
        <v>11652</v>
      </c>
      <c r="C5709" s="245" t="s">
        <v>5829</v>
      </c>
      <c r="D5709" s="15">
        <v>0</v>
      </c>
      <c r="E5709" s="15">
        <v>0</v>
      </c>
      <c r="F5709" s="15">
        <v>0</v>
      </c>
      <c r="G5709" s="15">
        <v>0</v>
      </c>
      <c r="H5709" s="15">
        <v>0</v>
      </c>
    </row>
    <row r="5710" spans="2:8">
      <c r="B5710" s="17" t="s">
        <v>11653</v>
      </c>
      <c r="C5710" s="246" t="s">
        <v>5830</v>
      </c>
      <c r="D5710" s="18">
        <v>0</v>
      </c>
      <c r="E5710" s="18">
        <v>0</v>
      </c>
      <c r="F5710" s="18">
        <v>0</v>
      </c>
      <c r="G5710" s="18">
        <v>0</v>
      </c>
      <c r="H5710" s="18">
        <v>0</v>
      </c>
    </row>
    <row r="5711" spans="2:8">
      <c r="B5711" s="14" t="s">
        <v>11654</v>
      </c>
      <c r="C5711" s="245" t="s">
        <v>5831</v>
      </c>
      <c r="D5711" s="15">
        <v>0</v>
      </c>
      <c r="E5711" s="15">
        <v>0</v>
      </c>
      <c r="F5711" s="15">
        <v>0</v>
      </c>
      <c r="G5711" s="15">
        <v>0</v>
      </c>
      <c r="H5711" s="15">
        <v>0</v>
      </c>
    </row>
    <row r="5712" spans="2:8">
      <c r="B5712" s="17" t="s">
        <v>11655</v>
      </c>
      <c r="C5712" s="246" t="s">
        <v>5832</v>
      </c>
      <c r="D5712" s="18">
        <v>0</v>
      </c>
      <c r="E5712" s="18">
        <v>0</v>
      </c>
      <c r="F5712" s="18">
        <v>0</v>
      </c>
      <c r="G5712" s="18">
        <v>0</v>
      </c>
      <c r="H5712" s="18">
        <v>0</v>
      </c>
    </row>
    <row r="5713" spans="2:8">
      <c r="B5713" s="14" t="s">
        <v>11656</v>
      </c>
      <c r="C5713" s="245" t="s">
        <v>5833</v>
      </c>
      <c r="D5713" s="15">
        <v>0</v>
      </c>
      <c r="E5713" s="15">
        <v>0</v>
      </c>
      <c r="F5713" s="15">
        <v>0</v>
      </c>
      <c r="G5713" s="15">
        <v>0</v>
      </c>
      <c r="H5713" s="15">
        <v>0</v>
      </c>
    </row>
    <row r="5714" spans="2:8">
      <c r="B5714" s="17" t="s">
        <v>11657</v>
      </c>
      <c r="C5714" s="246" t="s">
        <v>5834</v>
      </c>
      <c r="D5714" s="18">
        <v>0</v>
      </c>
      <c r="E5714" s="18">
        <v>0</v>
      </c>
      <c r="F5714" s="18">
        <v>0</v>
      </c>
      <c r="G5714" s="18">
        <v>0</v>
      </c>
      <c r="H5714" s="18">
        <v>0</v>
      </c>
    </row>
    <row r="5715" spans="2:8">
      <c r="B5715" s="14" t="s">
        <v>11658</v>
      </c>
      <c r="C5715" s="245" t="s">
        <v>5835</v>
      </c>
      <c r="D5715" s="15">
        <v>0</v>
      </c>
      <c r="E5715" s="15">
        <v>0</v>
      </c>
      <c r="F5715" s="15">
        <v>0</v>
      </c>
      <c r="G5715" s="15">
        <v>0</v>
      </c>
      <c r="H5715" s="15">
        <v>0</v>
      </c>
    </row>
    <row r="5716" spans="2:8">
      <c r="B5716" s="17" t="s">
        <v>11659</v>
      </c>
      <c r="C5716" s="246" t="s">
        <v>5836</v>
      </c>
      <c r="D5716" s="18">
        <v>0</v>
      </c>
      <c r="E5716" s="18">
        <v>0</v>
      </c>
      <c r="F5716" s="18">
        <v>0</v>
      </c>
      <c r="G5716" s="18">
        <v>0</v>
      </c>
      <c r="H5716" s="18">
        <v>0</v>
      </c>
    </row>
    <row r="5717" spans="2:8">
      <c r="B5717" s="14" t="s">
        <v>11660</v>
      </c>
      <c r="C5717" s="245" t="s">
        <v>1898</v>
      </c>
      <c r="D5717" s="15">
        <v>0</v>
      </c>
      <c r="E5717" s="15">
        <v>0</v>
      </c>
      <c r="F5717" s="15">
        <v>0</v>
      </c>
      <c r="G5717" s="15">
        <v>0</v>
      </c>
      <c r="H5717" s="15">
        <v>0</v>
      </c>
    </row>
    <row r="5718" spans="2:8">
      <c r="B5718" s="17" t="s">
        <v>11661</v>
      </c>
      <c r="C5718" s="246" t="s">
        <v>1898</v>
      </c>
      <c r="D5718" s="18">
        <v>0</v>
      </c>
      <c r="E5718" s="18">
        <v>0</v>
      </c>
      <c r="F5718" s="18">
        <v>0</v>
      </c>
      <c r="G5718" s="18">
        <v>0</v>
      </c>
      <c r="H5718" s="18">
        <v>0</v>
      </c>
    </row>
    <row r="5719" spans="2:8">
      <c r="B5719" s="14" t="s">
        <v>11662</v>
      </c>
      <c r="C5719" s="245" t="s">
        <v>5837</v>
      </c>
      <c r="D5719" s="15">
        <v>18</v>
      </c>
      <c r="E5719" s="15">
        <v>13</v>
      </c>
      <c r="F5719" s="15">
        <v>0</v>
      </c>
      <c r="G5719" s="15">
        <v>0</v>
      </c>
      <c r="H5719" s="15">
        <v>0</v>
      </c>
    </row>
    <row r="5720" spans="2:8">
      <c r="B5720" s="17" t="s">
        <v>11663</v>
      </c>
      <c r="C5720" s="246" t="s">
        <v>5838</v>
      </c>
      <c r="D5720" s="18">
        <v>0</v>
      </c>
      <c r="E5720" s="18">
        <v>0</v>
      </c>
      <c r="F5720" s="18">
        <v>0</v>
      </c>
      <c r="G5720" s="18">
        <v>0</v>
      </c>
      <c r="H5720" s="18">
        <v>0</v>
      </c>
    </row>
    <row r="5721" spans="2:8">
      <c r="B5721" s="14" t="s">
        <v>11664</v>
      </c>
      <c r="C5721" s="245" t="s">
        <v>5839</v>
      </c>
      <c r="D5721" s="15">
        <v>0</v>
      </c>
      <c r="E5721" s="15">
        <v>0</v>
      </c>
      <c r="F5721" s="15">
        <v>0</v>
      </c>
      <c r="G5721" s="15">
        <v>0</v>
      </c>
      <c r="H5721" s="15">
        <v>0</v>
      </c>
    </row>
    <row r="5722" spans="2:8">
      <c r="B5722" s="17" t="s">
        <v>11665</v>
      </c>
      <c r="C5722" s="246" t="s">
        <v>5840</v>
      </c>
      <c r="D5722" s="18">
        <v>0</v>
      </c>
      <c r="E5722" s="18">
        <v>0</v>
      </c>
      <c r="F5722" s="18">
        <v>0</v>
      </c>
      <c r="G5722" s="18">
        <v>0</v>
      </c>
      <c r="H5722" s="18">
        <v>0</v>
      </c>
    </row>
    <row r="5723" spans="2:8">
      <c r="B5723" s="14" t="s">
        <v>11666</v>
      </c>
      <c r="C5723" s="245" t="s">
        <v>5841</v>
      </c>
      <c r="D5723" s="15">
        <v>0</v>
      </c>
      <c r="E5723" s="15">
        <v>0</v>
      </c>
      <c r="F5723" s="15">
        <v>0</v>
      </c>
      <c r="G5723" s="15">
        <v>0</v>
      </c>
      <c r="H5723" s="15">
        <v>0</v>
      </c>
    </row>
    <row r="5724" spans="2:8">
      <c r="B5724" s="17" t="s">
        <v>11667</v>
      </c>
      <c r="C5724" s="246" t="s">
        <v>5842</v>
      </c>
      <c r="D5724" s="18">
        <v>0</v>
      </c>
      <c r="E5724" s="18">
        <v>0</v>
      </c>
      <c r="F5724" s="18">
        <v>0</v>
      </c>
      <c r="G5724" s="18">
        <v>0</v>
      </c>
      <c r="H5724" s="18">
        <v>0</v>
      </c>
    </row>
    <row r="5725" spans="2:8">
      <c r="B5725" s="14" t="s">
        <v>11668</v>
      </c>
      <c r="C5725" s="245" t="s">
        <v>5843</v>
      </c>
      <c r="D5725" s="15">
        <v>0</v>
      </c>
      <c r="E5725" s="15">
        <v>0</v>
      </c>
      <c r="F5725" s="15">
        <v>0</v>
      </c>
      <c r="G5725" s="15">
        <v>0</v>
      </c>
      <c r="H5725" s="15">
        <v>0</v>
      </c>
    </row>
    <row r="5726" spans="2:8">
      <c r="B5726" s="17" t="s">
        <v>11669</v>
      </c>
      <c r="C5726" s="246" t="s">
        <v>5844</v>
      </c>
      <c r="D5726" s="18">
        <v>0</v>
      </c>
      <c r="E5726" s="18">
        <v>0</v>
      </c>
      <c r="F5726" s="18">
        <v>0</v>
      </c>
      <c r="G5726" s="18">
        <v>0</v>
      </c>
      <c r="H5726" s="18">
        <v>0</v>
      </c>
    </row>
    <row r="5727" spans="2:8">
      <c r="B5727" s="14" t="s">
        <v>11670</v>
      </c>
      <c r="C5727" s="245" t="s">
        <v>5845</v>
      </c>
      <c r="D5727" s="15">
        <v>0</v>
      </c>
      <c r="E5727" s="15">
        <v>0</v>
      </c>
      <c r="F5727" s="15">
        <v>0</v>
      </c>
      <c r="G5727" s="15">
        <v>0</v>
      </c>
      <c r="H5727" s="15">
        <v>0</v>
      </c>
    </row>
    <row r="5728" spans="2:8">
      <c r="B5728" s="17" t="s">
        <v>11671</v>
      </c>
      <c r="C5728" s="246" t="s">
        <v>5846</v>
      </c>
      <c r="D5728" s="18">
        <v>0</v>
      </c>
      <c r="E5728" s="18">
        <v>0</v>
      </c>
      <c r="F5728" s="18">
        <v>0</v>
      </c>
      <c r="G5728" s="18">
        <v>0</v>
      </c>
      <c r="H5728" s="18">
        <v>0</v>
      </c>
    </row>
    <row r="5729" spans="2:8">
      <c r="B5729" s="14" t="s">
        <v>11672</v>
      </c>
      <c r="C5729" s="245" t="s">
        <v>5847</v>
      </c>
      <c r="D5729" s="15">
        <v>0</v>
      </c>
      <c r="E5729" s="15">
        <v>0</v>
      </c>
      <c r="F5729" s="15">
        <v>0</v>
      </c>
      <c r="G5729" s="15">
        <v>0</v>
      </c>
      <c r="H5729" s="15">
        <v>0</v>
      </c>
    </row>
    <row r="5730" spans="2:8">
      <c r="B5730" s="17" t="s">
        <v>11673</v>
      </c>
      <c r="C5730" s="246" t="s">
        <v>5848</v>
      </c>
      <c r="D5730" s="18">
        <v>0</v>
      </c>
      <c r="E5730" s="18">
        <v>0</v>
      </c>
      <c r="F5730" s="18">
        <v>0</v>
      </c>
      <c r="G5730" s="18">
        <v>0</v>
      </c>
      <c r="H5730" s="18">
        <v>0</v>
      </c>
    </row>
    <row r="5731" spans="2:8">
      <c r="B5731" s="14" t="s">
        <v>11674</v>
      </c>
      <c r="C5731" s="245" t="s">
        <v>2469</v>
      </c>
      <c r="D5731" s="15">
        <v>0</v>
      </c>
      <c r="E5731" s="15">
        <v>0</v>
      </c>
      <c r="F5731" s="15">
        <v>0</v>
      </c>
      <c r="G5731" s="15">
        <v>0</v>
      </c>
      <c r="H5731" s="15">
        <v>0</v>
      </c>
    </row>
    <row r="5732" spans="2:8">
      <c r="B5732" s="17" t="s">
        <v>11675</v>
      </c>
      <c r="C5732" s="246" t="s">
        <v>5849</v>
      </c>
      <c r="D5732" s="18">
        <v>0</v>
      </c>
      <c r="E5732" s="18">
        <v>0</v>
      </c>
      <c r="F5732" s="18">
        <v>0</v>
      </c>
      <c r="G5732" s="18">
        <v>0</v>
      </c>
      <c r="H5732" s="18">
        <v>0</v>
      </c>
    </row>
    <row r="5733" spans="2:8">
      <c r="B5733" s="14" t="s">
        <v>11676</v>
      </c>
      <c r="C5733" s="245" t="s">
        <v>5850</v>
      </c>
      <c r="D5733" s="15">
        <v>0</v>
      </c>
      <c r="E5733" s="15">
        <v>0</v>
      </c>
      <c r="F5733" s="15">
        <v>0</v>
      </c>
      <c r="G5733" s="15">
        <v>0</v>
      </c>
      <c r="H5733" s="15">
        <v>0</v>
      </c>
    </row>
    <row r="5734" spans="2:8">
      <c r="B5734" s="17" t="s">
        <v>11677</v>
      </c>
      <c r="C5734" s="246" t="s">
        <v>5851</v>
      </c>
      <c r="D5734" s="18">
        <v>0</v>
      </c>
      <c r="E5734" s="18">
        <v>0</v>
      </c>
      <c r="F5734" s="18">
        <v>0</v>
      </c>
      <c r="G5734" s="18">
        <v>0</v>
      </c>
      <c r="H5734" s="18">
        <v>0</v>
      </c>
    </row>
    <row r="5735" spans="2:8">
      <c r="B5735" s="14" t="s">
        <v>11678</v>
      </c>
      <c r="C5735" s="245" t="s">
        <v>5852</v>
      </c>
      <c r="D5735" s="15">
        <v>0</v>
      </c>
      <c r="E5735" s="15">
        <v>0</v>
      </c>
      <c r="F5735" s="15">
        <v>0</v>
      </c>
      <c r="G5735" s="15">
        <v>0</v>
      </c>
      <c r="H5735" s="15">
        <v>0</v>
      </c>
    </row>
    <row r="5736" spans="2:8">
      <c r="B5736" s="17" t="s">
        <v>11679</v>
      </c>
      <c r="C5736" s="246" t="s">
        <v>5853</v>
      </c>
      <c r="D5736" s="18">
        <v>0</v>
      </c>
      <c r="E5736" s="18">
        <v>0</v>
      </c>
      <c r="F5736" s="18">
        <v>0</v>
      </c>
      <c r="G5736" s="18">
        <v>0</v>
      </c>
      <c r="H5736" s="18">
        <v>0</v>
      </c>
    </row>
    <row r="5737" spans="2:8">
      <c r="B5737" s="14" t="s">
        <v>11680</v>
      </c>
      <c r="C5737" s="245" t="s">
        <v>5854</v>
      </c>
      <c r="D5737" s="15">
        <v>0</v>
      </c>
      <c r="E5737" s="15">
        <v>0</v>
      </c>
      <c r="F5737" s="15">
        <v>0</v>
      </c>
      <c r="G5737" s="15">
        <v>0</v>
      </c>
      <c r="H5737" s="15">
        <v>0</v>
      </c>
    </row>
    <row r="5738" spans="2:8">
      <c r="B5738" s="17" t="s">
        <v>11681</v>
      </c>
      <c r="C5738" s="246" t="s">
        <v>5855</v>
      </c>
      <c r="D5738" s="18">
        <v>0</v>
      </c>
      <c r="E5738" s="18">
        <v>0</v>
      </c>
      <c r="F5738" s="18">
        <v>0</v>
      </c>
      <c r="G5738" s="18">
        <v>0</v>
      </c>
      <c r="H5738" s="18">
        <v>0</v>
      </c>
    </row>
    <row r="5739" spans="2:8">
      <c r="B5739" s="14" t="s">
        <v>11682</v>
      </c>
      <c r="C5739" s="245" t="s">
        <v>5856</v>
      </c>
      <c r="D5739" s="15">
        <v>0</v>
      </c>
      <c r="E5739" s="15">
        <v>0</v>
      </c>
      <c r="F5739" s="15">
        <v>0</v>
      </c>
      <c r="G5739" s="15">
        <v>0</v>
      </c>
      <c r="H5739" s="15">
        <v>0</v>
      </c>
    </row>
    <row r="5740" spans="2:8">
      <c r="B5740" s="17" t="s">
        <v>11683</v>
      </c>
      <c r="C5740" s="246" t="s">
        <v>5857</v>
      </c>
      <c r="D5740" s="18">
        <v>0</v>
      </c>
      <c r="E5740" s="18">
        <v>0</v>
      </c>
      <c r="F5740" s="18">
        <v>0</v>
      </c>
      <c r="G5740" s="18">
        <v>0</v>
      </c>
      <c r="H5740" s="18">
        <v>0</v>
      </c>
    </row>
    <row r="5741" spans="2:8">
      <c r="B5741" s="14" t="s">
        <v>11684</v>
      </c>
      <c r="C5741" s="245" t="s">
        <v>5858</v>
      </c>
      <c r="D5741" s="15">
        <v>0</v>
      </c>
      <c r="E5741" s="15">
        <v>0</v>
      </c>
      <c r="F5741" s="15">
        <v>0</v>
      </c>
      <c r="G5741" s="15">
        <v>0</v>
      </c>
      <c r="H5741" s="15">
        <v>0</v>
      </c>
    </row>
    <row r="5742" spans="2:8">
      <c r="B5742" s="17" t="s">
        <v>11685</v>
      </c>
      <c r="C5742" s="246" t="s">
        <v>5859</v>
      </c>
      <c r="D5742" s="18">
        <v>0</v>
      </c>
      <c r="E5742" s="18">
        <v>0</v>
      </c>
      <c r="F5742" s="18">
        <v>0</v>
      </c>
      <c r="G5742" s="18">
        <v>0</v>
      </c>
      <c r="H5742" s="18">
        <v>0</v>
      </c>
    </row>
    <row r="5743" spans="2:8">
      <c r="B5743" s="14" t="s">
        <v>11686</v>
      </c>
      <c r="C5743" s="245" t="s">
        <v>5860</v>
      </c>
      <c r="D5743" s="15">
        <v>0</v>
      </c>
      <c r="E5743" s="15">
        <v>0</v>
      </c>
      <c r="F5743" s="15">
        <v>0</v>
      </c>
      <c r="G5743" s="15">
        <v>0</v>
      </c>
      <c r="H5743" s="15">
        <v>0</v>
      </c>
    </row>
    <row r="5744" spans="2:8">
      <c r="B5744" s="17" t="s">
        <v>11687</v>
      </c>
      <c r="C5744" s="246" t="s">
        <v>5861</v>
      </c>
      <c r="D5744" s="18">
        <v>0</v>
      </c>
      <c r="E5744" s="18">
        <v>0</v>
      </c>
      <c r="F5744" s="18">
        <v>0</v>
      </c>
      <c r="G5744" s="18">
        <v>0</v>
      </c>
      <c r="H5744" s="18">
        <v>0</v>
      </c>
    </row>
    <row r="5745" spans="2:8">
      <c r="B5745" s="14" t="s">
        <v>11688</v>
      </c>
      <c r="C5745" s="245" t="s">
        <v>5862</v>
      </c>
      <c r="D5745" s="15">
        <v>0</v>
      </c>
      <c r="E5745" s="15">
        <v>0</v>
      </c>
      <c r="F5745" s="15">
        <v>0</v>
      </c>
      <c r="G5745" s="15">
        <v>0</v>
      </c>
      <c r="H5745" s="15">
        <v>0</v>
      </c>
    </row>
    <row r="5746" spans="2:8">
      <c r="B5746" s="17" t="s">
        <v>11689</v>
      </c>
      <c r="C5746" s="246" t="s">
        <v>5863</v>
      </c>
      <c r="D5746" s="18">
        <v>0</v>
      </c>
      <c r="E5746" s="18">
        <v>0</v>
      </c>
      <c r="F5746" s="18">
        <v>0</v>
      </c>
      <c r="G5746" s="18">
        <v>0</v>
      </c>
      <c r="H5746" s="18">
        <v>0</v>
      </c>
    </row>
    <row r="5747" spans="2:8">
      <c r="B5747" s="14" t="s">
        <v>11690</v>
      </c>
      <c r="C5747" s="245" t="s">
        <v>5864</v>
      </c>
      <c r="D5747" s="15">
        <v>0</v>
      </c>
      <c r="E5747" s="15">
        <v>0</v>
      </c>
      <c r="F5747" s="15">
        <v>0</v>
      </c>
      <c r="G5747" s="15">
        <v>0</v>
      </c>
      <c r="H5747" s="15">
        <v>0</v>
      </c>
    </row>
    <row r="5748" spans="2:8">
      <c r="B5748" s="17" t="s">
        <v>11691</v>
      </c>
      <c r="C5748" s="246" t="s">
        <v>5865</v>
      </c>
      <c r="D5748" s="18">
        <v>0</v>
      </c>
      <c r="E5748" s="18">
        <v>0</v>
      </c>
      <c r="F5748" s="18">
        <v>0</v>
      </c>
      <c r="G5748" s="18">
        <v>0</v>
      </c>
      <c r="H5748" s="18">
        <v>0</v>
      </c>
    </row>
    <row r="5749" spans="2:8">
      <c r="B5749" s="14" t="s">
        <v>11692</v>
      </c>
      <c r="C5749" s="245" t="s">
        <v>5866</v>
      </c>
      <c r="D5749" s="15">
        <v>0</v>
      </c>
      <c r="E5749" s="15">
        <v>0</v>
      </c>
      <c r="F5749" s="15">
        <v>0</v>
      </c>
      <c r="G5749" s="15">
        <v>0</v>
      </c>
      <c r="H5749" s="15">
        <v>0</v>
      </c>
    </row>
    <row r="5750" spans="2:8">
      <c r="B5750" s="17" t="s">
        <v>11693</v>
      </c>
      <c r="C5750" s="246" t="s">
        <v>1938</v>
      </c>
      <c r="D5750" s="18">
        <v>0</v>
      </c>
      <c r="E5750" s="18">
        <v>0</v>
      </c>
      <c r="F5750" s="18">
        <v>0</v>
      </c>
      <c r="G5750" s="18">
        <v>0</v>
      </c>
      <c r="H5750" s="18">
        <v>0</v>
      </c>
    </row>
    <row r="5751" spans="2:8">
      <c r="B5751" s="14" t="s">
        <v>11694</v>
      </c>
      <c r="C5751" s="245" t="s">
        <v>4539</v>
      </c>
      <c r="D5751" s="15">
        <v>0</v>
      </c>
      <c r="E5751" s="15">
        <v>0</v>
      </c>
      <c r="F5751" s="15">
        <v>0</v>
      </c>
      <c r="G5751" s="15">
        <v>0</v>
      </c>
      <c r="H5751" s="15">
        <v>0</v>
      </c>
    </row>
    <row r="5752" spans="2:8">
      <c r="B5752" s="17" t="s">
        <v>11695</v>
      </c>
      <c r="C5752" s="246" t="s">
        <v>5867</v>
      </c>
      <c r="D5752" s="18">
        <v>0</v>
      </c>
      <c r="E5752" s="18">
        <v>0</v>
      </c>
      <c r="F5752" s="18">
        <v>0</v>
      </c>
      <c r="G5752" s="18">
        <v>0</v>
      </c>
      <c r="H5752" s="18">
        <v>0</v>
      </c>
    </row>
    <row r="5753" spans="2:8">
      <c r="B5753" s="14" t="s">
        <v>11696</v>
      </c>
      <c r="C5753" s="245" t="s">
        <v>2459</v>
      </c>
      <c r="D5753" s="15">
        <v>0</v>
      </c>
      <c r="E5753" s="15">
        <v>0</v>
      </c>
      <c r="F5753" s="15">
        <v>0</v>
      </c>
      <c r="G5753" s="15">
        <v>0</v>
      </c>
      <c r="H5753" s="15">
        <v>0</v>
      </c>
    </row>
    <row r="5754" spans="2:8">
      <c r="B5754" s="17" t="s">
        <v>11697</v>
      </c>
      <c r="C5754" s="246" t="s">
        <v>2459</v>
      </c>
      <c r="D5754" s="18">
        <v>0</v>
      </c>
      <c r="E5754" s="18">
        <v>0</v>
      </c>
      <c r="F5754" s="18">
        <v>0</v>
      </c>
      <c r="G5754" s="18">
        <v>0</v>
      </c>
      <c r="H5754" s="18">
        <v>0</v>
      </c>
    </row>
    <row r="5755" spans="2:8">
      <c r="B5755" s="14" t="s">
        <v>11698</v>
      </c>
      <c r="C5755" s="245" t="s">
        <v>5868</v>
      </c>
      <c r="D5755" s="15">
        <v>90</v>
      </c>
      <c r="E5755" s="15">
        <v>40</v>
      </c>
      <c r="F5755" s="15">
        <v>7</v>
      </c>
      <c r="G5755" s="15">
        <v>91</v>
      </c>
      <c r="H5755" s="15">
        <v>0</v>
      </c>
    </row>
    <row r="5756" spans="2:8">
      <c r="B5756" s="17" t="s">
        <v>11699</v>
      </c>
      <c r="C5756" s="246" t="s">
        <v>5869</v>
      </c>
      <c r="D5756" s="18">
        <v>0</v>
      </c>
      <c r="E5756" s="18">
        <v>0</v>
      </c>
      <c r="F5756" s="18">
        <v>0</v>
      </c>
      <c r="G5756" s="18">
        <v>0</v>
      </c>
      <c r="H5756" s="18">
        <v>0</v>
      </c>
    </row>
    <row r="5757" spans="2:8">
      <c r="B5757" s="14" t="s">
        <v>11700</v>
      </c>
      <c r="C5757" s="245" t="s">
        <v>5870</v>
      </c>
      <c r="D5757" s="15">
        <v>0</v>
      </c>
      <c r="E5757" s="15">
        <v>0</v>
      </c>
      <c r="F5757" s="15">
        <v>0</v>
      </c>
      <c r="G5757" s="15">
        <v>0</v>
      </c>
      <c r="H5757" s="15">
        <v>0</v>
      </c>
    </row>
    <row r="5758" spans="2:8">
      <c r="B5758" s="17" t="s">
        <v>11701</v>
      </c>
      <c r="C5758" s="246" t="s">
        <v>5871</v>
      </c>
      <c r="D5758" s="18">
        <v>0</v>
      </c>
      <c r="E5758" s="18">
        <v>0</v>
      </c>
      <c r="F5758" s="18">
        <v>0</v>
      </c>
      <c r="G5758" s="18">
        <v>0</v>
      </c>
      <c r="H5758" s="18">
        <v>0</v>
      </c>
    </row>
    <row r="5759" spans="2:8">
      <c r="B5759" s="14" t="s">
        <v>11702</v>
      </c>
      <c r="C5759" s="245" t="s">
        <v>5872</v>
      </c>
      <c r="D5759" s="15">
        <v>71</v>
      </c>
      <c r="E5759" s="15">
        <v>0</v>
      </c>
      <c r="F5759" s="15">
        <v>0</v>
      </c>
      <c r="G5759" s="15">
        <v>0</v>
      </c>
      <c r="H5759" s="15">
        <v>0</v>
      </c>
    </row>
    <row r="5760" spans="2:8">
      <c r="B5760" s="17" t="s">
        <v>11703</v>
      </c>
      <c r="C5760" s="246" t="s">
        <v>5873</v>
      </c>
      <c r="D5760" s="18">
        <v>0</v>
      </c>
      <c r="E5760" s="18">
        <v>0</v>
      </c>
      <c r="F5760" s="18">
        <v>0</v>
      </c>
      <c r="G5760" s="18">
        <v>0</v>
      </c>
      <c r="H5760" s="18">
        <v>0</v>
      </c>
    </row>
    <row r="5761" spans="2:8">
      <c r="B5761" s="14" t="s">
        <v>11704</v>
      </c>
      <c r="C5761" s="245" t="s">
        <v>5874</v>
      </c>
      <c r="D5761" s="15">
        <v>0</v>
      </c>
      <c r="E5761" s="15">
        <v>0</v>
      </c>
      <c r="F5761" s="15">
        <v>0</v>
      </c>
      <c r="G5761" s="15">
        <v>0</v>
      </c>
      <c r="H5761" s="15">
        <v>0</v>
      </c>
    </row>
    <row r="5762" spans="2:8">
      <c r="B5762" s="17" t="s">
        <v>11705</v>
      </c>
      <c r="C5762" s="246" t="s">
        <v>5875</v>
      </c>
      <c r="D5762" s="18">
        <v>0</v>
      </c>
      <c r="E5762" s="18">
        <v>0</v>
      </c>
      <c r="F5762" s="18">
        <v>0</v>
      </c>
      <c r="G5762" s="18">
        <v>0</v>
      </c>
      <c r="H5762" s="18">
        <v>0</v>
      </c>
    </row>
    <row r="5763" spans="2:8">
      <c r="B5763" s="14" t="s">
        <v>11706</v>
      </c>
      <c r="C5763" s="245" t="s">
        <v>5876</v>
      </c>
      <c r="D5763" s="15">
        <v>0</v>
      </c>
      <c r="E5763" s="15">
        <v>0</v>
      </c>
      <c r="F5763" s="15">
        <v>0</v>
      </c>
      <c r="G5763" s="15">
        <v>0</v>
      </c>
      <c r="H5763" s="15">
        <v>0</v>
      </c>
    </row>
    <row r="5764" spans="2:8">
      <c r="B5764" s="17" t="s">
        <v>11707</v>
      </c>
      <c r="C5764" s="246" t="s">
        <v>5877</v>
      </c>
      <c r="D5764" s="18">
        <v>0</v>
      </c>
      <c r="E5764" s="18">
        <v>0</v>
      </c>
      <c r="F5764" s="18">
        <v>0</v>
      </c>
      <c r="G5764" s="18">
        <v>0</v>
      </c>
      <c r="H5764" s="18">
        <v>0</v>
      </c>
    </row>
    <row r="5765" spans="2:8">
      <c r="B5765" s="14" t="s">
        <v>11708</v>
      </c>
      <c r="C5765" s="245" t="s">
        <v>5878</v>
      </c>
      <c r="D5765" s="15">
        <v>0</v>
      </c>
      <c r="E5765" s="15">
        <v>0</v>
      </c>
      <c r="F5765" s="15">
        <v>0</v>
      </c>
      <c r="G5765" s="15">
        <v>0</v>
      </c>
      <c r="H5765" s="15">
        <v>0</v>
      </c>
    </row>
    <row r="5766" spans="2:8">
      <c r="B5766" s="17" t="s">
        <v>11709</v>
      </c>
      <c r="C5766" s="246" t="s">
        <v>5879</v>
      </c>
      <c r="D5766" s="18">
        <v>0</v>
      </c>
      <c r="E5766" s="18">
        <v>0</v>
      </c>
      <c r="F5766" s="18">
        <v>0</v>
      </c>
      <c r="G5766" s="18">
        <v>0</v>
      </c>
      <c r="H5766" s="18">
        <v>0</v>
      </c>
    </row>
    <row r="5767" spans="2:8">
      <c r="B5767" s="14" t="s">
        <v>11710</v>
      </c>
      <c r="C5767" s="245" t="s">
        <v>5880</v>
      </c>
      <c r="D5767" s="15">
        <v>0</v>
      </c>
      <c r="E5767" s="15">
        <v>0</v>
      </c>
      <c r="F5767" s="15">
        <v>0</v>
      </c>
      <c r="G5767" s="15">
        <v>0</v>
      </c>
      <c r="H5767" s="15">
        <v>0</v>
      </c>
    </row>
    <row r="5768" spans="2:8">
      <c r="B5768" s="17" t="s">
        <v>11711</v>
      </c>
      <c r="C5768" s="246" t="s">
        <v>5881</v>
      </c>
      <c r="D5768" s="18">
        <v>0</v>
      </c>
      <c r="E5768" s="18">
        <v>0</v>
      </c>
      <c r="F5768" s="18">
        <v>0</v>
      </c>
      <c r="G5768" s="18">
        <v>0</v>
      </c>
      <c r="H5768" s="18">
        <v>0</v>
      </c>
    </row>
    <row r="5769" spans="2:8">
      <c r="B5769" s="14" t="s">
        <v>11712</v>
      </c>
      <c r="C5769" s="245" t="s">
        <v>5882</v>
      </c>
      <c r="D5769" s="15">
        <v>0</v>
      </c>
      <c r="E5769" s="15">
        <v>0</v>
      </c>
      <c r="F5769" s="15">
        <v>0</v>
      </c>
      <c r="G5769" s="15">
        <v>0</v>
      </c>
      <c r="H5769" s="15">
        <v>0</v>
      </c>
    </row>
    <row r="5770" spans="2:8">
      <c r="B5770" s="17" t="s">
        <v>11713</v>
      </c>
      <c r="C5770" s="246" t="s">
        <v>5883</v>
      </c>
      <c r="D5770" s="18">
        <v>0</v>
      </c>
      <c r="E5770" s="18">
        <v>0</v>
      </c>
      <c r="F5770" s="18">
        <v>0</v>
      </c>
      <c r="G5770" s="18">
        <v>0</v>
      </c>
      <c r="H5770" s="18">
        <v>0</v>
      </c>
    </row>
    <row r="5771" spans="2:8">
      <c r="B5771" s="14" t="s">
        <v>11714</v>
      </c>
      <c r="C5771" s="245" t="s">
        <v>5884</v>
      </c>
      <c r="D5771" s="15">
        <v>0</v>
      </c>
      <c r="E5771" s="15">
        <v>0</v>
      </c>
      <c r="F5771" s="15">
        <v>0</v>
      </c>
      <c r="G5771" s="15">
        <v>0</v>
      </c>
      <c r="H5771" s="15">
        <v>0</v>
      </c>
    </row>
    <row r="5772" spans="2:8">
      <c r="B5772" s="17" t="s">
        <v>11715</v>
      </c>
      <c r="C5772" s="246" t="s">
        <v>5885</v>
      </c>
      <c r="D5772" s="18">
        <v>0</v>
      </c>
      <c r="E5772" s="18">
        <v>0</v>
      </c>
      <c r="F5772" s="18">
        <v>0</v>
      </c>
      <c r="G5772" s="18">
        <v>0</v>
      </c>
      <c r="H5772" s="18">
        <v>0</v>
      </c>
    </row>
    <row r="5773" spans="2:8">
      <c r="B5773" s="14" t="s">
        <v>11716</v>
      </c>
      <c r="C5773" s="245" t="s">
        <v>5886</v>
      </c>
      <c r="D5773" s="15">
        <v>0</v>
      </c>
      <c r="E5773" s="15">
        <v>0</v>
      </c>
      <c r="F5773" s="15">
        <v>0</v>
      </c>
      <c r="G5773" s="15">
        <v>0</v>
      </c>
      <c r="H5773" s="15">
        <v>0</v>
      </c>
    </row>
    <row r="5774" spans="2:8">
      <c r="B5774" s="17" t="s">
        <v>11717</v>
      </c>
      <c r="C5774" s="246" t="s">
        <v>5887</v>
      </c>
      <c r="D5774" s="18">
        <v>0</v>
      </c>
      <c r="E5774" s="18">
        <v>0</v>
      </c>
      <c r="F5774" s="18">
        <v>0</v>
      </c>
      <c r="G5774" s="18">
        <v>0</v>
      </c>
      <c r="H5774" s="18">
        <v>0</v>
      </c>
    </row>
    <row r="5775" spans="2:8">
      <c r="B5775" s="14" t="s">
        <v>11718</v>
      </c>
      <c r="C5775" s="245" t="s">
        <v>2706</v>
      </c>
      <c r="D5775" s="15">
        <v>0</v>
      </c>
      <c r="E5775" s="15">
        <v>0</v>
      </c>
      <c r="F5775" s="15">
        <v>0</v>
      </c>
      <c r="G5775" s="15">
        <v>0</v>
      </c>
      <c r="H5775" s="15">
        <v>0</v>
      </c>
    </row>
    <row r="5776" spans="2:8">
      <c r="B5776" s="17" t="s">
        <v>11719</v>
      </c>
      <c r="C5776" s="246" t="s">
        <v>5888</v>
      </c>
      <c r="D5776" s="18">
        <v>0</v>
      </c>
      <c r="E5776" s="18">
        <v>0</v>
      </c>
      <c r="F5776" s="18">
        <v>0</v>
      </c>
      <c r="G5776" s="18">
        <v>0</v>
      </c>
      <c r="H5776" s="18">
        <v>0</v>
      </c>
    </row>
    <row r="5777" spans="2:8">
      <c r="B5777" s="14" t="s">
        <v>11720</v>
      </c>
      <c r="C5777" s="245" t="s">
        <v>5889</v>
      </c>
      <c r="D5777" s="15">
        <v>0</v>
      </c>
      <c r="E5777" s="15">
        <v>0</v>
      </c>
      <c r="F5777" s="15">
        <v>0</v>
      </c>
      <c r="G5777" s="15">
        <v>0</v>
      </c>
      <c r="H5777" s="15">
        <v>0</v>
      </c>
    </row>
    <row r="5778" spans="2:8">
      <c r="B5778" s="17" t="s">
        <v>11721</v>
      </c>
      <c r="C5778" s="246" t="s">
        <v>5890</v>
      </c>
      <c r="D5778" s="18">
        <v>0</v>
      </c>
      <c r="E5778" s="18">
        <v>0</v>
      </c>
      <c r="F5778" s="18">
        <v>0</v>
      </c>
      <c r="G5778" s="18">
        <v>0</v>
      </c>
      <c r="H5778" s="18">
        <v>0</v>
      </c>
    </row>
    <row r="5779" spans="2:8">
      <c r="B5779" s="14" t="s">
        <v>11722</v>
      </c>
      <c r="C5779" s="245" t="s">
        <v>5891</v>
      </c>
      <c r="D5779" s="15">
        <v>0</v>
      </c>
      <c r="E5779" s="15">
        <v>0</v>
      </c>
      <c r="F5779" s="15">
        <v>0</v>
      </c>
      <c r="G5779" s="15">
        <v>0</v>
      </c>
      <c r="H5779" s="15">
        <v>0</v>
      </c>
    </row>
    <row r="5780" spans="2:8">
      <c r="B5780" s="17" t="s">
        <v>11723</v>
      </c>
      <c r="C5780" s="246" t="s">
        <v>5892</v>
      </c>
      <c r="D5780" s="18">
        <v>0</v>
      </c>
      <c r="E5780" s="18">
        <v>0</v>
      </c>
      <c r="F5780" s="18">
        <v>0</v>
      </c>
      <c r="G5780" s="18">
        <v>0</v>
      </c>
      <c r="H5780" s="18">
        <v>0</v>
      </c>
    </row>
    <row r="5781" spans="2:8">
      <c r="B5781" s="14" t="s">
        <v>11724</v>
      </c>
      <c r="C5781" s="245" t="s">
        <v>5893</v>
      </c>
      <c r="D5781" s="15">
        <v>0</v>
      </c>
      <c r="E5781" s="15">
        <v>0</v>
      </c>
      <c r="F5781" s="15">
        <v>0</v>
      </c>
      <c r="G5781" s="15">
        <v>0</v>
      </c>
      <c r="H5781" s="15">
        <v>0</v>
      </c>
    </row>
    <row r="5782" spans="2:8">
      <c r="B5782" s="17" t="s">
        <v>11725</v>
      </c>
      <c r="C5782" s="246" t="s">
        <v>5894</v>
      </c>
      <c r="D5782" s="18">
        <v>0</v>
      </c>
      <c r="E5782" s="18">
        <v>0</v>
      </c>
      <c r="F5782" s="18">
        <v>0</v>
      </c>
      <c r="G5782" s="18">
        <v>0</v>
      </c>
      <c r="H5782" s="18">
        <v>0</v>
      </c>
    </row>
    <row r="5783" spans="2:8">
      <c r="B5783" s="14" t="s">
        <v>11726</v>
      </c>
      <c r="C5783" s="245" t="s">
        <v>5895</v>
      </c>
      <c r="D5783" s="15">
        <v>0</v>
      </c>
      <c r="E5783" s="15">
        <v>0</v>
      </c>
      <c r="F5783" s="15">
        <v>0</v>
      </c>
      <c r="G5783" s="15">
        <v>0</v>
      </c>
      <c r="H5783" s="15">
        <v>0</v>
      </c>
    </row>
    <row r="5784" spans="2:8">
      <c r="B5784" s="17" t="s">
        <v>11727</v>
      </c>
      <c r="C5784" s="246" t="s">
        <v>5896</v>
      </c>
      <c r="D5784" s="18">
        <v>0</v>
      </c>
      <c r="E5784" s="18">
        <v>0</v>
      </c>
      <c r="F5784" s="18">
        <v>0</v>
      </c>
      <c r="G5784" s="18">
        <v>0</v>
      </c>
      <c r="H5784" s="18">
        <v>0</v>
      </c>
    </row>
    <row r="5785" spans="2:8">
      <c r="B5785" s="14" t="s">
        <v>11728</v>
      </c>
      <c r="C5785" s="245" t="s">
        <v>5897</v>
      </c>
      <c r="D5785" s="15">
        <v>0</v>
      </c>
      <c r="E5785" s="15">
        <v>4</v>
      </c>
      <c r="F5785" s="15">
        <v>0</v>
      </c>
      <c r="G5785" s="15">
        <v>0</v>
      </c>
      <c r="H5785" s="15">
        <v>0</v>
      </c>
    </row>
    <row r="5786" spans="2:8">
      <c r="B5786" s="17" t="s">
        <v>11729</v>
      </c>
      <c r="C5786" s="246" t="s">
        <v>5898</v>
      </c>
      <c r="D5786" s="18">
        <v>0</v>
      </c>
      <c r="E5786" s="18">
        <v>0</v>
      </c>
      <c r="F5786" s="18">
        <v>0</v>
      </c>
      <c r="G5786" s="18">
        <v>6</v>
      </c>
      <c r="H5786" s="18">
        <v>0</v>
      </c>
    </row>
    <row r="5787" spans="2:8">
      <c r="B5787" s="14" t="s">
        <v>11730</v>
      </c>
      <c r="C5787" s="245" t="s">
        <v>4086</v>
      </c>
      <c r="D5787" s="15">
        <v>0</v>
      </c>
      <c r="E5787" s="15">
        <v>0</v>
      </c>
      <c r="F5787" s="15">
        <v>0</v>
      </c>
      <c r="G5787" s="15">
        <v>0</v>
      </c>
      <c r="H5787" s="15">
        <v>0</v>
      </c>
    </row>
    <row r="5788" spans="2:8">
      <c r="B5788" s="17" t="s">
        <v>11731</v>
      </c>
      <c r="C5788" s="246" t="s">
        <v>5899</v>
      </c>
      <c r="D5788" s="18">
        <v>0</v>
      </c>
      <c r="E5788" s="18">
        <v>0</v>
      </c>
      <c r="F5788" s="18">
        <v>0</v>
      </c>
      <c r="G5788" s="18">
        <v>0</v>
      </c>
      <c r="H5788" s="18">
        <v>0</v>
      </c>
    </row>
    <row r="5789" spans="2:8">
      <c r="B5789" s="14" t="s">
        <v>11732</v>
      </c>
      <c r="C5789" s="245" t="s">
        <v>5900</v>
      </c>
      <c r="D5789" s="15">
        <v>0</v>
      </c>
      <c r="E5789" s="15">
        <v>0</v>
      </c>
      <c r="F5789" s="15">
        <v>0</v>
      </c>
      <c r="G5789" s="15">
        <v>0</v>
      </c>
      <c r="H5789" s="15">
        <v>0</v>
      </c>
    </row>
    <row r="5790" spans="2:8">
      <c r="B5790" s="17" t="s">
        <v>11733</v>
      </c>
      <c r="C5790" s="246" t="s">
        <v>5901</v>
      </c>
      <c r="D5790" s="18">
        <v>0</v>
      </c>
      <c r="E5790" s="18">
        <v>0</v>
      </c>
      <c r="F5790" s="18">
        <v>0</v>
      </c>
      <c r="G5790" s="18">
        <v>0</v>
      </c>
      <c r="H5790" s="18">
        <v>0</v>
      </c>
    </row>
    <row r="5791" spans="2:8">
      <c r="B5791" s="14" t="s">
        <v>11734</v>
      </c>
      <c r="C5791" s="245" t="s">
        <v>5902</v>
      </c>
      <c r="D5791" s="15">
        <v>0</v>
      </c>
      <c r="E5791" s="15">
        <v>0</v>
      </c>
      <c r="F5791" s="15">
        <v>0</v>
      </c>
      <c r="G5791" s="15">
        <v>0</v>
      </c>
      <c r="H5791" s="15">
        <v>0</v>
      </c>
    </row>
    <row r="5792" spans="2:8">
      <c r="B5792" s="17" t="s">
        <v>11735</v>
      </c>
      <c r="C5792" s="246" t="s">
        <v>5903</v>
      </c>
      <c r="D5792" s="18">
        <v>0</v>
      </c>
      <c r="E5792" s="18">
        <v>0</v>
      </c>
      <c r="F5792" s="18">
        <v>0</v>
      </c>
      <c r="G5792" s="18">
        <v>0</v>
      </c>
      <c r="H5792" s="18">
        <v>0</v>
      </c>
    </row>
    <row r="5793" spans="2:8">
      <c r="B5793" s="14" t="s">
        <v>11736</v>
      </c>
      <c r="C5793" s="245" t="s">
        <v>5904</v>
      </c>
      <c r="D5793" s="15">
        <v>0</v>
      </c>
      <c r="E5793" s="15">
        <v>0</v>
      </c>
      <c r="F5793" s="15">
        <v>0</v>
      </c>
      <c r="G5793" s="15">
        <v>0</v>
      </c>
      <c r="H5793" s="15">
        <v>0</v>
      </c>
    </row>
    <row r="5794" spans="2:8">
      <c r="B5794" s="17" t="s">
        <v>11737</v>
      </c>
      <c r="C5794" s="246" t="s">
        <v>5905</v>
      </c>
      <c r="D5794" s="18">
        <v>0</v>
      </c>
      <c r="E5794" s="18">
        <v>0</v>
      </c>
      <c r="F5794" s="18">
        <v>0</v>
      </c>
      <c r="G5794" s="18">
        <v>0</v>
      </c>
      <c r="H5794" s="18">
        <v>0</v>
      </c>
    </row>
    <row r="5795" spans="2:8">
      <c r="B5795" s="14" t="s">
        <v>11738</v>
      </c>
      <c r="C5795" s="245" t="s">
        <v>2411</v>
      </c>
      <c r="D5795" s="15">
        <v>14</v>
      </c>
      <c r="E5795" s="15">
        <v>30</v>
      </c>
      <c r="F5795" s="15">
        <v>30</v>
      </c>
      <c r="G5795" s="15">
        <v>0</v>
      </c>
      <c r="H5795" s="15">
        <v>0</v>
      </c>
    </row>
    <row r="5796" spans="2:8">
      <c r="B5796" s="17" t="s">
        <v>11739</v>
      </c>
      <c r="C5796" s="246" t="s">
        <v>5906</v>
      </c>
      <c r="D5796" s="18">
        <v>14</v>
      </c>
      <c r="E5796" s="18">
        <v>0</v>
      </c>
      <c r="F5796" s="18">
        <v>0</v>
      </c>
      <c r="G5796" s="18">
        <v>172</v>
      </c>
      <c r="H5796" s="18">
        <v>0</v>
      </c>
    </row>
    <row r="5797" spans="2:8">
      <c r="B5797" s="14" t="s">
        <v>11740</v>
      </c>
      <c r="C5797" s="245" t="s">
        <v>5907</v>
      </c>
      <c r="D5797" s="15">
        <v>0</v>
      </c>
      <c r="E5797" s="15">
        <v>0</v>
      </c>
      <c r="F5797" s="15">
        <v>0</v>
      </c>
      <c r="G5797" s="15">
        <v>0</v>
      </c>
      <c r="H5797" s="15">
        <v>0</v>
      </c>
    </row>
    <row r="5798" spans="2:8">
      <c r="B5798" s="17" t="s">
        <v>11741</v>
      </c>
      <c r="C5798" s="246" t="s">
        <v>5908</v>
      </c>
      <c r="D5798" s="18">
        <v>0</v>
      </c>
      <c r="E5798" s="18">
        <v>0</v>
      </c>
      <c r="F5798" s="18">
        <v>0</v>
      </c>
      <c r="G5798" s="18">
        <v>0</v>
      </c>
      <c r="H5798" s="18">
        <v>0</v>
      </c>
    </row>
    <row r="5799" spans="2:8">
      <c r="B5799" s="14" t="s">
        <v>11742</v>
      </c>
      <c r="C5799" s="245" t="s">
        <v>5909</v>
      </c>
      <c r="D5799" s="15">
        <v>0</v>
      </c>
      <c r="E5799" s="15">
        <v>0</v>
      </c>
      <c r="F5799" s="15">
        <v>0</v>
      </c>
      <c r="G5799" s="15">
        <v>0</v>
      </c>
      <c r="H5799" s="15">
        <v>0</v>
      </c>
    </row>
    <row r="5800" spans="2:8">
      <c r="B5800" s="17" t="s">
        <v>11743</v>
      </c>
      <c r="C5800" s="246" t="s">
        <v>5910</v>
      </c>
      <c r="D5800" s="18">
        <v>0</v>
      </c>
      <c r="E5800" s="18">
        <v>0</v>
      </c>
      <c r="F5800" s="18">
        <v>0</v>
      </c>
      <c r="G5800" s="18">
        <v>0</v>
      </c>
      <c r="H5800" s="18">
        <v>0</v>
      </c>
    </row>
    <row r="5801" spans="2:8">
      <c r="B5801" s="14" t="s">
        <v>11744</v>
      </c>
      <c r="C5801" s="245" t="s">
        <v>5911</v>
      </c>
      <c r="D5801" s="15">
        <v>14</v>
      </c>
      <c r="E5801" s="15">
        <v>10</v>
      </c>
      <c r="F5801" s="15">
        <v>0</v>
      </c>
      <c r="G5801" s="15">
        <v>15</v>
      </c>
      <c r="H5801" s="15">
        <v>0</v>
      </c>
    </row>
    <row r="5802" spans="2:8">
      <c r="B5802" s="17" t="s">
        <v>11745</v>
      </c>
      <c r="C5802" s="246" t="s">
        <v>5912</v>
      </c>
      <c r="D5802" s="18">
        <v>0</v>
      </c>
      <c r="E5802" s="18">
        <v>0</v>
      </c>
      <c r="F5802" s="18">
        <v>0</v>
      </c>
      <c r="G5802" s="18">
        <v>0</v>
      </c>
      <c r="H5802" s="18">
        <v>0</v>
      </c>
    </row>
    <row r="5803" spans="2:8">
      <c r="B5803" s="14" t="s">
        <v>11746</v>
      </c>
      <c r="C5803" s="245" t="s">
        <v>5913</v>
      </c>
      <c r="D5803" s="15">
        <v>14</v>
      </c>
      <c r="E5803" s="15">
        <v>2</v>
      </c>
      <c r="F5803" s="15">
        <v>1</v>
      </c>
      <c r="G5803" s="15">
        <v>0</v>
      </c>
      <c r="H5803" s="15">
        <v>0</v>
      </c>
    </row>
    <row r="5804" spans="2:8">
      <c r="B5804" s="17" t="s">
        <v>11747</v>
      </c>
      <c r="C5804" s="246" t="s">
        <v>5914</v>
      </c>
      <c r="D5804" s="18">
        <v>38</v>
      </c>
      <c r="E5804" s="18">
        <v>24</v>
      </c>
      <c r="F5804" s="18">
        <v>11</v>
      </c>
      <c r="G5804" s="18">
        <v>24</v>
      </c>
      <c r="H5804" s="18">
        <v>0</v>
      </c>
    </row>
    <row r="5805" spans="2:8">
      <c r="B5805" s="14" t="s">
        <v>11748</v>
      </c>
      <c r="C5805" s="245" t="s">
        <v>5915</v>
      </c>
      <c r="D5805" s="15">
        <v>0</v>
      </c>
      <c r="E5805" s="15">
        <v>0</v>
      </c>
      <c r="F5805" s="15">
        <v>0</v>
      </c>
      <c r="G5805" s="15">
        <v>0</v>
      </c>
      <c r="H5805" s="15">
        <v>0</v>
      </c>
    </row>
    <row r="5806" spans="2:8">
      <c r="B5806" s="17" t="s">
        <v>11749</v>
      </c>
      <c r="C5806" s="246" t="s">
        <v>5916</v>
      </c>
      <c r="D5806" s="18">
        <v>24</v>
      </c>
      <c r="E5806" s="18">
        <v>8</v>
      </c>
      <c r="F5806" s="18">
        <v>0</v>
      </c>
      <c r="G5806" s="18">
        <v>0</v>
      </c>
      <c r="H5806" s="18">
        <v>0</v>
      </c>
    </row>
    <row r="5807" spans="2:8">
      <c r="B5807" s="14" t="s">
        <v>11750</v>
      </c>
      <c r="C5807" s="245" t="s">
        <v>5917</v>
      </c>
      <c r="D5807" s="15">
        <v>0</v>
      </c>
      <c r="E5807" s="15">
        <v>0</v>
      </c>
      <c r="F5807" s="15">
        <v>0</v>
      </c>
      <c r="G5807" s="15">
        <v>0</v>
      </c>
      <c r="H5807" s="15">
        <v>0</v>
      </c>
    </row>
    <row r="5808" spans="2:8">
      <c r="B5808" s="17" t="s">
        <v>11751</v>
      </c>
      <c r="C5808" s="246" t="s">
        <v>5918</v>
      </c>
      <c r="D5808" s="18">
        <v>0</v>
      </c>
      <c r="E5808" s="18">
        <v>0</v>
      </c>
      <c r="F5808" s="18">
        <v>0</v>
      </c>
      <c r="G5808" s="18">
        <v>0</v>
      </c>
      <c r="H5808" s="18">
        <v>0</v>
      </c>
    </row>
    <row r="5809" spans="2:8">
      <c r="B5809" s="14" t="s">
        <v>11752</v>
      </c>
      <c r="C5809" s="245" t="s">
        <v>5919</v>
      </c>
      <c r="D5809" s="15">
        <v>0</v>
      </c>
      <c r="E5809" s="15">
        <v>0</v>
      </c>
      <c r="F5809" s="15">
        <v>0</v>
      </c>
      <c r="G5809" s="15">
        <v>0</v>
      </c>
      <c r="H5809" s="15">
        <v>0</v>
      </c>
    </row>
    <row r="5810" spans="2:8">
      <c r="B5810" s="17" t="s">
        <v>11753</v>
      </c>
      <c r="C5810" s="246" t="s">
        <v>5920</v>
      </c>
      <c r="D5810" s="18">
        <v>0</v>
      </c>
      <c r="E5810" s="18">
        <v>0</v>
      </c>
      <c r="F5810" s="18">
        <v>0</v>
      </c>
      <c r="G5810" s="18">
        <v>0</v>
      </c>
      <c r="H5810" s="18">
        <v>0</v>
      </c>
    </row>
    <row r="5811" spans="2:8">
      <c r="B5811" s="14" t="s">
        <v>11754</v>
      </c>
      <c r="C5811" s="245" t="s">
        <v>5921</v>
      </c>
      <c r="D5811" s="15">
        <v>0</v>
      </c>
      <c r="E5811" s="15">
        <v>0</v>
      </c>
      <c r="F5811" s="15">
        <v>0</v>
      </c>
      <c r="G5811" s="15">
        <v>0</v>
      </c>
      <c r="H5811" s="15">
        <v>0</v>
      </c>
    </row>
    <row r="5812" spans="2:8">
      <c r="B5812" s="17" t="s">
        <v>11755</v>
      </c>
      <c r="C5812" s="246" t="s">
        <v>5922</v>
      </c>
      <c r="D5812" s="18">
        <v>0</v>
      </c>
      <c r="E5812" s="18">
        <v>0</v>
      </c>
      <c r="F5812" s="18">
        <v>0</v>
      </c>
      <c r="G5812" s="18">
        <v>0</v>
      </c>
      <c r="H5812" s="18">
        <v>0</v>
      </c>
    </row>
    <row r="5813" spans="2:8">
      <c r="B5813" s="14" t="s">
        <v>11756</v>
      </c>
      <c r="C5813" s="245" t="s">
        <v>5923</v>
      </c>
      <c r="D5813" s="15">
        <v>0</v>
      </c>
      <c r="E5813" s="15">
        <v>0</v>
      </c>
      <c r="F5813" s="15">
        <v>0</v>
      </c>
      <c r="G5813" s="15">
        <v>0</v>
      </c>
      <c r="H5813" s="15">
        <v>0</v>
      </c>
    </row>
    <row r="5814" spans="2:8">
      <c r="B5814" s="17" t="s">
        <v>11757</v>
      </c>
      <c r="C5814" s="246" t="s">
        <v>5924</v>
      </c>
      <c r="D5814" s="18">
        <v>0</v>
      </c>
      <c r="E5814" s="18">
        <v>0</v>
      </c>
      <c r="F5814" s="18">
        <v>0</v>
      </c>
      <c r="G5814" s="18">
        <v>0</v>
      </c>
      <c r="H5814" s="18">
        <v>0</v>
      </c>
    </row>
    <row r="5815" spans="2:8">
      <c r="B5815" s="14" t="s">
        <v>11758</v>
      </c>
      <c r="C5815" s="245" t="s">
        <v>5925</v>
      </c>
      <c r="D5815" s="15">
        <v>0</v>
      </c>
      <c r="E5815" s="15">
        <v>0</v>
      </c>
      <c r="F5815" s="15">
        <v>0</v>
      </c>
      <c r="G5815" s="15">
        <v>0</v>
      </c>
      <c r="H5815" s="15">
        <v>0</v>
      </c>
    </row>
    <row r="5816" spans="2:8">
      <c r="B5816" s="17" t="s">
        <v>11759</v>
      </c>
      <c r="C5816" s="246" t="s">
        <v>5926</v>
      </c>
      <c r="D5816" s="18">
        <v>0</v>
      </c>
      <c r="E5816" s="18">
        <v>0</v>
      </c>
      <c r="F5816" s="18">
        <v>0</v>
      </c>
      <c r="G5816" s="18">
        <v>0</v>
      </c>
      <c r="H5816" s="18">
        <v>0</v>
      </c>
    </row>
    <row r="5817" spans="2:8">
      <c r="B5817" s="14" t="s">
        <v>11760</v>
      </c>
      <c r="C5817" s="245" t="s">
        <v>5927</v>
      </c>
      <c r="D5817" s="15">
        <v>0</v>
      </c>
      <c r="E5817" s="15">
        <v>0</v>
      </c>
      <c r="F5817" s="15">
        <v>0</v>
      </c>
      <c r="G5817" s="15">
        <v>0</v>
      </c>
      <c r="H5817" s="15">
        <v>0</v>
      </c>
    </row>
    <row r="5818" spans="2:8">
      <c r="B5818" s="17" t="s">
        <v>11761</v>
      </c>
      <c r="C5818" s="246" t="s">
        <v>5928</v>
      </c>
      <c r="D5818" s="18">
        <v>0</v>
      </c>
      <c r="E5818" s="18">
        <v>0</v>
      </c>
      <c r="F5818" s="18">
        <v>0</v>
      </c>
      <c r="G5818" s="18">
        <v>0</v>
      </c>
      <c r="H5818" s="18">
        <v>0</v>
      </c>
    </row>
    <row r="5819" spans="2:8">
      <c r="B5819" s="14" t="s">
        <v>11762</v>
      </c>
      <c r="C5819" s="245" t="s">
        <v>5929</v>
      </c>
      <c r="D5819" s="15">
        <v>0</v>
      </c>
      <c r="E5819" s="15">
        <v>0</v>
      </c>
      <c r="F5819" s="15">
        <v>0</v>
      </c>
      <c r="G5819" s="15">
        <v>0</v>
      </c>
      <c r="H5819" s="15">
        <v>0</v>
      </c>
    </row>
    <row r="5820" spans="2:8">
      <c r="B5820" s="17" t="s">
        <v>11763</v>
      </c>
      <c r="C5820" s="246" t="s">
        <v>5930</v>
      </c>
      <c r="D5820" s="18">
        <v>0</v>
      </c>
      <c r="E5820" s="18">
        <v>0</v>
      </c>
      <c r="F5820" s="18">
        <v>0</v>
      </c>
      <c r="G5820" s="18">
        <v>0</v>
      </c>
      <c r="H5820" s="18">
        <v>0</v>
      </c>
    </row>
    <row r="5821" spans="2:8">
      <c r="B5821" s="14" t="s">
        <v>11764</v>
      </c>
      <c r="C5821" s="245" t="s">
        <v>5931</v>
      </c>
      <c r="D5821" s="15">
        <v>0</v>
      </c>
      <c r="E5821" s="15">
        <v>0</v>
      </c>
      <c r="F5821" s="15">
        <v>0</v>
      </c>
      <c r="G5821" s="15">
        <v>0</v>
      </c>
      <c r="H5821" s="15">
        <v>0</v>
      </c>
    </row>
    <row r="5822" spans="2:8">
      <c r="B5822" s="17" t="s">
        <v>11765</v>
      </c>
      <c r="C5822" s="246" t="s">
        <v>5932</v>
      </c>
      <c r="D5822" s="18">
        <v>0</v>
      </c>
      <c r="E5822" s="18">
        <v>0</v>
      </c>
      <c r="F5822" s="18">
        <v>0</v>
      </c>
      <c r="G5822" s="18">
        <v>0</v>
      </c>
      <c r="H5822" s="18">
        <v>0</v>
      </c>
    </row>
    <row r="5823" spans="2:8">
      <c r="B5823" s="14" t="s">
        <v>11766</v>
      </c>
      <c r="C5823" s="245" t="s">
        <v>5933</v>
      </c>
      <c r="D5823" s="15">
        <v>0</v>
      </c>
      <c r="E5823" s="15">
        <v>0</v>
      </c>
      <c r="F5823" s="15">
        <v>0</v>
      </c>
      <c r="G5823" s="15">
        <v>0</v>
      </c>
      <c r="H5823" s="15">
        <v>0</v>
      </c>
    </row>
    <row r="5824" spans="2:8">
      <c r="B5824" s="17" t="s">
        <v>11767</v>
      </c>
      <c r="C5824" s="246" t="s">
        <v>5934</v>
      </c>
      <c r="D5824" s="18">
        <v>0</v>
      </c>
      <c r="E5824" s="18">
        <v>0</v>
      </c>
      <c r="F5824" s="18">
        <v>0</v>
      </c>
      <c r="G5824" s="18">
        <v>0</v>
      </c>
      <c r="H5824" s="18">
        <v>0</v>
      </c>
    </row>
    <row r="5825" spans="2:8">
      <c r="B5825" s="14" t="s">
        <v>11768</v>
      </c>
      <c r="C5825" s="245" t="s">
        <v>5935</v>
      </c>
      <c r="D5825" s="15">
        <v>15</v>
      </c>
      <c r="E5825" s="15">
        <v>16</v>
      </c>
      <c r="F5825" s="15">
        <v>0</v>
      </c>
      <c r="G5825" s="15">
        <v>0</v>
      </c>
      <c r="H5825" s="15">
        <v>0</v>
      </c>
    </row>
    <row r="5826" spans="2:8">
      <c r="B5826" s="17" t="s">
        <v>11769</v>
      </c>
      <c r="C5826" s="246" t="s">
        <v>5936</v>
      </c>
      <c r="D5826" s="18">
        <v>0</v>
      </c>
      <c r="E5826" s="18">
        <v>0</v>
      </c>
      <c r="F5826" s="18">
        <v>0</v>
      </c>
      <c r="G5826" s="18">
        <v>0</v>
      </c>
      <c r="H5826" s="18">
        <v>0</v>
      </c>
    </row>
    <row r="5827" spans="2:8">
      <c r="B5827" s="14" t="s">
        <v>11770</v>
      </c>
      <c r="C5827" s="245" t="s">
        <v>5937</v>
      </c>
      <c r="D5827" s="15">
        <v>0</v>
      </c>
      <c r="E5827" s="15">
        <v>0</v>
      </c>
      <c r="F5827" s="15">
        <v>0</v>
      </c>
      <c r="G5827" s="15">
        <v>0</v>
      </c>
      <c r="H5827" s="15">
        <v>0</v>
      </c>
    </row>
    <row r="5828" spans="2:8">
      <c r="B5828" s="17" t="s">
        <v>11771</v>
      </c>
      <c r="C5828" s="246" t="s">
        <v>5938</v>
      </c>
      <c r="D5828" s="18">
        <v>0</v>
      </c>
      <c r="E5828" s="18">
        <v>0</v>
      </c>
      <c r="F5828" s="18">
        <v>0</v>
      </c>
      <c r="G5828" s="18">
        <v>0</v>
      </c>
      <c r="H5828" s="18">
        <v>0</v>
      </c>
    </row>
    <row r="5829" spans="2:8">
      <c r="B5829" s="14" t="s">
        <v>11772</v>
      </c>
      <c r="C5829" s="245" t="s">
        <v>5939</v>
      </c>
      <c r="D5829" s="15">
        <v>0</v>
      </c>
      <c r="E5829" s="15">
        <v>0</v>
      </c>
      <c r="F5829" s="15">
        <v>0</v>
      </c>
      <c r="G5829" s="15">
        <v>0</v>
      </c>
      <c r="H5829" s="15">
        <v>0</v>
      </c>
    </row>
    <row r="5830" spans="2:8">
      <c r="B5830" s="17" t="s">
        <v>11773</v>
      </c>
      <c r="C5830" s="246" t="s">
        <v>5940</v>
      </c>
      <c r="D5830" s="18">
        <v>0</v>
      </c>
      <c r="E5830" s="18">
        <v>0</v>
      </c>
      <c r="F5830" s="18">
        <v>0</v>
      </c>
      <c r="G5830" s="18">
        <v>0</v>
      </c>
      <c r="H5830" s="18">
        <v>0</v>
      </c>
    </row>
    <row r="5831" spans="2:8">
      <c r="B5831" s="14" t="s">
        <v>11774</v>
      </c>
      <c r="C5831" s="245" t="s">
        <v>5941</v>
      </c>
      <c r="D5831" s="15">
        <v>0</v>
      </c>
      <c r="E5831" s="15">
        <v>0</v>
      </c>
      <c r="F5831" s="15">
        <v>0</v>
      </c>
      <c r="G5831" s="15">
        <v>0</v>
      </c>
      <c r="H5831" s="15">
        <v>0</v>
      </c>
    </row>
    <row r="5832" spans="2:8">
      <c r="B5832" s="17" t="s">
        <v>11775</v>
      </c>
      <c r="C5832" s="246" t="s">
        <v>5942</v>
      </c>
      <c r="D5832" s="18">
        <v>0</v>
      </c>
      <c r="E5832" s="18">
        <v>0</v>
      </c>
      <c r="F5832" s="18">
        <v>0</v>
      </c>
      <c r="G5832" s="18">
        <v>0</v>
      </c>
      <c r="H5832" s="18">
        <v>0</v>
      </c>
    </row>
    <row r="5833" spans="2:8">
      <c r="B5833" s="14" t="s">
        <v>11776</v>
      </c>
      <c r="C5833" s="245" t="s">
        <v>5943</v>
      </c>
      <c r="D5833" s="15">
        <v>0</v>
      </c>
      <c r="E5833" s="15">
        <v>4</v>
      </c>
      <c r="F5833" s="15">
        <v>0</v>
      </c>
      <c r="G5833" s="15">
        <v>0</v>
      </c>
      <c r="H5833" s="15">
        <v>0</v>
      </c>
    </row>
    <row r="5834" spans="2:8">
      <c r="B5834" s="17" t="s">
        <v>11777</v>
      </c>
      <c r="C5834" s="246" t="s">
        <v>5944</v>
      </c>
      <c r="D5834" s="18">
        <v>3</v>
      </c>
      <c r="E5834" s="18">
        <v>119</v>
      </c>
      <c r="F5834" s="18">
        <v>38</v>
      </c>
      <c r="G5834" s="18">
        <v>242</v>
      </c>
      <c r="H5834" s="18">
        <v>0</v>
      </c>
    </row>
    <row r="5835" spans="2:8">
      <c r="B5835" s="14" t="s">
        <v>11778</v>
      </c>
      <c r="C5835" s="245" t="s">
        <v>5945</v>
      </c>
      <c r="D5835" s="15">
        <v>0</v>
      </c>
      <c r="E5835" s="15">
        <v>0</v>
      </c>
      <c r="F5835" s="15">
        <v>0</v>
      </c>
      <c r="G5835" s="15">
        <v>0</v>
      </c>
      <c r="H5835" s="15">
        <v>0</v>
      </c>
    </row>
    <row r="5836" spans="2:8">
      <c r="B5836" s="17" t="s">
        <v>11779</v>
      </c>
      <c r="C5836" s="246" t="s">
        <v>5946</v>
      </c>
      <c r="D5836" s="18">
        <v>0</v>
      </c>
      <c r="E5836" s="18">
        <v>0</v>
      </c>
      <c r="F5836" s="18">
        <v>0</v>
      </c>
      <c r="G5836" s="18">
        <v>0</v>
      </c>
      <c r="H5836" s="18">
        <v>0</v>
      </c>
    </row>
    <row r="5837" spans="2:8">
      <c r="B5837" s="45" t="s">
        <v>11780</v>
      </c>
      <c r="C5837" s="247" t="s">
        <v>5947</v>
      </c>
      <c r="D5837" s="46">
        <v>0</v>
      </c>
      <c r="E5837" s="46">
        <v>0</v>
      </c>
      <c r="F5837" s="46">
        <v>13</v>
      </c>
      <c r="G5837" s="46">
        <v>0</v>
      </c>
      <c r="H5837" s="46">
        <v>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R21"/>
  <sheetViews>
    <sheetView workbookViewId="0">
      <selection activeCell="H22" sqref="H22"/>
    </sheetView>
  </sheetViews>
  <sheetFormatPr baseColWidth="10" defaultRowHeight="14.4"/>
  <cols>
    <col min="1" max="1" width="5.33203125" customWidth="1"/>
    <col min="2" max="2" width="12.88671875" customWidth="1"/>
    <col min="3" max="7" width="9.6640625" customWidth="1"/>
    <col min="8" max="8" width="8.5546875" customWidth="1"/>
    <col min="9" max="9" width="8.109375" customWidth="1"/>
    <col min="10" max="10" width="8.5546875" customWidth="1"/>
    <col min="11" max="11" width="8.6640625" customWidth="1"/>
    <col min="12" max="13" width="8.5546875" customWidth="1"/>
    <col min="14" max="14" width="19.88671875" customWidth="1"/>
    <col min="15" max="18" width="8.109375" customWidth="1"/>
  </cols>
  <sheetData>
    <row r="2" spans="1:18" ht="32.25" customHeight="1">
      <c r="A2" s="69" t="s">
        <v>207</v>
      </c>
      <c r="B2" s="41" t="s">
        <v>151</v>
      </c>
      <c r="C2" s="41">
        <v>2017</v>
      </c>
      <c r="D2" s="41">
        <v>2018</v>
      </c>
      <c r="E2" s="41">
        <v>2019</v>
      </c>
      <c r="F2" s="41">
        <v>2020</v>
      </c>
      <c r="G2" s="41">
        <v>2021</v>
      </c>
      <c r="H2" s="42" t="s">
        <v>90</v>
      </c>
      <c r="I2" s="42" t="s">
        <v>152</v>
      </c>
      <c r="J2" s="42" t="s">
        <v>153</v>
      </c>
      <c r="K2" s="42" t="s">
        <v>227</v>
      </c>
      <c r="L2" s="73"/>
      <c r="M2" s="73"/>
      <c r="N2" s="76" t="s">
        <v>226</v>
      </c>
      <c r="O2" s="5" t="s">
        <v>91</v>
      </c>
      <c r="P2" s="5" t="s">
        <v>92</v>
      </c>
      <c r="Q2" s="5" t="s">
        <v>93</v>
      </c>
      <c r="R2" s="5" t="s">
        <v>94</v>
      </c>
    </row>
    <row r="3" spans="1:18">
      <c r="A3" s="55"/>
      <c r="B3" s="40" t="s">
        <v>89</v>
      </c>
      <c r="C3" s="40">
        <v>78656.984999999986</v>
      </c>
      <c r="D3" s="40">
        <v>86011.078999999983</v>
      </c>
      <c r="E3" s="40">
        <v>89413.593999999983</v>
      </c>
      <c r="F3" s="40">
        <v>100207.035</v>
      </c>
      <c r="G3" s="66">
        <v>106718.147</v>
      </c>
      <c r="H3" s="7">
        <f t="shared" ref="H3:H21" si="0">G3/$G$3</f>
        <v>1</v>
      </c>
      <c r="I3" s="8">
        <f t="shared" ref="I3:I21" si="1">R3</f>
        <v>6.4976595705081923</v>
      </c>
      <c r="J3" s="8">
        <f t="shared" ref="J3:J21" si="2">(O3+P3+Q3+R3)/4</f>
        <v>7.9686256653346987</v>
      </c>
      <c r="K3" s="77">
        <f>((G3/C3)^(1/5))-1</f>
        <v>6.2919063130782771E-2</v>
      </c>
      <c r="L3" s="74"/>
      <c r="M3" s="74"/>
      <c r="O3" s="3">
        <f>((D3-C3)/(C3))*100</f>
        <v>9.3495752475129805</v>
      </c>
      <c r="P3" s="3">
        <f>((E3-D3)/(D3))*100</f>
        <v>3.9559031691719619</v>
      </c>
      <c r="Q3" s="3">
        <f>((F3-E3)/(E3))*100</f>
        <v>12.071364674145659</v>
      </c>
      <c r="R3" s="3">
        <f>((G3-F3)/(F3))*100</f>
        <v>6.4976595705081923</v>
      </c>
    </row>
    <row r="4" spans="1:18">
      <c r="A4" s="55">
        <v>1</v>
      </c>
      <c r="B4" s="6" t="s">
        <v>128</v>
      </c>
      <c r="C4" s="6">
        <v>39609.75</v>
      </c>
      <c r="D4" s="6">
        <v>38858.199999999997</v>
      </c>
      <c r="E4" s="6">
        <v>39539.368999999992</v>
      </c>
      <c r="F4" s="6">
        <v>39618.129999999997</v>
      </c>
      <c r="G4" s="65">
        <v>41336.708999999995</v>
      </c>
      <c r="H4" s="7">
        <f t="shared" si="0"/>
        <v>0.38734470342705629</v>
      </c>
      <c r="I4" s="8">
        <f t="shared" si="1"/>
        <v>4.3378599646172047</v>
      </c>
      <c r="J4" s="8">
        <f t="shared" si="2"/>
        <v>1.0981576886899975</v>
      </c>
      <c r="K4" s="77">
        <f t="shared" ref="K4:K21" si="3">((G4/C4)^(1/5))-1</f>
        <v>8.5716566359599344E-3</v>
      </c>
      <c r="L4" s="74"/>
      <c r="O4" s="3">
        <f t="shared" ref="O4:O21" si="4">((D4-C4)/(C4))*100</f>
        <v>-1.8973863758291909</v>
      </c>
      <c r="P4" s="3">
        <f t="shared" ref="P4:P21" si="5">((E4-D4)/(D4))*100</f>
        <v>1.7529607650379957</v>
      </c>
      <c r="Q4" s="3">
        <f t="shared" ref="Q4:Q21" si="6">((F4-E4)/(E4))*100</f>
        <v>0.19919640093398025</v>
      </c>
      <c r="R4" s="3">
        <f t="shared" ref="R4:R21" si="7">((G4-F4)/(F4))*100</f>
        <v>4.3378599646172047</v>
      </c>
    </row>
    <row r="5" spans="1:18">
      <c r="A5" s="55">
        <v>2</v>
      </c>
      <c r="B5" s="9" t="s">
        <v>116</v>
      </c>
      <c r="C5" s="9">
        <v>15615</v>
      </c>
      <c r="D5" s="9">
        <v>21213</v>
      </c>
      <c r="E5" s="9">
        <v>15832</v>
      </c>
      <c r="F5" s="9">
        <v>23449</v>
      </c>
      <c r="G5" s="67">
        <v>22432</v>
      </c>
      <c r="H5" s="68">
        <f t="shared" si="0"/>
        <v>0.21019855226684175</v>
      </c>
      <c r="I5" s="64">
        <f t="shared" si="1"/>
        <v>-4.3370719433664551</v>
      </c>
      <c r="J5" s="64">
        <f t="shared" si="2"/>
        <v>13.564492882008443</v>
      </c>
      <c r="K5" s="77">
        <f t="shared" si="3"/>
        <v>7.5140449801239351E-2</v>
      </c>
      <c r="L5" s="75"/>
      <c r="M5" s="75"/>
      <c r="O5" s="3">
        <f t="shared" si="4"/>
        <v>35.850144092219018</v>
      </c>
      <c r="P5" s="3">
        <f t="shared" si="5"/>
        <v>-25.366520529863763</v>
      </c>
      <c r="Q5" s="3">
        <f t="shared" si="6"/>
        <v>48.111419909044969</v>
      </c>
      <c r="R5" s="3">
        <f t="shared" si="7"/>
        <v>-4.3370719433664551</v>
      </c>
    </row>
    <row r="6" spans="1:18">
      <c r="A6" s="55">
        <v>3</v>
      </c>
      <c r="B6" s="6" t="s">
        <v>118</v>
      </c>
      <c r="C6" s="6">
        <v>3674.8</v>
      </c>
      <c r="D6" s="6">
        <v>4241.7</v>
      </c>
      <c r="E6" s="6">
        <v>4218</v>
      </c>
      <c r="F6" s="6">
        <v>6767.2000000000007</v>
      </c>
      <c r="G6" s="6">
        <v>13019.499999999998</v>
      </c>
      <c r="H6" s="7">
        <f t="shared" si="0"/>
        <v>0.12199893238401149</v>
      </c>
      <c r="I6" s="8">
        <f t="shared" si="1"/>
        <v>92.391240099302479</v>
      </c>
      <c r="J6" s="8">
        <f t="shared" si="2"/>
        <v>41.923854361207113</v>
      </c>
      <c r="K6" s="77">
        <f t="shared" si="3"/>
        <v>0.28787027550481281</v>
      </c>
      <c r="L6" s="74"/>
      <c r="M6" s="74"/>
      <c r="O6" s="3">
        <f t="shared" si="4"/>
        <v>15.426689887885045</v>
      </c>
      <c r="P6" s="3">
        <f t="shared" si="5"/>
        <v>-0.55873824174269326</v>
      </c>
      <c r="Q6" s="3">
        <f t="shared" si="6"/>
        <v>60.43622569938362</v>
      </c>
      <c r="R6" s="3">
        <f t="shared" si="7"/>
        <v>92.391240099302479</v>
      </c>
    </row>
    <row r="7" spans="1:18">
      <c r="A7" s="55">
        <v>4</v>
      </c>
      <c r="B7" s="6" t="s">
        <v>114</v>
      </c>
      <c r="C7" s="6">
        <v>7334.86</v>
      </c>
      <c r="D7" s="6">
        <v>9262.0899999999983</v>
      </c>
      <c r="E7" s="6">
        <v>11307.95</v>
      </c>
      <c r="F7" s="6">
        <v>11887.939999999999</v>
      </c>
      <c r="G7" s="65">
        <v>10921.849999999999</v>
      </c>
      <c r="H7" s="7">
        <f t="shared" si="0"/>
        <v>0.10234295016385545</v>
      </c>
      <c r="I7" s="8">
        <f t="shared" si="1"/>
        <v>-8.1266392663489242</v>
      </c>
      <c r="J7" s="8">
        <f t="shared" si="2"/>
        <v>11.341470332971655</v>
      </c>
      <c r="K7" s="77">
        <f t="shared" si="3"/>
        <v>8.2881354091961956E-2</v>
      </c>
      <c r="L7" s="74"/>
      <c r="M7" s="74"/>
      <c r="O7" s="3">
        <f t="shared" si="4"/>
        <v>26.274939126309143</v>
      </c>
      <c r="P7" s="3">
        <f t="shared" si="5"/>
        <v>22.08853509305138</v>
      </c>
      <c r="Q7" s="3">
        <f t="shared" si="6"/>
        <v>5.1290463788750209</v>
      </c>
      <c r="R7" s="3">
        <f t="shared" si="7"/>
        <v>-8.1266392663489242</v>
      </c>
    </row>
    <row r="8" spans="1:18">
      <c r="A8" s="55">
        <v>5</v>
      </c>
      <c r="B8" s="6" t="s">
        <v>115</v>
      </c>
      <c r="C8" s="6">
        <v>3104.087</v>
      </c>
      <c r="D8" s="6">
        <v>3941.6840000000002</v>
      </c>
      <c r="E8" s="6">
        <v>8460.7669999999998</v>
      </c>
      <c r="F8" s="6">
        <v>8643.5869999999995</v>
      </c>
      <c r="G8" s="65">
        <v>7254.2749999999996</v>
      </c>
      <c r="H8" s="7">
        <f t="shared" si="0"/>
        <v>6.7976020985446833E-2</v>
      </c>
      <c r="I8" s="8">
        <f t="shared" si="1"/>
        <v>-16.073326964835317</v>
      </c>
      <c r="J8" s="8">
        <f t="shared" si="2"/>
        <v>31.929922293054869</v>
      </c>
      <c r="K8" s="77">
        <f t="shared" si="3"/>
        <v>0.18503731553754466</v>
      </c>
      <c r="L8" s="74"/>
      <c r="M8" s="74"/>
      <c r="O8" s="3">
        <f t="shared" si="4"/>
        <v>26.983683124860875</v>
      </c>
      <c r="P8" s="3">
        <f t="shared" si="5"/>
        <v>114.64853600643785</v>
      </c>
      <c r="Q8" s="3">
        <f t="shared" si="6"/>
        <v>2.1607970057560943</v>
      </c>
      <c r="R8" s="3">
        <f t="shared" si="7"/>
        <v>-16.073326964835317</v>
      </c>
    </row>
    <row r="9" spans="1:18">
      <c r="A9" s="55">
        <v>6</v>
      </c>
      <c r="B9" s="6" t="s">
        <v>122</v>
      </c>
      <c r="C9" s="6">
        <v>2761.45</v>
      </c>
      <c r="D9" s="6">
        <v>3074.45</v>
      </c>
      <c r="E9" s="6">
        <v>3469.5690000000013</v>
      </c>
      <c r="F9" s="6">
        <v>4233.3</v>
      </c>
      <c r="G9" s="65">
        <v>5442.1499999999987</v>
      </c>
      <c r="H9" s="7">
        <f t="shared" si="0"/>
        <v>5.0995544366039251E-2</v>
      </c>
      <c r="I9" s="8">
        <f t="shared" si="1"/>
        <v>28.55573665934374</v>
      </c>
      <c r="J9" s="8">
        <f t="shared" si="2"/>
        <v>18.688582907574585</v>
      </c>
      <c r="K9" s="77">
        <f t="shared" si="3"/>
        <v>0.14531952573925344</v>
      </c>
      <c r="L9" s="74"/>
      <c r="M9" s="74"/>
      <c r="O9" s="3">
        <f t="shared" si="4"/>
        <v>11.33462492531098</v>
      </c>
      <c r="P9" s="3">
        <f t="shared" si="5"/>
        <v>12.851697051505198</v>
      </c>
      <c r="Q9" s="3">
        <f t="shared" si="6"/>
        <v>22.012272994138424</v>
      </c>
      <c r="R9" s="3">
        <f t="shared" si="7"/>
        <v>28.55573665934374</v>
      </c>
    </row>
    <row r="10" spans="1:18">
      <c r="A10" s="55">
        <v>7</v>
      </c>
      <c r="B10" s="6" t="s">
        <v>119</v>
      </c>
      <c r="C10" s="6">
        <v>1589.308</v>
      </c>
      <c r="D10" s="6">
        <v>1305.4780000000001</v>
      </c>
      <c r="E10" s="6">
        <v>1934.0890000000004</v>
      </c>
      <c r="F10" s="6">
        <v>2021.75</v>
      </c>
      <c r="G10" s="65">
        <v>2379.8500000000004</v>
      </c>
      <c r="H10" s="7">
        <f t="shared" si="0"/>
        <v>2.2300330983070764E-2</v>
      </c>
      <c r="I10" s="8">
        <f t="shared" si="1"/>
        <v>17.712377890441466</v>
      </c>
      <c r="J10" s="8">
        <f t="shared" si="2"/>
        <v>13.134467051797619</v>
      </c>
      <c r="K10" s="77">
        <f t="shared" si="3"/>
        <v>8.409740048113834E-2</v>
      </c>
      <c r="L10" s="74"/>
      <c r="M10" s="74"/>
      <c r="O10" s="3">
        <f t="shared" si="4"/>
        <v>-17.858715868793208</v>
      </c>
      <c r="P10" s="3">
        <f t="shared" si="5"/>
        <v>48.151788080687709</v>
      </c>
      <c r="Q10" s="3">
        <f t="shared" si="6"/>
        <v>4.5324181048545125</v>
      </c>
      <c r="R10" s="3">
        <f t="shared" si="7"/>
        <v>17.712377890441466</v>
      </c>
    </row>
    <row r="11" spans="1:18">
      <c r="A11" s="55">
        <v>8</v>
      </c>
      <c r="B11" s="6" t="s">
        <v>123</v>
      </c>
      <c r="C11" s="6">
        <v>2006.4</v>
      </c>
      <c r="D11" s="6">
        <v>1756.0600000000002</v>
      </c>
      <c r="E11" s="6">
        <v>1489.08</v>
      </c>
      <c r="F11" s="6">
        <v>1303.6499999999999</v>
      </c>
      <c r="G11" s="65">
        <v>1447.4</v>
      </c>
      <c r="H11" s="7">
        <f t="shared" si="0"/>
        <v>1.3562829197174874E-2</v>
      </c>
      <c r="I11" s="8">
        <f t="shared" si="1"/>
        <v>11.026732635293234</v>
      </c>
      <c r="J11" s="8">
        <f t="shared" si="2"/>
        <v>-7.2765872553378284</v>
      </c>
      <c r="K11" s="77">
        <f t="shared" si="3"/>
        <v>-6.3227334397239932E-2</v>
      </c>
      <c r="L11" s="74"/>
      <c r="M11" s="74"/>
      <c r="O11" s="3">
        <f t="shared" si="4"/>
        <v>-12.477073365231256</v>
      </c>
      <c r="P11" s="3">
        <f t="shared" si="5"/>
        <v>-15.203352960605004</v>
      </c>
      <c r="Q11" s="3">
        <f t="shared" si="6"/>
        <v>-12.452655330808289</v>
      </c>
      <c r="R11" s="3">
        <f t="shared" si="7"/>
        <v>11.026732635293234</v>
      </c>
    </row>
    <row r="12" spans="1:18">
      <c r="A12" s="55">
        <v>9</v>
      </c>
      <c r="B12" s="6" t="s">
        <v>203</v>
      </c>
      <c r="C12" s="6">
        <f>SUM(C13:C21)</f>
        <v>2951.63</v>
      </c>
      <c r="D12" s="6">
        <f t="shared" ref="D12:G12" si="8">SUM(D13:D21)</f>
        <v>2358.4169999999999</v>
      </c>
      <c r="E12" s="6">
        <f t="shared" si="8"/>
        <v>3162.77</v>
      </c>
      <c r="F12" s="6">
        <f t="shared" si="8"/>
        <v>2282.4780000000005</v>
      </c>
      <c r="G12" s="6">
        <f t="shared" si="8"/>
        <v>2482.3130000000001</v>
      </c>
      <c r="H12" s="7">
        <f t="shared" si="0"/>
        <v>2.3260458223660876E-2</v>
      </c>
      <c r="I12" s="8">
        <f t="shared" si="1"/>
        <v>8.7551774869242784</v>
      </c>
      <c r="J12" s="8">
        <f t="shared" si="2"/>
        <v>-1.2674864398520089</v>
      </c>
      <c r="K12" s="77">
        <f t="shared" si="3"/>
        <v>-3.4040484109695179E-2</v>
      </c>
      <c r="L12" s="74"/>
      <c r="M12" s="74"/>
      <c r="O12" s="3">
        <f t="shared" si="4"/>
        <v>-20.09781036240993</v>
      </c>
      <c r="P12" s="3">
        <f t="shared" si="5"/>
        <v>34.105631022842871</v>
      </c>
      <c r="Q12" s="3">
        <f t="shared" si="6"/>
        <v>-27.832943906765255</v>
      </c>
      <c r="R12" s="3">
        <f t="shared" si="7"/>
        <v>8.7551774869242784</v>
      </c>
    </row>
    <row r="13" spans="1:18">
      <c r="A13" s="55">
        <v>9</v>
      </c>
      <c r="B13" s="6" t="s">
        <v>120</v>
      </c>
      <c r="C13" s="6">
        <v>550</v>
      </c>
      <c r="D13" s="6">
        <v>559.99899999999991</v>
      </c>
      <c r="E13" s="6">
        <v>553</v>
      </c>
      <c r="F13" s="6">
        <v>626.00000000000011</v>
      </c>
      <c r="G13" s="65">
        <v>797.5</v>
      </c>
      <c r="H13" s="7">
        <f t="shared" si="0"/>
        <v>7.4729558413340891E-3</v>
      </c>
      <c r="I13" s="8">
        <f t="shared" si="1"/>
        <v>27.396166134185279</v>
      </c>
      <c r="J13" s="8">
        <f t="shared" si="2"/>
        <v>9.8367664502728829</v>
      </c>
      <c r="K13" s="77">
        <f t="shared" si="3"/>
        <v>7.7143587792743107E-2</v>
      </c>
      <c r="L13" s="74"/>
      <c r="M13" s="74"/>
      <c r="O13" s="3">
        <v>0</v>
      </c>
      <c r="P13" s="3">
        <f t="shared" si="5"/>
        <v>-1.2498236603993775</v>
      </c>
      <c r="Q13" s="3">
        <f t="shared" si="6"/>
        <v>13.200723327305628</v>
      </c>
      <c r="R13" s="3">
        <f t="shared" si="7"/>
        <v>27.396166134185279</v>
      </c>
    </row>
    <row r="14" spans="1:18">
      <c r="A14" s="55">
        <v>10</v>
      </c>
      <c r="B14" s="6" t="s">
        <v>117</v>
      </c>
      <c r="C14" s="6">
        <v>841.17100000000005</v>
      </c>
      <c r="D14" s="6">
        <v>907.71900000000016</v>
      </c>
      <c r="E14" s="6">
        <v>1059.2800000000002</v>
      </c>
      <c r="F14" s="6">
        <v>538.05800000000011</v>
      </c>
      <c r="G14" s="65">
        <v>735.83999999999992</v>
      </c>
      <c r="H14" s="7">
        <f t="shared" si="0"/>
        <v>6.8951721959715053E-3</v>
      </c>
      <c r="I14" s="8">
        <f t="shared" si="1"/>
        <v>36.758490720331224</v>
      </c>
      <c r="J14" s="8">
        <f t="shared" si="2"/>
        <v>3.0403602268054906</v>
      </c>
      <c r="K14" s="77">
        <f t="shared" si="3"/>
        <v>-2.6401670372624197E-2</v>
      </c>
      <c r="L14" s="74"/>
      <c r="M14" s="74"/>
      <c r="O14" s="3">
        <f t="shared" si="4"/>
        <v>7.911352150751763</v>
      </c>
      <c r="P14" s="3">
        <f t="shared" si="5"/>
        <v>16.696907302810672</v>
      </c>
      <c r="Q14" s="3">
        <f t="shared" si="6"/>
        <v>-49.205309266671698</v>
      </c>
      <c r="R14" s="3">
        <f t="shared" si="7"/>
        <v>36.758490720331224</v>
      </c>
    </row>
    <row r="15" spans="1:18">
      <c r="A15" s="55">
        <v>11</v>
      </c>
      <c r="B15" s="6" t="s">
        <v>129</v>
      </c>
      <c r="C15" s="6">
        <v>1246</v>
      </c>
      <c r="D15" s="6">
        <v>454</v>
      </c>
      <c r="E15" s="6">
        <v>1086</v>
      </c>
      <c r="F15" s="6">
        <v>824</v>
      </c>
      <c r="G15" s="65">
        <v>695</v>
      </c>
      <c r="H15" s="7">
        <f t="shared" si="0"/>
        <v>6.512481893074849E-3</v>
      </c>
      <c r="I15" s="8">
        <f t="shared" si="1"/>
        <v>-15.655339805825244</v>
      </c>
      <c r="J15" s="8">
        <f t="shared" si="2"/>
        <v>8.9657688901251706</v>
      </c>
      <c r="K15" s="77">
        <f t="shared" si="3"/>
        <v>-0.11019805146606698</v>
      </c>
      <c r="L15" s="74"/>
      <c r="M15" s="74"/>
      <c r="O15" s="3">
        <f t="shared" si="4"/>
        <v>-63.563402889245587</v>
      </c>
      <c r="P15" s="3">
        <f t="shared" si="5"/>
        <v>139.20704845814979</v>
      </c>
      <c r="Q15" s="3">
        <f t="shared" si="6"/>
        <v>-24.125230202578269</v>
      </c>
      <c r="R15" s="3">
        <f t="shared" si="7"/>
        <v>-15.655339805825244</v>
      </c>
    </row>
    <row r="16" spans="1:18">
      <c r="A16" s="55">
        <v>12</v>
      </c>
      <c r="B16" s="6" t="s">
        <v>113</v>
      </c>
      <c r="C16" s="6">
        <v>126.6</v>
      </c>
      <c r="D16" s="6">
        <v>149.30000000000001</v>
      </c>
      <c r="E16" s="6">
        <v>224.7</v>
      </c>
      <c r="F16" s="6">
        <v>161.55000000000001</v>
      </c>
      <c r="G16" s="65">
        <v>170</v>
      </c>
      <c r="H16" s="7">
        <f t="shared" si="0"/>
        <v>1.5929811824787401E-3</v>
      </c>
      <c r="I16" s="8">
        <f t="shared" si="1"/>
        <v>5.230578768183217</v>
      </c>
      <c r="J16" s="8">
        <f t="shared" si="2"/>
        <v>11.389818480273426</v>
      </c>
      <c r="K16" s="77">
        <f t="shared" si="3"/>
        <v>6.0725582206125672E-2</v>
      </c>
      <c r="L16" s="74"/>
      <c r="M16" s="74"/>
      <c r="O16" s="3">
        <f t="shared" si="4"/>
        <v>17.930489731437614</v>
      </c>
      <c r="P16" s="3">
        <f t="shared" si="5"/>
        <v>50.50234427327527</v>
      </c>
      <c r="Q16" s="3">
        <f t="shared" si="6"/>
        <v>-28.104138851802396</v>
      </c>
      <c r="R16" s="3">
        <f t="shared" si="7"/>
        <v>5.230578768183217</v>
      </c>
    </row>
    <row r="17" spans="1:18">
      <c r="A17" s="55">
        <v>13</v>
      </c>
      <c r="B17" s="6" t="s">
        <v>121</v>
      </c>
      <c r="C17" s="6">
        <v>1</v>
      </c>
      <c r="D17" s="6">
        <v>40.15</v>
      </c>
      <c r="E17" s="6">
        <v>52.2</v>
      </c>
      <c r="F17" s="6">
        <v>37.799999999999997</v>
      </c>
      <c r="G17" s="65">
        <v>46.698999999999998</v>
      </c>
      <c r="H17" s="7">
        <f t="shared" si="0"/>
        <v>4.3759193082690989E-4</v>
      </c>
      <c r="I17" s="8">
        <f t="shared" si="1"/>
        <v>23.542328042328048</v>
      </c>
      <c r="J17" s="8">
        <f t="shared" si="2"/>
        <v>6.4921436114752131</v>
      </c>
      <c r="K17" s="77">
        <f t="shared" si="3"/>
        <v>1.1570564770968801</v>
      </c>
      <c r="L17" s="74"/>
      <c r="M17" s="74"/>
      <c r="O17" s="3">
        <v>0</v>
      </c>
      <c r="P17" s="3">
        <f t="shared" si="5"/>
        <v>30.012453300124541</v>
      </c>
      <c r="Q17" s="3">
        <f t="shared" si="6"/>
        <v>-27.586206896551737</v>
      </c>
      <c r="R17" s="3">
        <f t="shared" si="7"/>
        <v>23.542328042328048</v>
      </c>
    </row>
    <row r="18" spans="1:18">
      <c r="A18" s="55">
        <v>14</v>
      </c>
      <c r="B18" s="6" t="s">
        <v>127</v>
      </c>
      <c r="C18" s="6">
        <v>59.549000000000007</v>
      </c>
      <c r="D18" s="6">
        <v>49.898999999999994</v>
      </c>
      <c r="E18" s="6">
        <v>39.919999999999995</v>
      </c>
      <c r="F18" s="6">
        <v>28.8</v>
      </c>
      <c r="G18" s="65">
        <v>30.96</v>
      </c>
      <c r="H18" s="7">
        <f t="shared" si="0"/>
        <v>2.9010998476201053E-4</v>
      </c>
      <c r="I18" s="8">
        <f t="shared" si="1"/>
        <v>7.5</v>
      </c>
      <c r="J18" s="8">
        <f t="shared" si="2"/>
        <v>-14.139812542054063</v>
      </c>
      <c r="K18" s="77">
        <f t="shared" si="3"/>
        <v>-0.12262491834617528</v>
      </c>
      <c r="L18" s="74"/>
      <c r="M18" s="74"/>
      <c r="O18" s="3">
        <f t="shared" si="4"/>
        <v>-16.205141983912426</v>
      </c>
      <c r="P18" s="3">
        <f t="shared" si="5"/>
        <v>-19.998396761458146</v>
      </c>
      <c r="Q18" s="3">
        <f t="shared" si="6"/>
        <v>-27.85571142284568</v>
      </c>
      <c r="R18" s="3">
        <f t="shared" si="7"/>
        <v>7.5</v>
      </c>
    </row>
    <row r="19" spans="1:18">
      <c r="A19" s="55">
        <v>15</v>
      </c>
      <c r="B19" s="6" t="s">
        <v>126</v>
      </c>
      <c r="C19" s="6">
        <v>10.31</v>
      </c>
      <c r="D19" s="6">
        <v>12.45</v>
      </c>
      <c r="E19" s="6">
        <v>14.57</v>
      </c>
      <c r="F19" s="6">
        <v>2.0699999999999998</v>
      </c>
      <c r="G19" s="65">
        <v>6.3140000000000001</v>
      </c>
      <c r="H19" s="7">
        <f t="shared" si="0"/>
        <v>5.9165195212769201E-5</v>
      </c>
      <c r="I19" s="8">
        <f t="shared" si="1"/>
        <v>205.02415458937199</v>
      </c>
      <c r="J19" s="8">
        <f t="shared" si="2"/>
        <v>39.254022325984835</v>
      </c>
      <c r="K19" s="77">
        <f t="shared" si="3"/>
        <v>-9.3413636161632563E-2</v>
      </c>
      <c r="L19" s="74"/>
      <c r="M19" s="74"/>
      <c r="O19" s="3">
        <f t="shared" si="4"/>
        <v>20.756547041707069</v>
      </c>
      <c r="P19" s="3">
        <f t="shared" si="5"/>
        <v>17.028112449799206</v>
      </c>
      <c r="Q19" s="3">
        <f t="shared" si="6"/>
        <v>-85.792724776938911</v>
      </c>
      <c r="R19" s="3">
        <f t="shared" si="7"/>
        <v>205.02415458937199</v>
      </c>
    </row>
    <row r="20" spans="1:18">
      <c r="A20" s="55">
        <v>16</v>
      </c>
      <c r="B20" s="6" t="s">
        <v>124</v>
      </c>
      <c r="C20" s="6">
        <v>112</v>
      </c>
      <c r="D20" s="6">
        <v>178</v>
      </c>
      <c r="E20" s="6">
        <v>123</v>
      </c>
      <c r="F20" s="6">
        <v>18</v>
      </c>
      <c r="G20" s="6">
        <v>0</v>
      </c>
      <c r="H20" s="7">
        <f t="shared" si="0"/>
        <v>0</v>
      </c>
      <c r="I20" s="8">
        <f t="shared" si="1"/>
        <v>-100</v>
      </c>
      <c r="J20" s="8">
        <f t="shared" si="2"/>
        <v>-39.334039658614884</v>
      </c>
      <c r="K20" s="77">
        <f t="shared" si="3"/>
        <v>-1</v>
      </c>
      <c r="L20" s="74"/>
      <c r="M20" s="74"/>
      <c r="O20" s="3">
        <f t="shared" si="4"/>
        <v>58.928571428571431</v>
      </c>
      <c r="P20" s="3">
        <f t="shared" si="5"/>
        <v>-30.898876404494381</v>
      </c>
      <c r="Q20" s="3">
        <f t="shared" si="6"/>
        <v>-85.365853658536579</v>
      </c>
      <c r="R20" s="3">
        <f t="shared" si="7"/>
        <v>-100</v>
      </c>
    </row>
    <row r="21" spans="1:18">
      <c r="A21" s="55">
        <v>17</v>
      </c>
      <c r="B21" s="6" t="s">
        <v>125</v>
      </c>
      <c r="C21" s="6">
        <v>5</v>
      </c>
      <c r="D21" s="6">
        <v>6.9</v>
      </c>
      <c r="E21" s="6">
        <v>10.1</v>
      </c>
      <c r="F21" s="6">
        <v>46.2</v>
      </c>
      <c r="G21" s="6">
        <v>0</v>
      </c>
      <c r="H21" s="7">
        <f t="shared" si="0"/>
        <v>0</v>
      </c>
      <c r="I21" s="8">
        <f t="shared" si="1"/>
        <v>-100</v>
      </c>
      <c r="J21" s="8">
        <f t="shared" si="2"/>
        <v>85.450638542115087</v>
      </c>
      <c r="K21" s="77">
        <f t="shared" si="3"/>
        <v>-1</v>
      </c>
      <c r="L21" s="74"/>
      <c r="M21" s="74"/>
      <c r="O21" s="3">
        <f t="shared" si="4"/>
        <v>38.000000000000007</v>
      </c>
      <c r="P21" s="3">
        <f t="shared" si="5"/>
        <v>46.376811594202891</v>
      </c>
      <c r="Q21" s="3">
        <f t="shared" si="6"/>
        <v>357.42574257425741</v>
      </c>
      <c r="R21" s="3">
        <f t="shared" si="7"/>
        <v>-100</v>
      </c>
    </row>
  </sheetData>
  <sortState xmlns:xlrd2="http://schemas.microsoft.com/office/spreadsheetml/2017/richdata2" ref="B3:J21">
    <sortCondition descending="1" ref="G3:G21"/>
  </sortState>
  <phoneticPr fontId="19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E9E14-7666-4DE9-AFD9-547BFD8331FD}">
  <dimension ref="A2:Q360"/>
  <sheetViews>
    <sheetView workbookViewId="0">
      <selection activeCell="B5" sqref="B5"/>
    </sheetView>
  </sheetViews>
  <sheetFormatPr baseColWidth="10" defaultRowHeight="14.4"/>
  <cols>
    <col min="1" max="1" width="5" customWidth="1"/>
    <col min="2" max="2" width="35.33203125" customWidth="1"/>
    <col min="3" max="7" width="8.44140625" customWidth="1"/>
    <col min="8" max="8" width="6.5546875" customWidth="1"/>
    <col min="9" max="9" width="7.33203125" customWidth="1"/>
    <col min="10" max="10" width="7.88671875" customWidth="1"/>
    <col min="12" max="12" width="34.33203125" customWidth="1"/>
  </cols>
  <sheetData>
    <row r="2" spans="1:17" ht="29.25" customHeight="1">
      <c r="A2" s="175" t="s">
        <v>206</v>
      </c>
      <c r="B2" s="57" t="s">
        <v>628</v>
      </c>
      <c r="C2" s="179" t="s">
        <v>601</v>
      </c>
      <c r="D2" s="179" t="s">
        <v>602</v>
      </c>
      <c r="E2" s="179" t="s">
        <v>603</v>
      </c>
      <c r="F2" s="179" t="s">
        <v>604</v>
      </c>
      <c r="G2" s="200" t="s">
        <v>605</v>
      </c>
      <c r="H2" s="203" t="s">
        <v>96</v>
      </c>
      <c r="I2" s="203" t="s">
        <v>95</v>
      </c>
      <c r="J2" s="203" t="s">
        <v>97</v>
      </c>
      <c r="L2" s="57"/>
      <c r="M2" s="172" t="s">
        <v>601</v>
      </c>
      <c r="N2" s="172" t="s">
        <v>602</v>
      </c>
      <c r="O2" s="172" t="s">
        <v>603</v>
      </c>
      <c r="P2" s="172" t="s">
        <v>604</v>
      </c>
      <c r="Q2" s="172" t="s">
        <v>605</v>
      </c>
    </row>
    <row r="3" spans="1:17" s="117" customFormat="1">
      <c r="A3" s="174"/>
      <c r="B3" s="176" t="s">
        <v>89</v>
      </c>
      <c r="C3" s="176">
        <f>SUM(C4:C360)</f>
        <v>154058832</v>
      </c>
      <c r="D3" s="176">
        <f>SUM(D4:D360)</f>
        <v>163876897</v>
      </c>
      <c r="E3" s="176">
        <f>SUM(E4:E360)</f>
        <v>148924512</v>
      </c>
      <c r="F3" s="176">
        <f>SUM(F4:F360)</f>
        <v>122743004.81000002</v>
      </c>
      <c r="G3" s="201">
        <f>SUM(G4:G360)</f>
        <v>107869518.83999993</v>
      </c>
      <c r="H3" s="207">
        <f>G3/$G$3</f>
        <v>1</v>
      </c>
      <c r="I3" s="207">
        <f>(G3/F3)-1</f>
        <v>-0.12117583395504694</v>
      </c>
      <c r="J3" s="207">
        <f>((G3/C3)^(1/4))-1</f>
        <v>-8.5248700432049351E-2</v>
      </c>
      <c r="L3" s="117" t="s">
        <v>248</v>
      </c>
      <c r="M3" s="117">
        <v>15377910</v>
      </c>
      <c r="N3" s="117">
        <v>20037484</v>
      </c>
      <c r="O3" s="117">
        <v>16453483</v>
      </c>
      <c r="P3" s="117">
        <v>12856066.799999997</v>
      </c>
      <c r="Q3" s="117">
        <v>12246459.129999992</v>
      </c>
    </row>
    <row r="4" spans="1:17">
      <c r="A4" s="97">
        <v>1</v>
      </c>
      <c r="B4" s="177" t="s">
        <v>248</v>
      </c>
      <c r="C4" s="177">
        <v>15377910</v>
      </c>
      <c r="D4" s="177">
        <v>20037484</v>
      </c>
      <c r="E4" s="177">
        <v>16453483</v>
      </c>
      <c r="F4" s="177">
        <v>12856066.799999997</v>
      </c>
      <c r="G4" s="202">
        <v>12246459.129999992</v>
      </c>
      <c r="H4" s="204">
        <f t="shared" ref="H4:H68" si="0">G4/$G$3</f>
        <v>0.11353030273700254</v>
      </c>
      <c r="I4" s="204">
        <f t="shared" ref="I4:I68" si="1">(G4/F4)-1</f>
        <v>-4.7417898450870299E-2</v>
      </c>
      <c r="J4" s="204">
        <f t="shared" ref="J4:J68" si="2">((G4/C4)^(1/4))-1</f>
        <v>-5.5333954423709697E-2</v>
      </c>
      <c r="L4" t="s">
        <v>249</v>
      </c>
      <c r="M4">
        <v>8379706</v>
      </c>
      <c r="N4">
        <v>9295653</v>
      </c>
      <c r="O4">
        <v>9207606</v>
      </c>
      <c r="P4">
        <v>8910892.3200000059</v>
      </c>
      <c r="Q4">
        <v>7968733.8300000001</v>
      </c>
    </row>
    <row r="5" spans="1:17">
      <c r="A5" s="97">
        <v>2</v>
      </c>
      <c r="B5" s="177" t="s">
        <v>249</v>
      </c>
      <c r="C5" s="177">
        <v>8379706</v>
      </c>
      <c r="D5" s="177">
        <v>9295653</v>
      </c>
      <c r="E5" s="177">
        <v>9207606</v>
      </c>
      <c r="F5" s="177">
        <v>8910892.3200000059</v>
      </c>
      <c r="G5" s="202">
        <v>7968733.8300000001</v>
      </c>
      <c r="H5" s="207">
        <f t="shared" si="0"/>
        <v>7.3873823816900649E-2</v>
      </c>
      <c r="I5" s="207">
        <f t="shared" si="1"/>
        <v>-0.10573110482834391</v>
      </c>
      <c r="J5" s="207">
        <f t="shared" si="2"/>
        <v>-1.2493109284580028E-2</v>
      </c>
      <c r="L5" t="s">
        <v>251</v>
      </c>
      <c r="M5">
        <v>8115097</v>
      </c>
      <c r="N5">
        <v>8424043</v>
      </c>
      <c r="O5">
        <v>8933820</v>
      </c>
      <c r="P5">
        <v>6446444.4899999993</v>
      </c>
      <c r="Q5">
        <v>3984831.5300000003</v>
      </c>
    </row>
    <row r="6" spans="1:17">
      <c r="A6" s="97">
        <v>3</v>
      </c>
      <c r="B6" s="177" t="s">
        <v>251</v>
      </c>
      <c r="C6" s="177">
        <v>8115097</v>
      </c>
      <c r="D6" s="177">
        <v>8424043</v>
      </c>
      <c r="E6" s="177">
        <v>8933820</v>
      </c>
      <c r="F6" s="177">
        <v>6446444.4899999993</v>
      </c>
      <c r="G6" s="202">
        <v>3984831.5300000003</v>
      </c>
      <c r="H6" s="204">
        <f t="shared" si="0"/>
        <v>3.6941219102966411E-2</v>
      </c>
      <c r="I6" s="204">
        <f t="shared" si="1"/>
        <v>-0.38185591512011907</v>
      </c>
      <c r="J6" s="204">
        <f t="shared" si="2"/>
        <v>-0.16289668371512545</v>
      </c>
      <c r="L6" t="s">
        <v>252</v>
      </c>
      <c r="M6">
        <v>7363116</v>
      </c>
      <c r="N6">
        <v>5739153</v>
      </c>
      <c r="O6">
        <v>6727246</v>
      </c>
      <c r="P6">
        <v>5905731.8500000006</v>
      </c>
      <c r="Q6">
        <v>4258944.7899999991</v>
      </c>
    </row>
    <row r="7" spans="1:17">
      <c r="A7" s="97">
        <v>4</v>
      </c>
      <c r="B7" s="177" t="s">
        <v>252</v>
      </c>
      <c r="C7" s="177">
        <v>7363116</v>
      </c>
      <c r="D7" s="177">
        <v>5739153</v>
      </c>
      <c r="E7" s="177">
        <v>6727246</v>
      </c>
      <c r="F7" s="177">
        <v>5905731.8500000006</v>
      </c>
      <c r="G7" s="202">
        <v>4258944.7899999991</v>
      </c>
      <c r="H7" s="207">
        <f t="shared" si="0"/>
        <v>3.9482374963748394E-2</v>
      </c>
      <c r="I7" s="207">
        <f t="shared" si="1"/>
        <v>-0.27884555239330777</v>
      </c>
      <c r="J7" s="207">
        <f t="shared" si="2"/>
        <v>-0.12791243910820682</v>
      </c>
      <c r="L7" t="s">
        <v>250</v>
      </c>
      <c r="M7">
        <v>8356930</v>
      </c>
      <c r="N7">
        <v>14494870</v>
      </c>
      <c r="O7">
        <v>6244149</v>
      </c>
      <c r="P7">
        <v>0</v>
      </c>
      <c r="Q7">
        <v>0</v>
      </c>
    </row>
    <row r="8" spans="1:17">
      <c r="A8" s="97">
        <v>5</v>
      </c>
      <c r="B8" s="177" t="s">
        <v>250</v>
      </c>
      <c r="C8" s="177">
        <v>8356930</v>
      </c>
      <c r="D8" s="177">
        <v>14494870</v>
      </c>
      <c r="E8" s="177">
        <v>6244149</v>
      </c>
      <c r="F8" s="177">
        <v>0</v>
      </c>
      <c r="G8" s="202">
        <v>0</v>
      </c>
      <c r="H8" s="204">
        <f t="shared" si="0"/>
        <v>0</v>
      </c>
      <c r="I8" s="204">
        <v>0</v>
      </c>
      <c r="J8" s="204">
        <f t="shared" si="2"/>
        <v>-1</v>
      </c>
      <c r="L8" t="s">
        <v>253</v>
      </c>
      <c r="M8">
        <v>6465747</v>
      </c>
      <c r="N8">
        <v>6635136</v>
      </c>
      <c r="O8">
        <v>4779792</v>
      </c>
      <c r="P8">
        <v>4006393.7900000014</v>
      </c>
      <c r="Q8">
        <v>3954101.3699999996</v>
      </c>
    </row>
    <row r="9" spans="1:17">
      <c r="A9" s="97">
        <v>6</v>
      </c>
      <c r="B9" s="177" t="s">
        <v>253</v>
      </c>
      <c r="C9" s="177">
        <v>6465747</v>
      </c>
      <c r="D9" s="177">
        <v>6635136</v>
      </c>
      <c r="E9" s="177">
        <v>4779792</v>
      </c>
      <c r="F9" s="177">
        <v>4006393.7900000014</v>
      </c>
      <c r="G9" s="202">
        <v>3954101.3699999996</v>
      </c>
      <c r="H9" s="207">
        <f t="shared" si="0"/>
        <v>3.6656336400879064E-2</v>
      </c>
      <c r="I9" s="207">
        <f t="shared" si="1"/>
        <v>-1.3052241676922538E-2</v>
      </c>
      <c r="J9" s="207">
        <f t="shared" si="2"/>
        <v>-0.11568442721646166</v>
      </c>
      <c r="L9" t="s">
        <v>630</v>
      </c>
      <c r="M9">
        <v>4507721</v>
      </c>
      <c r="N9">
        <v>5715961</v>
      </c>
      <c r="O9">
        <v>5773545</v>
      </c>
      <c r="P9">
        <v>5823399.4199999999</v>
      </c>
      <c r="Q9">
        <v>3428857.67</v>
      </c>
    </row>
    <row r="10" spans="1:17">
      <c r="A10" s="97">
        <v>7</v>
      </c>
      <c r="B10" s="177" t="s">
        <v>630</v>
      </c>
      <c r="C10" s="177">
        <v>4507721</v>
      </c>
      <c r="D10" s="177">
        <v>5715961</v>
      </c>
      <c r="E10" s="177">
        <v>5773545</v>
      </c>
      <c r="F10" s="177">
        <v>5823399.4199999999</v>
      </c>
      <c r="G10" s="202">
        <v>3428857.67</v>
      </c>
      <c r="H10" s="204">
        <f t="shared" si="0"/>
        <v>3.178708598010839E-2</v>
      </c>
      <c r="I10" s="204">
        <f t="shared" si="1"/>
        <v>-0.41119311544664749</v>
      </c>
      <c r="J10" s="204">
        <f t="shared" si="2"/>
        <v>-6.6104876797170142E-2</v>
      </c>
      <c r="L10" t="s">
        <v>254</v>
      </c>
      <c r="M10">
        <v>4285603</v>
      </c>
      <c r="N10">
        <v>4001360</v>
      </c>
      <c r="O10">
        <v>5686179</v>
      </c>
      <c r="P10">
        <v>4422672.0299999993</v>
      </c>
      <c r="Q10">
        <v>3225574.0600000015</v>
      </c>
    </row>
    <row r="11" spans="1:17">
      <c r="A11" s="97">
        <v>8</v>
      </c>
      <c r="B11" s="177" t="s">
        <v>254</v>
      </c>
      <c r="C11" s="177">
        <v>4285603</v>
      </c>
      <c r="D11" s="177">
        <v>4001360</v>
      </c>
      <c r="E11" s="177">
        <v>5686179</v>
      </c>
      <c r="F11" s="177">
        <v>4422672.0299999993</v>
      </c>
      <c r="G11" s="202">
        <v>3225574.0600000015</v>
      </c>
      <c r="H11" s="207">
        <f t="shared" si="0"/>
        <v>2.9902553517313933E-2</v>
      </c>
      <c r="I11" s="207">
        <f t="shared" si="1"/>
        <v>-0.27067301438583002</v>
      </c>
      <c r="J11" s="207">
        <f t="shared" si="2"/>
        <v>-6.8573113437611743E-2</v>
      </c>
      <c r="L11" t="s">
        <v>629</v>
      </c>
      <c r="M11">
        <v>4000025</v>
      </c>
      <c r="N11">
        <v>5414936</v>
      </c>
      <c r="O11">
        <v>3807874</v>
      </c>
      <c r="P11">
        <v>3646430.3200000003</v>
      </c>
      <c r="Q11">
        <v>2896193.2800000012</v>
      </c>
    </row>
    <row r="12" spans="1:17">
      <c r="A12" s="97">
        <v>9</v>
      </c>
      <c r="B12" s="177" t="s">
        <v>629</v>
      </c>
      <c r="C12" s="177">
        <v>4000025</v>
      </c>
      <c r="D12" s="177">
        <v>5414936</v>
      </c>
      <c r="E12" s="177">
        <v>3807874</v>
      </c>
      <c r="F12" s="177">
        <v>3646430.3200000003</v>
      </c>
      <c r="G12" s="202">
        <v>2896193.2800000012</v>
      </c>
      <c r="H12" s="204">
        <f t="shared" si="0"/>
        <v>2.6849042353622156E-2</v>
      </c>
      <c r="I12" s="204">
        <f t="shared" si="1"/>
        <v>-0.20574561260229951</v>
      </c>
      <c r="J12" s="204">
        <f t="shared" si="2"/>
        <v>-7.7553454144221545E-2</v>
      </c>
      <c r="L12" t="s">
        <v>256</v>
      </c>
      <c r="M12">
        <v>3470180</v>
      </c>
      <c r="N12">
        <v>4767013</v>
      </c>
      <c r="O12">
        <v>4416838</v>
      </c>
      <c r="P12">
        <v>3974225.4399999995</v>
      </c>
      <c r="Q12">
        <v>2791169.73</v>
      </c>
    </row>
    <row r="13" spans="1:17">
      <c r="A13" s="97">
        <v>10</v>
      </c>
      <c r="B13" s="177" t="s">
        <v>256</v>
      </c>
      <c r="C13" s="177">
        <v>3470180</v>
      </c>
      <c r="D13" s="177">
        <v>4767013</v>
      </c>
      <c r="E13" s="177">
        <v>4416838</v>
      </c>
      <c r="F13" s="177">
        <v>3974225.4399999995</v>
      </c>
      <c r="G13" s="202">
        <v>2791169.73</v>
      </c>
      <c r="H13" s="207">
        <f t="shared" si="0"/>
        <v>2.5875425792341485E-2</v>
      </c>
      <c r="I13" s="207">
        <f t="shared" si="1"/>
        <v>-0.29768208368169458</v>
      </c>
      <c r="J13" s="207">
        <f t="shared" si="2"/>
        <v>-5.2981286288807938E-2</v>
      </c>
      <c r="L13" t="s">
        <v>259</v>
      </c>
      <c r="M13">
        <v>2995335</v>
      </c>
      <c r="N13">
        <v>4485280</v>
      </c>
      <c r="O13">
        <v>3998840</v>
      </c>
      <c r="P13">
        <v>3101266.6900000009</v>
      </c>
      <c r="Q13">
        <v>3106207.3200000003</v>
      </c>
    </row>
    <row r="14" spans="1:17">
      <c r="A14" s="97">
        <v>11</v>
      </c>
      <c r="B14" s="177" t="s">
        <v>259</v>
      </c>
      <c r="C14" s="177">
        <v>2995335</v>
      </c>
      <c r="D14" s="177">
        <v>4485280</v>
      </c>
      <c r="E14" s="177">
        <v>3998840</v>
      </c>
      <c r="F14" s="177">
        <v>3101266.6900000009</v>
      </c>
      <c r="G14" s="202">
        <v>3106207.3200000003</v>
      </c>
      <c r="H14" s="204">
        <f t="shared" si="0"/>
        <v>2.8795968994794141E-2</v>
      </c>
      <c r="I14" s="205">
        <f t="shared" si="1"/>
        <v>1.593100656557711E-3</v>
      </c>
      <c r="J14" s="204">
        <f t="shared" si="2"/>
        <v>9.1280065398344767E-3</v>
      </c>
      <c r="L14" t="s">
        <v>631</v>
      </c>
      <c r="M14">
        <v>6081467</v>
      </c>
      <c r="N14">
        <v>1708165</v>
      </c>
      <c r="O14">
        <v>3942419</v>
      </c>
      <c r="P14">
        <v>3565754.9299999997</v>
      </c>
      <c r="Q14">
        <v>1025004.3899999999</v>
      </c>
    </row>
    <row r="15" spans="1:17">
      <c r="A15" s="97">
        <v>12</v>
      </c>
      <c r="B15" s="177" t="s">
        <v>631</v>
      </c>
      <c r="C15" s="177">
        <v>6081467</v>
      </c>
      <c r="D15" s="177">
        <v>1708165</v>
      </c>
      <c r="E15" s="177">
        <v>3942419</v>
      </c>
      <c r="F15" s="177">
        <v>3565754.9299999997</v>
      </c>
      <c r="G15" s="202">
        <v>1025004.3899999999</v>
      </c>
      <c r="H15" s="207">
        <f t="shared" si="0"/>
        <v>9.5022616307426245E-3</v>
      </c>
      <c r="I15" s="207">
        <f t="shared" si="1"/>
        <v>-0.712542109561074</v>
      </c>
      <c r="J15" s="207">
        <f t="shared" si="2"/>
        <v>-0.35926367975576701</v>
      </c>
      <c r="L15" t="s">
        <v>260</v>
      </c>
      <c r="M15">
        <v>2869705</v>
      </c>
      <c r="N15">
        <v>4218106</v>
      </c>
      <c r="O15">
        <v>3510506</v>
      </c>
      <c r="P15">
        <v>2930129.6099999994</v>
      </c>
      <c r="Q15">
        <v>2359066.1199999992</v>
      </c>
    </row>
    <row r="16" spans="1:17">
      <c r="A16" s="97">
        <v>13</v>
      </c>
      <c r="B16" s="177" t="s">
        <v>260</v>
      </c>
      <c r="C16" s="177">
        <v>2869705</v>
      </c>
      <c r="D16" s="177">
        <v>4218106</v>
      </c>
      <c r="E16" s="177">
        <v>3510506</v>
      </c>
      <c r="F16" s="177">
        <v>2930129.6099999994</v>
      </c>
      <c r="G16" s="202">
        <v>2359066.1199999992</v>
      </c>
      <c r="H16" s="206">
        <f t="shared" si="0"/>
        <v>2.186962679882851E-2</v>
      </c>
      <c r="I16" s="205">
        <f t="shared" si="1"/>
        <v>-0.19489359380249405</v>
      </c>
      <c r="J16" s="204">
        <f t="shared" si="2"/>
        <v>-4.7805398788895115E-2</v>
      </c>
      <c r="L16" t="s">
        <v>261</v>
      </c>
      <c r="M16">
        <v>2362222</v>
      </c>
      <c r="N16">
        <v>1</v>
      </c>
      <c r="O16">
        <v>5014773</v>
      </c>
      <c r="P16">
        <v>8214534.9700000007</v>
      </c>
      <c r="Q16">
        <v>1</v>
      </c>
    </row>
    <row r="17" spans="1:17">
      <c r="A17" s="97">
        <v>14</v>
      </c>
      <c r="B17" s="177" t="s">
        <v>261</v>
      </c>
      <c r="C17" s="177">
        <v>2362222</v>
      </c>
      <c r="D17" s="177">
        <v>1</v>
      </c>
      <c r="E17" s="177">
        <v>5014773</v>
      </c>
      <c r="F17" s="177">
        <v>8214534.9700000007</v>
      </c>
      <c r="G17" s="202">
        <v>1</v>
      </c>
      <c r="H17" s="207">
        <f t="shared" si="0"/>
        <v>9.2704594472445386E-9</v>
      </c>
      <c r="I17" s="208">
        <f>(G17/F17)-1</f>
        <v>-0.99999987826456349</v>
      </c>
      <c r="J17" s="207">
        <f t="shared" si="2"/>
        <v>-0.97449238680900097</v>
      </c>
      <c r="L17" t="s">
        <v>255</v>
      </c>
      <c r="M17">
        <v>3514542</v>
      </c>
      <c r="N17">
        <v>3146841</v>
      </c>
      <c r="O17">
        <v>4219997</v>
      </c>
      <c r="P17">
        <v>2264205.04</v>
      </c>
      <c r="Q17">
        <v>1449629.2600000002</v>
      </c>
    </row>
    <row r="18" spans="1:17">
      <c r="A18" s="97">
        <v>15</v>
      </c>
      <c r="B18" s="177" t="s">
        <v>255</v>
      </c>
      <c r="C18" s="177">
        <v>3514542</v>
      </c>
      <c r="D18" s="177">
        <v>3146841</v>
      </c>
      <c r="E18" s="177">
        <v>4219997</v>
      </c>
      <c r="F18" s="177">
        <v>2264205.04</v>
      </c>
      <c r="G18" s="202">
        <v>1449629.2600000002</v>
      </c>
      <c r="H18" s="206">
        <f t="shared" si="0"/>
        <v>1.343872926836911E-2</v>
      </c>
      <c r="I18" s="205">
        <f t="shared" si="1"/>
        <v>-0.35976237381752307</v>
      </c>
      <c r="J18" s="204">
        <f t="shared" si="2"/>
        <v>-0.19860421814806495</v>
      </c>
      <c r="L18" t="s">
        <v>257</v>
      </c>
      <c r="M18">
        <v>3134034</v>
      </c>
      <c r="N18">
        <v>3071641</v>
      </c>
      <c r="O18">
        <v>2423170</v>
      </c>
      <c r="P18">
        <v>2484198.7399999998</v>
      </c>
      <c r="Q18">
        <v>2127981.54</v>
      </c>
    </row>
    <row r="19" spans="1:17">
      <c r="A19" s="97">
        <v>16</v>
      </c>
      <c r="B19" s="177" t="s">
        <v>257</v>
      </c>
      <c r="C19" s="177">
        <v>3134034</v>
      </c>
      <c r="D19" s="177">
        <v>3071641</v>
      </c>
      <c r="E19" s="177">
        <v>2423170</v>
      </c>
      <c r="F19" s="177">
        <v>2484198.7399999998</v>
      </c>
      <c r="G19" s="202">
        <v>2127981.54</v>
      </c>
      <c r="H19" s="209">
        <f t="shared" si="0"/>
        <v>1.9727366571054981E-2</v>
      </c>
      <c r="I19" s="208">
        <f t="shared" si="1"/>
        <v>-0.14339319727696176</v>
      </c>
      <c r="J19" s="207">
        <f t="shared" si="2"/>
        <v>-9.2250458697318849E-2</v>
      </c>
      <c r="L19" t="s">
        <v>258</v>
      </c>
      <c r="M19">
        <v>2995577</v>
      </c>
      <c r="N19">
        <v>3636578</v>
      </c>
      <c r="O19">
        <v>2615784</v>
      </c>
      <c r="P19">
        <v>2082571.46</v>
      </c>
      <c r="Q19">
        <v>1542254.7199999997</v>
      </c>
    </row>
    <row r="20" spans="1:17">
      <c r="A20" s="97">
        <v>17</v>
      </c>
      <c r="B20" s="177" t="s">
        <v>258</v>
      </c>
      <c r="C20" s="177">
        <v>2995577</v>
      </c>
      <c r="D20" s="177">
        <v>3636578</v>
      </c>
      <c r="E20" s="177">
        <v>2615784</v>
      </c>
      <c r="F20" s="177">
        <v>2082571.46</v>
      </c>
      <c r="G20" s="202">
        <v>1542254.7199999997</v>
      </c>
      <c r="H20" s="206">
        <f t="shared" si="0"/>
        <v>1.4297409839081477E-2</v>
      </c>
      <c r="I20" s="205">
        <f t="shared" si="1"/>
        <v>-0.25944691472915904</v>
      </c>
      <c r="J20" s="204">
        <f t="shared" si="2"/>
        <v>-0.15293077197731331</v>
      </c>
      <c r="L20" t="s">
        <v>550</v>
      </c>
      <c r="M20">
        <v>1</v>
      </c>
      <c r="N20">
        <v>1</v>
      </c>
      <c r="O20">
        <v>1</v>
      </c>
      <c r="P20">
        <v>3516219.2</v>
      </c>
      <c r="Q20">
        <v>9294082.1000000015</v>
      </c>
    </row>
    <row r="21" spans="1:17">
      <c r="A21" s="97">
        <v>18</v>
      </c>
      <c r="B21" s="177" t="s">
        <v>550</v>
      </c>
      <c r="C21" s="177">
        <v>1</v>
      </c>
      <c r="D21" s="177">
        <v>1</v>
      </c>
      <c r="E21" s="177">
        <v>1</v>
      </c>
      <c r="F21" s="177">
        <v>3516219.2</v>
      </c>
      <c r="G21" s="202">
        <v>9294082.1000000015</v>
      </c>
      <c r="H21" s="209">
        <f t="shared" si="0"/>
        <v>8.6160411207411372E-2</v>
      </c>
      <c r="I21" s="208">
        <f t="shared" si="1"/>
        <v>1.6432032735615576</v>
      </c>
      <c r="J21" s="207">
        <f>((G21/C21)^(1/4))-1</f>
        <v>54.214307059518624</v>
      </c>
      <c r="L21" t="s">
        <v>271</v>
      </c>
      <c r="M21">
        <v>991836</v>
      </c>
      <c r="N21">
        <v>363394</v>
      </c>
      <c r="O21">
        <v>3583196</v>
      </c>
      <c r="P21">
        <v>2728013.43</v>
      </c>
      <c r="Q21">
        <v>4554320.5999999996</v>
      </c>
    </row>
    <row r="22" spans="1:17">
      <c r="A22" s="97">
        <v>19</v>
      </c>
      <c r="B22" s="177" t="s">
        <v>271</v>
      </c>
      <c r="C22" s="177">
        <v>991836</v>
      </c>
      <c r="D22" s="177">
        <v>363394</v>
      </c>
      <c r="E22" s="177">
        <v>3583196</v>
      </c>
      <c r="F22" s="177">
        <v>2728013.43</v>
      </c>
      <c r="G22" s="202">
        <v>4554320.5999999996</v>
      </c>
      <c r="H22" s="206">
        <f t="shared" si="0"/>
        <v>4.2220644432050411E-2</v>
      </c>
      <c r="I22" s="205">
        <f t="shared" si="1"/>
        <v>0.66946414189757109</v>
      </c>
      <c r="J22" s="204">
        <f t="shared" si="2"/>
        <v>0.4638478289889838</v>
      </c>
      <c r="L22" t="s">
        <v>266</v>
      </c>
      <c r="M22">
        <v>1307566</v>
      </c>
      <c r="N22">
        <v>2577659</v>
      </c>
      <c r="O22">
        <v>2671168</v>
      </c>
      <c r="P22">
        <v>2376363.3200000003</v>
      </c>
      <c r="Q22">
        <v>2929306.9000000004</v>
      </c>
    </row>
    <row r="23" spans="1:17">
      <c r="A23" s="97">
        <v>20</v>
      </c>
      <c r="B23" s="177" t="s">
        <v>266</v>
      </c>
      <c r="C23" s="177">
        <v>1307566</v>
      </c>
      <c r="D23" s="177">
        <v>2577659</v>
      </c>
      <c r="E23" s="177">
        <v>2671168</v>
      </c>
      <c r="F23" s="177">
        <v>2376363.3200000003</v>
      </c>
      <c r="G23" s="202">
        <v>2929306.9000000004</v>
      </c>
      <c r="H23" s="209">
        <f t="shared" si="0"/>
        <v>2.7156020824983616E-2</v>
      </c>
      <c r="I23" s="208">
        <f t="shared" si="1"/>
        <v>0.23268478155099626</v>
      </c>
      <c r="J23" s="207">
        <f t="shared" si="2"/>
        <v>0.22341926171147497</v>
      </c>
      <c r="L23" t="s">
        <v>203</v>
      </c>
      <c r="M23">
        <v>28742256</v>
      </c>
      <c r="N23">
        <v>28071811</v>
      </c>
      <c r="O23">
        <v>22457063</v>
      </c>
      <c r="P23">
        <v>16743745.480000006</v>
      </c>
      <c r="Q23">
        <v>17363399.750000004</v>
      </c>
    </row>
    <row r="24" spans="1:17">
      <c r="A24" s="97"/>
      <c r="B24" s="177" t="s">
        <v>203</v>
      </c>
      <c r="C24" s="177">
        <f>SUM(C25:C360)</f>
        <v>28742256</v>
      </c>
      <c r="D24" s="177">
        <f t="shared" ref="D24:G24" si="3">SUM(D25:D360)</f>
        <v>28071811</v>
      </c>
      <c r="E24" s="177">
        <f t="shared" si="3"/>
        <v>22457063</v>
      </c>
      <c r="F24" s="177">
        <f t="shared" si="3"/>
        <v>16743745.480000006</v>
      </c>
      <c r="G24" s="202">
        <f t="shared" si="3"/>
        <v>17363399.750000004</v>
      </c>
      <c r="H24" s="206">
        <f t="shared" si="0"/>
        <v>0.16096669324867097</v>
      </c>
      <c r="I24" s="205">
        <f t="shared" si="1"/>
        <v>3.7008103756722699E-2</v>
      </c>
      <c r="J24" s="204">
        <f t="shared" si="2"/>
        <v>-0.11838600094319784</v>
      </c>
    </row>
    <row r="25" spans="1:17">
      <c r="B25" t="s">
        <v>262</v>
      </c>
      <c r="C25">
        <v>1769513</v>
      </c>
      <c r="D25">
        <v>2363455</v>
      </c>
      <c r="E25">
        <v>2542249</v>
      </c>
      <c r="F25">
        <v>1279384.72</v>
      </c>
      <c r="G25">
        <v>242125.59</v>
      </c>
      <c r="H25" s="173">
        <f t="shared" si="0"/>
        <v>2.2446154632351574E-3</v>
      </c>
      <c r="I25" s="44">
        <f t="shared" si="1"/>
        <v>-0.81074841193976432</v>
      </c>
      <c r="J25" s="44">
        <f t="shared" si="2"/>
        <v>-0.39179955495390961</v>
      </c>
    </row>
    <row r="26" spans="1:17">
      <c r="B26" t="s">
        <v>265</v>
      </c>
      <c r="C26">
        <v>1430171</v>
      </c>
      <c r="D26">
        <v>2199253</v>
      </c>
      <c r="E26">
        <v>1248601</v>
      </c>
      <c r="F26">
        <v>1524436.0899999999</v>
      </c>
      <c r="G26">
        <v>482475.18</v>
      </c>
      <c r="H26" s="33">
        <f t="shared" si="0"/>
        <v>4.472766590492009E-3</v>
      </c>
      <c r="I26" s="35">
        <f t="shared" si="1"/>
        <v>-0.68350580049570986</v>
      </c>
      <c r="J26" s="35">
        <f t="shared" si="2"/>
        <v>-0.23788281907017339</v>
      </c>
    </row>
    <row r="27" spans="1:17">
      <c r="B27" t="s">
        <v>269</v>
      </c>
      <c r="C27">
        <v>1063666</v>
      </c>
      <c r="D27">
        <v>3024720</v>
      </c>
      <c r="E27">
        <v>2042590</v>
      </c>
      <c r="F27">
        <v>338994</v>
      </c>
      <c r="H27" s="33">
        <f t="shared" si="0"/>
        <v>0</v>
      </c>
      <c r="I27" s="35">
        <f t="shared" si="1"/>
        <v>-1</v>
      </c>
      <c r="J27" s="35">
        <f t="shared" si="2"/>
        <v>-1</v>
      </c>
    </row>
    <row r="28" spans="1:17">
      <c r="B28" t="s">
        <v>264</v>
      </c>
      <c r="C28">
        <v>1581189</v>
      </c>
      <c r="D28">
        <v>2556944</v>
      </c>
      <c r="E28">
        <v>1204208</v>
      </c>
      <c r="F28">
        <v>945127</v>
      </c>
      <c r="H28" s="33">
        <f t="shared" si="0"/>
        <v>0</v>
      </c>
      <c r="I28" s="35">
        <f t="shared" si="1"/>
        <v>-1</v>
      </c>
      <c r="J28" s="35">
        <f t="shared" si="2"/>
        <v>-1</v>
      </c>
    </row>
    <row r="29" spans="1:17">
      <c r="B29" t="s">
        <v>272</v>
      </c>
      <c r="C29">
        <v>965984</v>
      </c>
      <c r="D29">
        <v>1857364</v>
      </c>
      <c r="E29">
        <v>1059599</v>
      </c>
      <c r="F29">
        <v>571970.76</v>
      </c>
      <c r="G29">
        <v>594978.57000000007</v>
      </c>
      <c r="H29" s="33">
        <f t="shared" si="0"/>
        <v>5.5157247051645462E-3</v>
      </c>
      <c r="I29" s="35">
        <f t="shared" si="1"/>
        <v>4.0225500338513909E-2</v>
      </c>
      <c r="J29" s="35">
        <f t="shared" si="2"/>
        <v>-0.11410378202780624</v>
      </c>
    </row>
    <row r="30" spans="1:17">
      <c r="B30" t="s">
        <v>267</v>
      </c>
      <c r="C30">
        <v>1175249</v>
      </c>
      <c r="D30">
        <v>1321718</v>
      </c>
      <c r="E30">
        <v>1028027</v>
      </c>
      <c r="F30">
        <v>818154.13</v>
      </c>
      <c r="H30" s="33">
        <f t="shared" si="0"/>
        <v>0</v>
      </c>
      <c r="I30" s="35">
        <f t="shared" si="1"/>
        <v>-1</v>
      </c>
      <c r="J30" s="35">
        <f t="shared" si="2"/>
        <v>-1</v>
      </c>
    </row>
    <row r="31" spans="1:17">
      <c r="B31" t="s">
        <v>263</v>
      </c>
      <c r="C31">
        <v>1647317</v>
      </c>
      <c r="D31">
        <v>968504</v>
      </c>
      <c r="E31">
        <v>1212361</v>
      </c>
      <c r="F31">
        <v>44000</v>
      </c>
      <c r="H31" s="33">
        <f t="shared" si="0"/>
        <v>0</v>
      </c>
      <c r="I31" s="35">
        <f t="shared" si="1"/>
        <v>-1</v>
      </c>
      <c r="J31" s="35">
        <f t="shared" si="2"/>
        <v>-1</v>
      </c>
    </row>
    <row r="32" spans="1:17">
      <c r="B32" t="s">
        <v>307</v>
      </c>
      <c r="C32">
        <v>166952</v>
      </c>
      <c r="D32">
        <v>644099</v>
      </c>
      <c r="E32">
        <v>1460527</v>
      </c>
      <c r="F32">
        <v>1086170.6900000002</v>
      </c>
      <c r="G32">
        <v>143032.57999999999</v>
      </c>
      <c r="H32" s="33">
        <f t="shared" si="0"/>
        <v>1.3259777325247599E-3</v>
      </c>
      <c r="I32" s="35">
        <f t="shared" si="1"/>
        <v>-0.86831482259938353</v>
      </c>
      <c r="J32" s="35">
        <f t="shared" si="2"/>
        <v>-3.7920775126157436E-2</v>
      </c>
    </row>
    <row r="33" spans="2:10">
      <c r="B33" t="s">
        <v>275</v>
      </c>
      <c r="C33">
        <v>613155</v>
      </c>
      <c r="D33">
        <v>814969</v>
      </c>
      <c r="E33">
        <v>838455</v>
      </c>
      <c r="F33">
        <v>700460.70000000007</v>
      </c>
      <c r="G33">
        <v>369187.7</v>
      </c>
      <c r="H33" s="33">
        <f t="shared" si="0"/>
        <v>3.4225396012714823E-3</v>
      </c>
      <c r="I33" s="35">
        <f t="shared" si="1"/>
        <v>-0.47293588348354165</v>
      </c>
      <c r="J33" s="35">
        <f t="shared" si="2"/>
        <v>-0.11911495414669249</v>
      </c>
    </row>
    <row r="34" spans="2:10">
      <c r="B34" t="s">
        <v>303</v>
      </c>
      <c r="C34">
        <v>210809</v>
      </c>
      <c r="D34">
        <v>540454</v>
      </c>
      <c r="E34">
        <v>765049</v>
      </c>
      <c r="F34">
        <v>528861.31000000006</v>
      </c>
      <c r="G34">
        <v>537774.6</v>
      </c>
      <c r="H34" s="33">
        <f t="shared" si="0"/>
        <v>4.9854176210581526E-3</v>
      </c>
      <c r="I34" s="35">
        <f t="shared" si="1"/>
        <v>1.6853738081161529E-2</v>
      </c>
      <c r="J34" s="35">
        <f t="shared" si="2"/>
        <v>0.26379835124261675</v>
      </c>
    </row>
    <row r="35" spans="2:10">
      <c r="B35" t="s">
        <v>284</v>
      </c>
      <c r="C35">
        <v>445150</v>
      </c>
      <c r="D35">
        <v>446452</v>
      </c>
      <c r="E35">
        <v>363679</v>
      </c>
      <c r="F35">
        <v>484222.00000000012</v>
      </c>
      <c r="G35">
        <v>737125.98</v>
      </c>
      <c r="H35" s="33">
        <f t="shared" si="0"/>
        <v>6.8334965051003883E-3</v>
      </c>
      <c r="I35" s="35">
        <f t="shared" si="1"/>
        <v>0.522289321839982</v>
      </c>
      <c r="J35" s="35">
        <f t="shared" si="2"/>
        <v>0.13438071610318758</v>
      </c>
    </row>
    <row r="36" spans="2:10">
      <c r="B36" t="s">
        <v>270</v>
      </c>
      <c r="C36">
        <v>1015163</v>
      </c>
      <c r="D36">
        <v>704900</v>
      </c>
      <c r="E36">
        <v>554440</v>
      </c>
      <c r="F36">
        <v>124620</v>
      </c>
      <c r="G36">
        <v>72280</v>
      </c>
      <c r="H36" s="33">
        <f t="shared" si="0"/>
        <v>6.7006880884683522E-4</v>
      </c>
      <c r="I36" s="35">
        <f t="shared" si="1"/>
        <v>-0.41999679024233671</v>
      </c>
      <c r="J36" s="35">
        <f t="shared" si="2"/>
        <v>-0.48344021712765795</v>
      </c>
    </row>
    <row r="37" spans="2:10">
      <c r="B37" t="s">
        <v>291</v>
      </c>
      <c r="C37">
        <v>300685</v>
      </c>
      <c r="D37">
        <v>705975</v>
      </c>
      <c r="E37">
        <v>991573</v>
      </c>
      <c r="F37">
        <v>290361.10000000003</v>
      </c>
      <c r="G37">
        <v>91246.010000000009</v>
      </c>
      <c r="H37" s="33">
        <f t="shared" si="0"/>
        <v>8.4589243542786965E-4</v>
      </c>
      <c r="I37" s="35">
        <f t="shared" si="1"/>
        <v>-0.68574988178512886</v>
      </c>
      <c r="J37" s="35">
        <f t="shared" si="2"/>
        <v>-0.25779217313382763</v>
      </c>
    </row>
    <row r="38" spans="2:10">
      <c r="B38" t="s">
        <v>578</v>
      </c>
      <c r="E38">
        <v>103516</v>
      </c>
      <c r="F38">
        <v>661095.03</v>
      </c>
      <c r="G38">
        <v>1598634.54</v>
      </c>
      <c r="H38" s="33">
        <f t="shared" si="0"/>
        <v>1.4820076674034427E-2</v>
      </c>
      <c r="I38" s="35">
        <f t="shared" si="1"/>
        <v>1.4181614858003093</v>
      </c>
      <c r="J38" s="35" t="e">
        <f t="shared" si="2"/>
        <v>#DIV/0!</v>
      </c>
    </row>
    <row r="39" spans="2:10">
      <c r="B39" t="s">
        <v>268</v>
      </c>
      <c r="C39">
        <v>1102584</v>
      </c>
      <c r="D39">
        <v>839583</v>
      </c>
      <c r="E39">
        <v>65000</v>
      </c>
      <c r="H39" s="33">
        <f t="shared" si="0"/>
        <v>0</v>
      </c>
      <c r="I39" s="35" t="e">
        <f t="shared" si="1"/>
        <v>#DIV/0!</v>
      </c>
      <c r="J39" s="35">
        <f t="shared" si="2"/>
        <v>-1</v>
      </c>
    </row>
    <row r="40" spans="2:10">
      <c r="B40" t="s">
        <v>295</v>
      </c>
      <c r="C40">
        <v>267081</v>
      </c>
      <c r="D40">
        <v>271293</v>
      </c>
      <c r="E40">
        <v>778400</v>
      </c>
      <c r="F40">
        <v>250080</v>
      </c>
      <c r="G40">
        <v>352070</v>
      </c>
      <c r="H40" s="33">
        <f t="shared" si="0"/>
        <v>3.2638506575913846E-3</v>
      </c>
      <c r="I40" s="35">
        <f t="shared" si="1"/>
        <v>0.40782949456174022</v>
      </c>
      <c r="J40" s="35">
        <f t="shared" si="2"/>
        <v>7.1510686272416413E-2</v>
      </c>
    </row>
    <row r="41" spans="2:10">
      <c r="B41" t="s">
        <v>567</v>
      </c>
      <c r="E41">
        <v>147639</v>
      </c>
      <c r="F41">
        <v>907253.83000000007</v>
      </c>
      <c r="G41">
        <v>752010.17999999993</v>
      </c>
      <c r="H41" s="33">
        <f t="shared" si="0"/>
        <v>6.9714798776050651E-3</v>
      </c>
      <c r="I41" s="35">
        <f t="shared" si="1"/>
        <v>-0.17111379954163453</v>
      </c>
      <c r="J41" s="35" t="e">
        <f t="shared" si="2"/>
        <v>#DIV/0!</v>
      </c>
    </row>
    <row r="42" spans="2:10">
      <c r="B42" t="s">
        <v>557</v>
      </c>
      <c r="G42">
        <v>1556352.3</v>
      </c>
      <c r="H42" s="33">
        <f t="shared" si="0"/>
        <v>1.4428100882775765E-2</v>
      </c>
      <c r="I42" s="35" t="e">
        <f t="shared" si="1"/>
        <v>#DIV/0!</v>
      </c>
      <c r="J42" s="35" t="e">
        <f t="shared" si="2"/>
        <v>#DIV/0!</v>
      </c>
    </row>
    <row r="43" spans="2:10">
      <c r="B43" t="s">
        <v>315</v>
      </c>
      <c r="C43">
        <v>122817</v>
      </c>
      <c r="D43">
        <v>603109</v>
      </c>
      <c r="E43">
        <v>750877</v>
      </c>
      <c r="F43">
        <v>59622.1</v>
      </c>
      <c r="G43">
        <v>13178</v>
      </c>
      <c r="H43" s="33">
        <f t="shared" si="0"/>
        <v>1.2216611459578853E-4</v>
      </c>
      <c r="I43" s="35">
        <f t="shared" si="1"/>
        <v>-0.77897457486401855</v>
      </c>
      <c r="J43" s="35">
        <f t="shared" si="2"/>
        <v>-0.42766836121595242</v>
      </c>
    </row>
    <row r="44" spans="2:10">
      <c r="B44" t="s">
        <v>276</v>
      </c>
      <c r="C44">
        <v>587485</v>
      </c>
      <c r="D44">
        <v>754325</v>
      </c>
      <c r="E44">
        <v>185441</v>
      </c>
      <c r="H44" s="33">
        <f t="shared" si="0"/>
        <v>0</v>
      </c>
      <c r="I44" s="35" t="e">
        <f t="shared" si="1"/>
        <v>#DIV/0!</v>
      </c>
      <c r="J44" s="35">
        <f t="shared" si="2"/>
        <v>-1</v>
      </c>
    </row>
    <row r="45" spans="2:10">
      <c r="B45" t="s">
        <v>305</v>
      </c>
      <c r="C45">
        <v>198974</v>
      </c>
      <c r="D45">
        <v>159596</v>
      </c>
      <c r="E45">
        <v>345524</v>
      </c>
      <c r="F45">
        <v>362990.63</v>
      </c>
      <c r="G45">
        <v>415145.87999999995</v>
      </c>
      <c r="H45" s="33">
        <f t="shared" si="0"/>
        <v>3.8485930452306469E-3</v>
      </c>
      <c r="I45" s="35">
        <f t="shared" si="1"/>
        <v>0.14368208347416545</v>
      </c>
      <c r="J45" s="35">
        <f t="shared" si="2"/>
        <v>0.20185230405759746</v>
      </c>
    </row>
    <row r="46" spans="2:10">
      <c r="B46" t="s">
        <v>429</v>
      </c>
      <c r="F46">
        <v>343038.65</v>
      </c>
      <c r="G46">
        <v>1073484.69</v>
      </c>
      <c r="H46" s="33">
        <f t="shared" si="0"/>
        <v>9.9516962858828741E-3</v>
      </c>
      <c r="I46" s="35">
        <f t="shared" si="1"/>
        <v>2.1293403527561687</v>
      </c>
      <c r="J46" s="35" t="e">
        <f t="shared" si="2"/>
        <v>#DIV/0!</v>
      </c>
    </row>
    <row r="47" spans="2:10">
      <c r="B47" t="s">
        <v>273</v>
      </c>
      <c r="C47">
        <v>948423</v>
      </c>
      <c r="D47">
        <v>96693</v>
      </c>
      <c r="E47">
        <v>47275</v>
      </c>
      <c r="F47">
        <v>68376.459999999992</v>
      </c>
      <c r="G47">
        <v>175119.65</v>
      </c>
      <c r="H47" s="33">
        <f t="shared" si="0"/>
        <v>1.6234396137406568E-3</v>
      </c>
      <c r="I47" s="35">
        <f t="shared" si="1"/>
        <v>1.5611102124912581</v>
      </c>
      <c r="J47" s="35">
        <f t="shared" si="2"/>
        <v>-0.3444841445039889</v>
      </c>
    </row>
    <row r="48" spans="2:10">
      <c r="B48" t="s">
        <v>317</v>
      </c>
      <c r="C48">
        <v>114449</v>
      </c>
      <c r="D48">
        <v>151711</v>
      </c>
      <c r="E48">
        <v>224912</v>
      </c>
      <c r="F48">
        <v>673188.12000000011</v>
      </c>
      <c r="G48">
        <v>94278</v>
      </c>
      <c r="H48" s="33">
        <f t="shared" si="0"/>
        <v>8.7400037576732057E-4</v>
      </c>
      <c r="I48" s="35">
        <f t="shared" si="1"/>
        <v>-0.85995296530188325</v>
      </c>
      <c r="J48" s="35">
        <f t="shared" si="2"/>
        <v>-4.7314424580216619E-2</v>
      </c>
    </row>
    <row r="49" spans="2:10">
      <c r="B49" t="s">
        <v>308</v>
      </c>
      <c r="C49">
        <v>166812</v>
      </c>
      <c r="D49">
        <v>593755</v>
      </c>
      <c r="E49">
        <v>380350</v>
      </c>
      <c r="F49">
        <v>48990.710000000006</v>
      </c>
      <c r="G49">
        <v>68437</v>
      </c>
      <c r="H49" s="33">
        <f t="shared" si="0"/>
        <v>6.3444243319107441E-4</v>
      </c>
      <c r="I49" s="35">
        <f t="shared" si="1"/>
        <v>0.39693831748917274</v>
      </c>
      <c r="J49" s="35">
        <f t="shared" si="2"/>
        <v>-0.19967585644519203</v>
      </c>
    </row>
    <row r="50" spans="2:10">
      <c r="B50" t="s">
        <v>594</v>
      </c>
      <c r="F50">
        <v>405551.54</v>
      </c>
      <c r="G50">
        <v>734824.69</v>
      </c>
      <c r="H50" s="33">
        <f t="shared" si="0"/>
        <v>6.8121624894790381E-3</v>
      </c>
      <c r="I50" s="35">
        <f t="shared" si="1"/>
        <v>0.81191443632540516</v>
      </c>
      <c r="J50" s="35" t="e">
        <f t="shared" si="2"/>
        <v>#DIV/0!</v>
      </c>
    </row>
    <row r="51" spans="2:10">
      <c r="B51" t="s">
        <v>299</v>
      </c>
      <c r="C51">
        <v>248880</v>
      </c>
      <c r="D51">
        <v>336258</v>
      </c>
      <c r="E51">
        <v>203940</v>
      </c>
      <c r="F51">
        <v>268428.67</v>
      </c>
      <c r="H51" s="33">
        <f t="shared" si="0"/>
        <v>0</v>
      </c>
      <c r="I51" s="35">
        <f t="shared" si="1"/>
        <v>-1</v>
      </c>
      <c r="J51" s="35">
        <f t="shared" si="2"/>
        <v>-1</v>
      </c>
    </row>
    <row r="52" spans="2:10">
      <c r="B52" t="s">
        <v>274</v>
      </c>
      <c r="C52">
        <v>773793</v>
      </c>
      <c r="D52">
        <v>279195</v>
      </c>
      <c r="H52" s="33">
        <f t="shared" si="0"/>
        <v>0</v>
      </c>
      <c r="I52" s="35" t="e">
        <f t="shared" si="1"/>
        <v>#DIV/0!</v>
      </c>
      <c r="J52" s="35">
        <f t="shared" si="2"/>
        <v>-1</v>
      </c>
    </row>
    <row r="53" spans="2:10">
      <c r="B53" t="s">
        <v>298</v>
      </c>
      <c r="C53">
        <v>253173</v>
      </c>
      <c r="D53">
        <v>198259</v>
      </c>
      <c r="E53">
        <v>251221</v>
      </c>
      <c r="F53">
        <v>107047.22</v>
      </c>
      <c r="G53">
        <v>79305.960000000006</v>
      </c>
      <c r="H53" s="33">
        <f t="shared" si="0"/>
        <v>7.3520268610479745E-4</v>
      </c>
      <c r="I53" s="35">
        <f t="shared" si="1"/>
        <v>-0.2591497471863351</v>
      </c>
      <c r="J53" s="35">
        <f t="shared" si="2"/>
        <v>-0.2518785452414265</v>
      </c>
    </row>
    <row r="54" spans="2:10">
      <c r="B54" t="s">
        <v>283</v>
      </c>
      <c r="C54">
        <v>445250</v>
      </c>
      <c r="D54">
        <v>106210</v>
      </c>
      <c r="E54">
        <v>144512</v>
      </c>
      <c r="F54">
        <v>93606</v>
      </c>
      <c r="G54">
        <v>82115</v>
      </c>
      <c r="H54" s="33">
        <f t="shared" si="0"/>
        <v>7.6124377751048524E-4</v>
      </c>
      <c r="I54" s="35">
        <f t="shared" si="1"/>
        <v>-0.12275922483601476</v>
      </c>
      <c r="J54" s="35">
        <f t="shared" si="2"/>
        <v>-0.34467815957378312</v>
      </c>
    </row>
    <row r="55" spans="2:10">
      <c r="B55" t="s">
        <v>599</v>
      </c>
      <c r="G55">
        <v>859517.01</v>
      </c>
      <c r="H55" s="33">
        <f t="shared" si="0"/>
        <v>7.9681175854218779E-3</v>
      </c>
      <c r="I55" s="35" t="e">
        <f t="shared" si="1"/>
        <v>#DIV/0!</v>
      </c>
      <c r="J55" s="35" t="e">
        <f t="shared" si="2"/>
        <v>#DIV/0!</v>
      </c>
    </row>
    <row r="56" spans="2:10">
      <c r="B56" t="s">
        <v>278</v>
      </c>
      <c r="C56">
        <v>534140</v>
      </c>
      <c r="D56">
        <v>146528</v>
      </c>
      <c r="E56">
        <v>132665</v>
      </c>
      <c r="H56" s="33">
        <f t="shared" si="0"/>
        <v>0</v>
      </c>
      <c r="I56" s="35" t="e">
        <f t="shared" si="1"/>
        <v>#DIV/0!</v>
      </c>
      <c r="J56" s="35">
        <f t="shared" si="2"/>
        <v>-1</v>
      </c>
    </row>
    <row r="57" spans="2:10">
      <c r="B57" t="s">
        <v>476</v>
      </c>
      <c r="E57">
        <v>40543</v>
      </c>
      <c r="F57">
        <v>59027.5</v>
      </c>
      <c r="G57">
        <v>659887.16</v>
      </c>
      <c r="H57" s="33">
        <f t="shared" si="0"/>
        <v>6.1174571565373679E-3</v>
      </c>
      <c r="I57" s="35">
        <f t="shared" si="1"/>
        <v>10.179317436787938</v>
      </c>
      <c r="J57" s="35" t="e">
        <f t="shared" si="2"/>
        <v>#DIV/0!</v>
      </c>
    </row>
    <row r="58" spans="2:10">
      <c r="B58" t="s">
        <v>588</v>
      </c>
      <c r="F58">
        <v>219028.16</v>
      </c>
      <c r="G58">
        <v>539469.21</v>
      </c>
      <c r="H58" s="33">
        <f t="shared" si="0"/>
        <v>5.0011274343420469E-3</v>
      </c>
      <c r="I58" s="35">
        <f t="shared" si="1"/>
        <v>1.4630130207914815</v>
      </c>
      <c r="J58" s="35" t="e">
        <f t="shared" si="2"/>
        <v>#DIV/0!</v>
      </c>
    </row>
    <row r="59" spans="2:10">
      <c r="B59" t="s">
        <v>280</v>
      </c>
      <c r="C59">
        <v>489117</v>
      </c>
      <c r="D59">
        <v>219139</v>
      </c>
      <c r="E59">
        <v>28399</v>
      </c>
      <c r="F59">
        <v>2120</v>
      </c>
      <c r="H59" s="33">
        <f t="shared" si="0"/>
        <v>0</v>
      </c>
      <c r="I59" s="35">
        <f t="shared" si="1"/>
        <v>-1</v>
      </c>
      <c r="J59" s="35">
        <f t="shared" si="2"/>
        <v>-1</v>
      </c>
    </row>
    <row r="60" spans="2:10">
      <c r="B60" t="s">
        <v>520</v>
      </c>
      <c r="G60">
        <v>690015.57</v>
      </c>
      <c r="H60" s="33">
        <f t="shared" si="0"/>
        <v>6.3967613596523244E-3</v>
      </c>
      <c r="I60" s="35" t="e">
        <f t="shared" si="1"/>
        <v>#DIV/0!</v>
      </c>
      <c r="J60" s="35" t="e">
        <f t="shared" si="2"/>
        <v>#DIV/0!</v>
      </c>
    </row>
    <row r="61" spans="2:10">
      <c r="B61" t="s">
        <v>563</v>
      </c>
      <c r="D61">
        <v>71288</v>
      </c>
      <c r="E61">
        <v>85841</v>
      </c>
      <c r="F61">
        <v>235589</v>
      </c>
      <c r="G61">
        <v>254433.56</v>
      </c>
      <c r="H61" s="33">
        <f t="shared" si="0"/>
        <v>2.35871599999806E-3</v>
      </c>
      <c r="I61" s="35">
        <f t="shared" si="1"/>
        <v>7.9989133618292962E-2</v>
      </c>
      <c r="J61" s="35" t="e">
        <f t="shared" si="2"/>
        <v>#DIV/0!</v>
      </c>
    </row>
    <row r="62" spans="2:10">
      <c r="B62" t="s">
        <v>296</v>
      </c>
      <c r="C62">
        <v>260507</v>
      </c>
      <c r="D62">
        <v>241192</v>
      </c>
      <c r="E62">
        <v>138712</v>
      </c>
      <c r="H62" s="33">
        <f t="shared" si="0"/>
        <v>0</v>
      </c>
      <c r="I62" s="35" t="e">
        <f t="shared" si="1"/>
        <v>#DIV/0!</v>
      </c>
      <c r="J62" s="35">
        <f t="shared" si="2"/>
        <v>-1</v>
      </c>
    </row>
    <row r="63" spans="2:10">
      <c r="B63" t="s">
        <v>323</v>
      </c>
      <c r="C63">
        <v>92178</v>
      </c>
      <c r="D63">
        <v>217965</v>
      </c>
      <c r="E63">
        <v>260765</v>
      </c>
      <c r="F63">
        <v>64554.720000000001</v>
      </c>
      <c r="H63" s="33">
        <f t="shared" si="0"/>
        <v>0</v>
      </c>
      <c r="I63" s="35">
        <f t="shared" si="1"/>
        <v>-1</v>
      </c>
      <c r="J63" s="35">
        <f t="shared" si="2"/>
        <v>-1</v>
      </c>
    </row>
    <row r="64" spans="2:10">
      <c r="B64" t="s">
        <v>306</v>
      </c>
      <c r="C64">
        <v>194779</v>
      </c>
      <c r="D64">
        <v>115182</v>
      </c>
      <c r="E64">
        <v>148468</v>
      </c>
      <c r="F64">
        <v>42621.599999999999</v>
      </c>
      <c r="G64">
        <v>95240.700000000012</v>
      </c>
      <c r="H64" s="33">
        <f t="shared" si="0"/>
        <v>8.8292504707718298E-4</v>
      </c>
      <c r="I64" s="35">
        <f t="shared" si="1"/>
        <v>1.2345641646489107</v>
      </c>
      <c r="J64" s="35">
        <f t="shared" si="2"/>
        <v>-0.16378084470453746</v>
      </c>
    </row>
    <row r="65" spans="2:10">
      <c r="B65" t="s">
        <v>286</v>
      </c>
      <c r="C65">
        <v>415582</v>
      </c>
      <c r="D65">
        <v>168101</v>
      </c>
      <c r="H65" s="33">
        <f t="shared" si="0"/>
        <v>0</v>
      </c>
      <c r="I65" s="35" t="e">
        <f t="shared" si="1"/>
        <v>#DIV/0!</v>
      </c>
      <c r="J65" s="35">
        <f t="shared" si="2"/>
        <v>-1</v>
      </c>
    </row>
    <row r="66" spans="2:10">
      <c r="B66" t="s">
        <v>427</v>
      </c>
      <c r="G66">
        <v>579529</v>
      </c>
      <c r="H66" s="33">
        <f t="shared" si="0"/>
        <v>5.3725000930021794E-3</v>
      </c>
      <c r="I66" s="35" t="e">
        <f t="shared" si="1"/>
        <v>#DIV/0!</v>
      </c>
      <c r="J66" s="35" t="e">
        <f t="shared" si="2"/>
        <v>#DIV/0!</v>
      </c>
    </row>
    <row r="67" spans="2:10">
      <c r="B67" t="s">
        <v>282</v>
      </c>
      <c r="C67">
        <v>469779</v>
      </c>
      <c r="D67">
        <v>39738</v>
      </c>
      <c r="E67">
        <v>48304</v>
      </c>
      <c r="F67">
        <v>14449.580000000002</v>
      </c>
      <c r="G67">
        <v>5760</v>
      </c>
      <c r="H67" s="33">
        <f t="shared" si="0"/>
        <v>5.3397846416128535E-5</v>
      </c>
      <c r="I67" s="35">
        <f t="shared" si="1"/>
        <v>-0.60137249664004078</v>
      </c>
      <c r="J67" s="35">
        <f t="shared" si="2"/>
        <v>-0.6672391529899423</v>
      </c>
    </row>
    <row r="68" spans="2:10">
      <c r="B68" t="s">
        <v>304</v>
      </c>
      <c r="C68">
        <v>203157</v>
      </c>
      <c r="D68">
        <v>300632</v>
      </c>
      <c r="E68">
        <v>8804</v>
      </c>
      <c r="F68">
        <v>49870</v>
      </c>
      <c r="H68" s="33">
        <f t="shared" si="0"/>
        <v>0</v>
      </c>
      <c r="I68" s="35">
        <f t="shared" si="1"/>
        <v>-1</v>
      </c>
      <c r="J68" s="35">
        <f t="shared" si="2"/>
        <v>-1</v>
      </c>
    </row>
    <row r="69" spans="2:10">
      <c r="B69" t="s">
        <v>277</v>
      </c>
      <c r="C69">
        <v>553700</v>
      </c>
      <c r="H69" s="33">
        <f t="shared" ref="H69:H132" si="4">G69/$G$3</f>
        <v>0</v>
      </c>
      <c r="I69" s="35" t="e">
        <f t="shared" ref="I69:I132" si="5">(G69/F69)-1</f>
        <v>#DIV/0!</v>
      </c>
      <c r="J69" s="35">
        <f t="shared" ref="J69:J132" si="6">((G69/C69)^(1/4))-1</f>
        <v>-1</v>
      </c>
    </row>
    <row r="70" spans="2:10">
      <c r="B70" t="s">
        <v>301</v>
      </c>
      <c r="C70">
        <v>241301</v>
      </c>
      <c r="E70">
        <v>64851</v>
      </c>
      <c r="F70">
        <v>103711.36</v>
      </c>
      <c r="G70">
        <v>128837.63</v>
      </c>
      <c r="H70" s="33">
        <f t="shared" si="4"/>
        <v>1.1943840241940963E-3</v>
      </c>
      <c r="I70" s="35">
        <f t="shared" si="5"/>
        <v>0.2422711456102784</v>
      </c>
      <c r="J70" s="35">
        <f t="shared" si="6"/>
        <v>-0.14518742693369069</v>
      </c>
    </row>
    <row r="71" spans="2:10">
      <c r="B71" t="s">
        <v>485</v>
      </c>
      <c r="E71">
        <v>180860</v>
      </c>
      <c r="F71">
        <v>172212.98</v>
      </c>
      <c r="G71">
        <v>159280</v>
      </c>
      <c r="H71" s="33">
        <f t="shared" si="4"/>
        <v>1.47659878075711E-3</v>
      </c>
      <c r="I71" s="35">
        <f t="shared" si="5"/>
        <v>-7.5098752718871786E-2</v>
      </c>
      <c r="J71" s="35" t="e">
        <f t="shared" si="6"/>
        <v>#DIV/0!</v>
      </c>
    </row>
    <row r="72" spans="2:10">
      <c r="B72" t="s">
        <v>279</v>
      </c>
      <c r="C72">
        <v>496350</v>
      </c>
      <c r="H72" s="33">
        <f t="shared" si="4"/>
        <v>0</v>
      </c>
      <c r="I72" s="35" t="e">
        <f t="shared" si="5"/>
        <v>#DIV/0!</v>
      </c>
      <c r="J72" s="35">
        <f t="shared" si="6"/>
        <v>-1</v>
      </c>
    </row>
    <row r="73" spans="2:10">
      <c r="B73" t="s">
        <v>290</v>
      </c>
      <c r="C73">
        <v>309231</v>
      </c>
      <c r="D73">
        <v>176867</v>
      </c>
      <c r="H73" s="33">
        <f t="shared" si="4"/>
        <v>0</v>
      </c>
      <c r="I73" s="35" t="e">
        <f t="shared" si="5"/>
        <v>#DIV/0!</v>
      </c>
      <c r="J73" s="35">
        <f t="shared" si="6"/>
        <v>-1</v>
      </c>
    </row>
    <row r="74" spans="2:10">
      <c r="B74" t="s">
        <v>334</v>
      </c>
      <c r="C74">
        <v>57800</v>
      </c>
      <c r="D74">
        <v>86033</v>
      </c>
      <c r="E74">
        <v>269311</v>
      </c>
      <c r="F74">
        <v>63231.75</v>
      </c>
      <c r="H74" s="33">
        <f t="shared" si="4"/>
        <v>0</v>
      </c>
      <c r="I74" s="35">
        <f t="shared" si="5"/>
        <v>-1</v>
      </c>
      <c r="J74" s="35">
        <f t="shared" si="6"/>
        <v>-1</v>
      </c>
    </row>
    <row r="75" spans="2:10">
      <c r="B75" t="s">
        <v>281</v>
      </c>
      <c r="C75">
        <v>474680</v>
      </c>
      <c r="H75" s="33">
        <f t="shared" si="4"/>
        <v>0</v>
      </c>
      <c r="I75" s="35" t="e">
        <f t="shared" si="5"/>
        <v>#DIV/0!</v>
      </c>
      <c r="J75" s="35">
        <f t="shared" si="6"/>
        <v>-1</v>
      </c>
    </row>
    <row r="76" spans="2:10">
      <c r="B76" t="s">
        <v>313</v>
      </c>
      <c r="C76">
        <v>134110</v>
      </c>
      <c r="E76">
        <v>24480</v>
      </c>
      <c r="F76">
        <v>52360</v>
      </c>
      <c r="G76">
        <v>261888.22999999998</v>
      </c>
      <c r="H76" s="33">
        <f t="shared" si="4"/>
        <v>2.4278242159256501E-3</v>
      </c>
      <c r="I76" s="35">
        <f t="shared" si="5"/>
        <v>4.0016850649350646</v>
      </c>
      <c r="J76" s="35">
        <f t="shared" si="6"/>
        <v>0.18212582321726734</v>
      </c>
    </row>
    <row r="77" spans="2:10">
      <c r="B77" t="s">
        <v>300</v>
      </c>
      <c r="C77">
        <v>242090</v>
      </c>
      <c r="D77">
        <v>194360</v>
      </c>
      <c r="E77">
        <v>23552</v>
      </c>
      <c r="H77" s="33">
        <f t="shared" si="4"/>
        <v>0</v>
      </c>
      <c r="I77" s="35" t="e">
        <f t="shared" si="5"/>
        <v>#DIV/0!</v>
      </c>
      <c r="J77" s="35">
        <f t="shared" si="6"/>
        <v>-1</v>
      </c>
    </row>
    <row r="78" spans="2:10">
      <c r="B78" t="s">
        <v>294</v>
      </c>
      <c r="C78">
        <v>272385</v>
      </c>
      <c r="D78">
        <v>51950</v>
      </c>
      <c r="E78">
        <v>116544</v>
      </c>
      <c r="F78">
        <v>7600</v>
      </c>
      <c r="H78" s="33">
        <f t="shared" si="4"/>
        <v>0</v>
      </c>
      <c r="I78" s="35">
        <f t="shared" si="5"/>
        <v>-1</v>
      </c>
      <c r="J78" s="35">
        <f t="shared" si="6"/>
        <v>-1</v>
      </c>
    </row>
    <row r="79" spans="2:10">
      <c r="B79" t="s">
        <v>285</v>
      </c>
      <c r="C79">
        <v>427371</v>
      </c>
      <c r="H79" s="33">
        <f t="shared" si="4"/>
        <v>0</v>
      </c>
      <c r="I79" s="35" t="e">
        <f t="shared" si="5"/>
        <v>#DIV/0!</v>
      </c>
      <c r="J79" s="35">
        <f t="shared" si="6"/>
        <v>-1</v>
      </c>
    </row>
    <row r="80" spans="2:10">
      <c r="B80" t="s">
        <v>452</v>
      </c>
      <c r="D80">
        <v>276884</v>
      </c>
      <c r="E80">
        <v>40343</v>
      </c>
      <c r="F80">
        <v>57421.34</v>
      </c>
      <c r="G80">
        <v>40992.499999999993</v>
      </c>
      <c r="H80" s="33">
        <f t="shared" si="4"/>
        <v>3.8001930889117164E-4</v>
      </c>
      <c r="I80" s="35">
        <f t="shared" si="5"/>
        <v>-0.28611035548804686</v>
      </c>
      <c r="J80" s="35" t="e">
        <f t="shared" si="6"/>
        <v>#DIV/0!</v>
      </c>
    </row>
    <row r="81" spans="2:10">
      <c r="B81" t="s">
        <v>288</v>
      </c>
      <c r="C81">
        <v>344452</v>
      </c>
      <c r="D81">
        <v>53040</v>
      </c>
      <c r="H81" s="33">
        <f t="shared" si="4"/>
        <v>0</v>
      </c>
      <c r="I81" s="35" t="e">
        <f t="shared" si="5"/>
        <v>#DIV/0!</v>
      </c>
      <c r="J81" s="35">
        <f t="shared" si="6"/>
        <v>-1</v>
      </c>
    </row>
    <row r="82" spans="2:10">
      <c r="B82" t="s">
        <v>432</v>
      </c>
      <c r="F82">
        <v>388870</v>
      </c>
      <c r="H82" s="33">
        <f t="shared" si="4"/>
        <v>0</v>
      </c>
      <c r="I82" s="35">
        <f t="shared" si="5"/>
        <v>-1</v>
      </c>
      <c r="J82" s="35" t="e">
        <f t="shared" si="6"/>
        <v>#DIV/0!</v>
      </c>
    </row>
    <row r="83" spans="2:10">
      <c r="B83" t="s">
        <v>498</v>
      </c>
      <c r="E83">
        <v>7740</v>
      </c>
      <c r="F83">
        <v>336893.71</v>
      </c>
      <c r="G83">
        <v>34400</v>
      </c>
      <c r="H83" s="33">
        <f t="shared" si="4"/>
        <v>3.1890380498521211E-4</v>
      </c>
      <c r="I83" s="35">
        <f t="shared" si="5"/>
        <v>-0.89789064331299029</v>
      </c>
      <c r="J83" s="35" t="e">
        <f t="shared" si="6"/>
        <v>#DIV/0!</v>
      </c>
    </row>
    <row r="84" spans="2:10">
      <c r="B84" t="s">
        <v>287</v>
      </c>
      <c r="C84">
        <v>367879</v>
      </c>
      <c r="H84" s="33">
        <f t="shared" si="4"/>
        <v>0</v>
      </c>
      <c r="I84" s="35" t="e">
        <f t="shared" si="5"/>
        <v>#DIV/0!</v>
      </c>
      <c r="J84" s="35">
        <f t="shared" si="6"/>
        <v>-1</v>
      </c>
    </row>
    <row r="85" spans="2:10">
      <c r="B85" t="s">
        <v>289</v>
      </c>
      <c r="C85">
        <v>338980</v>
      </c>
      <c r="H85" s="33">
        <f t="shared" si="4"/>
        <v>0</v>
      </c>
      <c r="I85" s="35" t="e">
        <f t="shared" si="5"/>
        <v>#DIV/0!</v>
      </c>
      <c r="J85" s="35">
        <f t="shared" si="6"/>
        <v>-1</v>
      </c>
    </row>
    <row r="86" spans="2:10">
      <c r="B86" t="s">
        <v>517</v>
      </c>
      <c r="G86">
        <v>287530</v>
      </c>
      <c r="H86" s="33">
        <f t="shared" si="4"/>
        <v>2.6655352048662218E-3</v>
      </c>
      <c r="I86" s="35" t="e">
        <f t="shared" si="5"/>
        <v>#DIV/0!</v>
      </c>
      <c r="J86" s="35" t="e">
        <f t="shared" si="6"/>
        <v>#DIV/0!</v>
      </c>
    </row>
    <row r="87" spans="2:10">
      <c r="B87" t="s">
        <v>367</v>
      </c>
      <c r="C87">
        <v>10800</v>
      </c>
      <c r="D87">
        <v>57900</v>
      </c>
      <c r="E87">
        <v>88750</v>
      </c>
      <c r="F87">
        <v>10000</v>
      </c>
      <c r="G87">
        <v>117615.1</v>
      </c>
      <c r="H87" s="33">
        <f t="shared" si="4"/>
        <v>1.0903460149336111E-3</v>
      </c>
      <c r="I87" s="35">
        <f t="shared" si="5"/>
        <v>10.761510000000001</v>
      </c>
      <c r="J87" s="35">
        <f t="shared" si="6"/>
        <v>0.81660218269536999</v>
      </c>
    </row>
    <row r="88" spans="2:10">
      <c r="B88" t="s">
        <v>335</v>
      </c>
      <c r="C88">
        <v>56538</v>
      </c>
      <c r="D88">
        <v>70935</v>
      </c>
      <c r="E88">
        <v>56500</v>
      </c>
      <c r="F88">
        <v>59098.8</v>
      </c>
      <c r="G88">
        <v>38789.729999999996</v>
      </c>
      <c r="H88" s="33">
        <f t="shared" si="4"/>
        <v>3.5959861893456482E-4</v>
      </c>
      <c r="I88" s="35">
        <f t="shared" si="5"/>
        <v>-0.34364606387946972</v>
      </c>
      <c r="J88" s="35">
        <f t="shared" si="6"/>
        <v>-8.9889596584381337E-2</v>
      </c>
    </row>
    <row r="89" spans="2:10">
      <c r="B89" t="s">
        <v>325</v>
      </c>
      <c r="C89">
        <v>87869</v>
      </c>
      <c r="D89">
        <v>45541</v>
      </c>
      <c r="E89">
        <v>132923</v>
      </c>
      <c r="G89">
        <v>8248</v>
      </c>
      <c r="H89" s="33">
        <f t="shared" si="4"/>
        <v>7.6462749520872953E-5</v>
      </c>
      <c r="I89" s="35" t="e">
        <f t="shared" si="5"/>
        <v>#DIV/0!</v>
      </c>
      <c r="J89" s="35">
        <f t="shared" si="6"/>
        <v>-0.44648646882778276</v>
      </c>
    </row>
    <row r="90" spans="2:10">
      <c r="B90" t="s">
        <v>292</v>
      </c>
      <c r="C90">
        <v>273496</v>
      </c>
      <c r="H90" s="33">
        <f t="shared" si="4"/>
        <v>0</v>
      </c>
      <c r="I90" s="35" t="e">
        <f t="shared" si="5"/>
        <v>#DIV/0!</v>
      </c>
      <c r="J90" s="35">
        <f t="shared" si="6"/>
        <v>-1</v>
      </c>
    </row>
    <row r="91" spans="2:10">
      <c r="B91" t="s">
        <v>293</v>
      </c>
      <c r="C91">
        <v>272520</v>
      </c>
      <c r="H91" s="33">
        <f t="shared" si="4"/>
        <v>0</v>
      </c>
      <c r="I91" s="35" t="e">
        <f t="shared" si="5"/>
        <v>#DIV/0!</v>
      </c>
      <c r="J91" s="35">
        <f t="shared" si="6"/>
        <v>-1</v>
      </c>
    </row>
    <row r="92" spans="2:10">
      <c r="B92" t="s">
        <v>538</v>
      </c>
      <c r="F92">
        <v>29030</v>
      </c>
      <c r="G92">
        <v>240532</v>
      </c>
      <c r="H92" s="33">
        <f t="shared" si="4"/>
        <v>2.2298421517646231E-3</v>
      </c>
      <c r="I92" s="35">
        <f t="shared" si="5"/>
        <v>7.2856355494316229</v>
      </c>
      <c r="J92" s="35" t="e">
        <f t="shared" si="6"/>
        <v>#DIV/0!</v>
      </c>
    </row>
    <row r="93" spans="2:10">
      <c r="B93" t="s">
        <v>522</v>
      </c>
      <c r="F93">
        <v>100263.35</v>
      </c>
      <c r="G93">
        <v>163195.85</v>
      </c>
      <c r="H93" s="33">
        <f t="shared" si="4"/>
        <v>1.5129005093836025E-3</v>
      </c>
      <c r="I93" s="35">
        <f t="shared" si="5"/>
        <v>0.6276720257202657</v>
      </c>
      <c r="J93" s="35" t="e">
        <f t="shared" si="6"/>
        <v>#DIV/0!</v>
      </c>
    </row>
    <row r="94" spans="2:10">
      <c r="B94" t="s">
        <v>297</v>
      </c>
      <c r="C94">
        <v>257609</v>
      </c>
      <c r="H94" s="33">
        <f t="shared" si="4"/>
        <v>0</v>
      </c>
      <c r="I94" s="35" t="e">
        <f t="shared" si="5"/>
        <v>#DIV/0!</v>
      </c>
      <c r="J94" s="35">
        <f t="shared" si="6"/>
        <v>-1</v>
      </c>
    </row>
    <row r="95" spans="2:10">
      <c r="B95" t="s">
        <v>320</v>
      </c>
      <c r="C95">
        <v>106684</v>
      </c>
      <c r="D95">
        <v>123559</v>
      </c>
      <c r="E95">
        <v>16255</v>
      </c>
      <c r="F95">
        <v>1290</v>
      </c>
      <c r="G95">
        <v>1605</v>
      </c>
      <c r="H95" s="33">
        <f t="shared" si="4"/>
        <v>1.4879087412827483E-5</v>
      </c>
      <c r="I95" s="35">
        <f t="shared" si="5"/>
        <v>0.2441860465116279</v>
      </c>
      <c r="J95" s="35">
        <f t="shared" si="6"/>
        <v>-0.64977758655460982</v>
      </c>
    </row>
    <row r="96" spans="2:10">
      <c r="B96" t="s">
        <v>350</v>
      </c>
      <c r="C96">
        <v>26197</v>
      </c>
      <c r="D96">
        <v>110218</v>
      </c>
      <c r="E96">
        <v>36183</v>
      </c>
      <c r="F96">
        <v>23799</v>
      </c>
      <c r="G96">
        <v>49827.6</v>
      </c>
      <c r="H96" s="33">
        <f t="shared" si="4"/>
        <v>4.619247451535219E-4</v>
      </c>
      <c r="I96" s="35">
        <f t="shared" si="5"/>
        <v>1.093684608597</v>
      </c>
      <c r="J96" s="35">
        <f t="shared" si="6"/>
        <v>0.17436906420704479</v>
      </c>
    </row>
    <row r="97" spans="2:10">
      <c r="B97" t="s">
        <v>493</v>
      </c>
      <c r="E97">
        <v>55698</v>
      </c>
      <c r="F97">
        <v>70649.430000000008</v>
      </c>
      <c r="G97">
        <v>119248.76000000001</v>
      </c>
      <c r="H97" s="33">
        <f t="shared" si="4"/>
        <v>1.1054907937141966E-3</v>
      </c>
      <c r="I97" s="35">
        <f t="shared" si="5"/>
        <v>0.68789415569240964</v>
      </c>
      <c r="J97" s="35" t="e">
        <f t="shared" si="6"/>
        <v>#DIV/0!</v>
      </c>
    </row>
    <row r="98" spans="2:10">
      <c r="B98" t="s">
        <v>444</v>
      </c>
      <c r="D98">
        <v>244075</v>
      </c>
      <c r="H98" s="33">
        <f t="shared" si="4"/>
        <v>0</v>
      </c>
      <c r="I98" s="35" t="e">
        <f t="shared" si="5"/>
        <v>#DIV/0!</v>
      </c>
      <c r="J98" s="35" t="e">
        <f t="shared" si="6"/>
        <v>#DIV/0!</v>
      </c>
    </row>
    <row r="99" spans="2:10">
      <c r="B99" t="s">
        <v>505</v>
      </c>
      <c r="F99">
        <v>25910</v>
      </c>
      <c r="G99">
        <v>205834.14</v>
      </c>
      <c r="H99" s="33">
        <f t="shared" si="4"/>
        <v>1.9081770477284549E-3</v>
      </c>
      <c r="I99" s="35">
        <f t="shared" si="5"/>
        <v>6.9441968351987651</v>
      </c>
      <c r="J99" s="35" t="e">
        <f t="shared" si="6"/>
        <v>#DIV/0!</v>
      </c>
    </row>
    <row r="100" spans="2:10">
      <c r="B100" t="s">
        <v>328</v>
      </c>
      <c r="C100">
        <v>77835</v>
      </c>
      <c r="D100">
        <v>149800</v>
      </c>
      <c r="H100" s="33">
        <f t="shared" si="4"/>
        <v>0</v>
      </c>
      <c r="I100" s="35" t="e">
        <f t="shared" si="5"/>
        <v>#DIV/0!</v>
      </c>
      <c r="J100" s="35">
        <f t="shared" si="6"/>
        <v>-1</v>
      </c>
    </row>
    <row r="101" spans="2:10">
      <c r="B101" t="s">
        <v>302</v>
      </c>
      <c r="C101">
        <v>221600</v>
      </c>
      <c r="H101" s="33">
        <f t="shared" si="4"/>
        <v>0</v>
      </c>
      <c r="I101" s="35" t="e">
        <f t="shared" si="5"/>
        <v>#DIV/0!</v>
      </c>
      <c r="J101" s="35">
        <f t="shared" si="6"/>
        <v>-1</v>
      </c>
    </row>
    <row r="102" spans="2:10">
      <c r="B102" t="s">
        <v>353</v>
      </c>
      <c r="C102">
        <v>23637</v>
      </c>
      <c r="D102">
        <v>114227</v>
      </c>
      <c r="E102">
        <v>39204</v>
      </c>
      <c r="F102">
        <v>39484.93</v>
      </c>
      <c r="H102" s="33">
        <f t="shared" si="4"/>
        <v>0</v>
      </c>
      <c r="I102" s="35">
        <f t="shared" si="5"/>
        <v>-1</v>
      </c>
      <c r="J102" s="35">
        <f t="shared" si="6"/>
        <v>-1</v>
      </c>
    </row>
    <row r="103" spans="2:10">
      <c r="B103" t="s">
        <v>330</v>
      </c>
      <c r="C103">
        <v>66160</v>
      </c>
      <c r="D103">
        <v>61452</v>
      </c>
      <c r="E103">
        <v>67748</v>
      </c>
      <c r="F103">
        <v>18932.62</v>
      </c>
      <c r="H103" s="33">
        <f t="shared" si="4"/>
        <v>0</v>
      </c>
      <c r="I103" s="35">
        <f t="shared" si="5"/>
        <v>-1</v>
      </c>
      <c r="J103" s="35">
        <f t="shared" si="6"/>
        <v>-1</v>
      </c>
    </row>
    <row r="104" spans="2:10">
      <c r="B104" t="s">
        <v>510</v>
      </c>
      <c r="G104">
        <v>214235.45</v>
      </c>
      <c r="H104" s="33">
        <f t="shared" si="4"/>
        <v>1.9860610513871848E-3</v>
      </c>
      <c r="I104" s="35" t="e">
        <f t="shared" si="5"/>
        <v>#DIV/0!</v>
      </c>
      <c r="J104" s="35" t="e">
        <f t="shared" si="6"/>
        <v>#DIV/0!</v>
      </c>
    </row>
    <row r="105" spans="2:10">
      <c r="B105" t="s">
        <v>341</v>
      </c>
      <c r="C105">
        <v>37933</v>
      </c>
      <c r="D105">
        <v>139100</v>
      </c>
      <c r="E105">
        <v>33990</v>
      </c>
      <c r="F105">
        <v>1070.4000000000001</v>
      </c>
      <c r="H105" s="33">
        <f t="shared" si="4"/>
        <v>0</v>
      </c>
      <c r="I105" s="35">
        <f t="shared" si="5"/>
        <v>-1</v>
      </c>
      <c r="J105" s="35">
        <f t="shared" si="6"/>
        <v>-1</v>
      </c>
    </row>
    <row r="106" spans="2:10">
      <c r="B106" t="s">
        <v>311</v>
      </c>
      <c r="C106">
        <v>152654</v>
      </c>
      <c r="D106">
        <v>56314</v>
      </c>
      <c r="H106" s="33">
        <f t="shared" si="4"/>
        <v>0</v>
      </c>
      <c r="I106" s="35" t="e">
        <f t="shared" si="5"/>
        <v>#DIV/0!</v>
      </c>
      <c r="J106" s="35">
        <f t="shared" si="6"/>
        <v>-1</v>
      </c>
    </row>
    <row r="107" spans="2:10">
      <c r="B107" t="s">
        <v>329</v>
      </c>
      <c r="C107">
        <v>73210</v>
      </c>
      <c r="F107">
        <v>101672.5</v>
      </c>
      <c r="G107">
        <v>32706</v>
      </c>
      <c r="H107" s="33">
        <f t="shared" si="4"/>
        <v>3.0319964668157985E-4</v>
      </c>
      <c r="I107" s="35">
        <f t="shared" si="5"/>
        <v>-0.67832009638791213</v>
      </c>
      <c r="J107" s="35">
        <f t="shared" si="6"/>
        <v>-0.18245012515507897</v>
      </c>
    </row>
    <row r="108" spans="2:10">
      <c r="B108" t="s">
        <v>361</v>
      </c>
      <c r="C108">
        <v>14436</v>
      </c>
      <c r="D108">
        <v>49393</v>
      </c>
      <c r="E108">
        <v>55183</v>
      </c>
      <c r="F108">
        <v>77668.88</v>
      </c>
      <c r="H108" s="33">
        <f t="shared" si="4"/>
        <v>0</v>
      </c>
      <c r="I108" s="35">
        <f t="shared" si="5"/>
        <v>-1</v>
      </c>
      <c r="J108" s="35">
        <f t="shared" si="6"/>
        <v>-1</v>
      </c>
    </row>
    <row r="109" spans="2:10">
      <c r="B109" t="s">
        <v>338</v>
      </c>
      <c r="C109">
        <v>46200</v>
      </c>
      <c r="E109">
        <v>71708</v>
      </c>
      <c r="F109">
        <v>76400.83</v>
      </c>
      <c r="H109" s="33">
        <f t="shared" si="4"/>
        <v>0</v>
      </c>
      <c r="I109" s="35">
        <f t="shared" si="5"/>
        <v>-1</v>
      </c>
      <c r="J109" s="35">
        <f t="shared" si="6"/>
        <v>-1</v>
      </c>
    </row>
    <row r="110" spans="2:10">
      <c r="B110" t="s">
        <v>553</v>
      </c>
      <c r="G110">
        <v>189508</v>
      </c>
      <c r="H110" s="33">
        <f t="shared" si="4"/>
        <v>1.7568262289284178E-3</v>
      </c>
      <c r="I110" s="35" t="e">
        <f t="shared" si="5"/>
        <v>#DIV/0!</v>
      </c>
      <c r="J110" s="35" t="e">
        <f t="shared" si="6"/>
        <v>#DIV/0!</v>
      </c>
    </row>
    <row r="111" spans="2:10">
      <c r="B111" t="s">
        <v>423</v>
      </c>
      <c r="D111">
        <v>63407</v>
      </c>
      <c r="E111">
        <v>57375</v>
      </c>
      <c r="G111">
        <v>66440</v>
      </c>
      <c r="H111" s="33">
        <f t="shared" si="4"/>
        <v>6.1592932567492711E-4</v>
      </c>
      <c r="I111" s="35" t="e">
        <f t="shared" si="5"/>
        <v>#DIV/0!</v>
      </c>
      <c r="J111" s="35" t="e">
        <f t="shared" si="6"/>
        <v>#DIV/0!</v>
      </c>
    </row>
    <row r="112" spans="2:10">
      <c r="B112" t="s">
        <v>319</v>
      </c>
      <c r="C112">
        <v>109058</v>
      </c>
      <c r="D112">
        <v>76231</v>
      </c>
      <c r="H112" s="33">
        <f t="shared" si="4"/>
        <v>0</v>
      </c>
      <c r="I112" s="35" t="e">
        <f t="shared" si="5"/>
        <v>#DIV/0!</v>
      </c>
      <c r="J112" s="35">
        <f t="shared" si="6"/>
        <v>-1</v>
      </c>
    </row>
    <row r="113" spans="2:10">
      <c r="B113" t="s">
        <v>336</v>
      </c>
      <c r="C113">
        <v>55604</v>
      </c>
      <c r="D113">
        <v>116000</v>
      </c>
      <c r="H113" s="33">
        <f t="shared" si="4"/>
        <v>0</v>
      </c>
      <c r="I113" s="35" t="e">
        <f t="shared" si="5"/>
        <v>#DIV/0!</v>
      </c>
      <c r="J113" s="35">
        <f t="shared" si="6"/>
        <v>-1</v>
      </c>
    </row>
    <row r="114" spans="2:10">
      <c r="B114" t="s">
        <v>443</v>
      </c>
      <c r="D114">
        <v>33397</v>
      </c>
      <c r="E114">
        <v>88489</v>
      </c>
      <c r="F114">
        <v>39850</v>
      </c>
      <c r="G114">
        <v>6847.8099999999995</v>
      </c>
      <c r="H114" s="33">
        <f t="shared" si="4"/>
        <v>6.348234490743562E-5</v>
      </c>
      <c r="I114" s="35">
        <f t="shared" si="5"/>
        <v>-0.82816035131744048</v>
      </c>
      <c r="J114" s="35" t="e">
        <f t="shared" si="6"/>
        <v>#DIV/0!</v>
      </c>
    </row>
    <row r="115" spans="2:10">
      <c r="B115" t="s">
        <v>309</v>
      </c>
      <c r="C115">
        <v>158815</v>
      </c>
      <c r="H115" s="33">
        <f t="shared" si="4"/>
        <v>0</v>
      </c>
      <c r="I115" s="35" t="e">
        <f t="shared" si="5"/>
        <v>#DIV/0!</v>
      </c>
      <c r="J115" s="35">
        <f t="shared" si="6"/>
        <v>-1</v>
      </c>
    </row>
    <row r="116" spans="2:10">
      <c r="B116" t="s">
        <v>356</v>
      </c>
      <c r="C116">
        <v>18748</v>
      </c>
      <c r="D116">
        <v>33497</v>
      </c>
      <c r="E116">
        <v>60000</v>
      </c>
      <c r="F116">
        <v>32834.400000000001</v>
      </c>
      <c r="G116">
        <v>13641.6</v>
      </c>
      <c r="H116" s="33">
        <f t="shared" si="4"/>
        <v>1.264638995955311E-4</v>
      </c>
      <c r="I116" s="35">
        <f t="shared" si="5"/>
        <v>-0.58453329434982826</v>
      </c>
      <c r="J116" s="35">
        <f t="shared" si="6"/>
        <v>-7.6413467482468245E-2</v>
      </c>
    </row>
    <row r="117" spans="2:10">
      <c r="B117" t="s">
        <v>310</v>
      </c>
      <c r="C117">
        <v>154880</v>
      </c>
      <c r="H117" s="33">
        <f t="shared" si="4"/>
        <v>0</v>
      </c>
      <c r="I117" s="35" t="e">
        <f t="shared" si="5"/>
        <v>#DIV/0!</v>
      </c>
      <c r="J117" s="35">
        <f t="shared" si="6"/>
        <v>-1</v>
      </c>
    </row>
    <row r="118" spans="2:10">
      <c r="B118" t="s">
        <v>465</v>
      </c>
      <c r="F118">
        <v>112385</v>
      </c>
      <c r="G118">
        <v>36340</v>
      </c>
      <c r="H118" s="33">
        <f t="shared" si="4"/>
        <v>3.3688849631286649E-4</v>
      </c>
      <c r="I118" s="35">
        <f t="shared" si="5"/>
        <v>-0.67664723940027582</v>
      </c>
      <c r="J118" s="35" t="e">
        <f t="shared" si="6"/>
        <v>#DIV/0!</v>
      </c>
    </row>
    <row r="119" spans="2:10">
      <c r="B119" t="s">
        <v>354</v>
      </c>
      <c r="C119">
        <v>21578</v>
      </c>
      <c r="D119">
        <v>65025</v>
      </c>
      <c r="E119">
        <v>42547</v>
      </c>
      <c r="F119">
        <v>10756.19</v>
      </c>
      <c r="G119">
        <v>8181.1299999999992</v>
      </c>
      <c r="H119" s="33">
        <f t="shared" si="4"/>
        <v>7.58428338976357E-5</v>
      </c>
      <c r="I119" s="35">
        <f t="shared" si="5"/>
        <v>-0.23940261375077987</v>
      </c>
      <c r="J119" s="35">
        <f t="shared" si="6"/>
        <v>-0.21530564880957559</v>
      </c>
    </row>
    <row r="120" spans="2:10">
      <c r="B120" t="s">
        <v>312</v>
      </c>
      <c r="C120">
        <v>143361</v>
      </c>
      <c r="H120" s="33">
        <f t="shared" si="4"/>
        <v>0</v>
      </c>
      <c r="I120" s="35" t="e">
        <f t="shared" si="5"/>
        <v>#DIV/0!</v>
      </c>
      <c r="J120" s="35">
        <f t="shared" si="6"/>
        <v>-1</v>
      </c>
    </row>
    <row r="121" spans="2:10">
      <c r="B121" t="s">
        <v>489</v>
      </c>
      <c r="D121">
        <v>19256</v>
      </c>
      <c r="E121">
        <v>23298</v>
      </c>
      <c r="F121">
        <v>58112.090000000004</v>
      </c>
      <c r="G121">
        <v>40451.5</v>
      </c>
      <c r="H121" s="33">
        <f t="shared" si="4"/>
        <v>3.7500399033021242E-4</v>
      </c>
      <c r="I121" s="35">
        <f t="shared" si="5"/>
        <v>-0.30390560724971349</v>
      </c>
      <c r="J121" s="35" t="e">
        <f t="shared" si="6"/>
        <v>#DIV/0!</v>
      </c>
    </row>
    <row r="122" spans="2:10">
      <c r="B122" t="s">
        <v>360</v>
      </c>
      <c r="C122">
        <v>14960</v>
      </c>
      <c r="D122">
        <v>43789</v>
      </c>
      <c r="E122">
        <v>80605</v>
      </c>
      <c r="H122" s="33">
        <f t="shared" si="4"/>
        <v>0</v>
      </c>
      <c r="I122" s="35" t="e">
        <f t="shared" si="5"/>
        <v>#DIV/0!</v>
      </c>
      <c r="J122" s="35">
        <f t="shared" si="6"/>
        <v>-1</v>
      </c>
    </row>
    <row r="123" spans="2:10">
      <c r="B123" t="s">
        <v>337</v>
      </c>
      <c r="C123">
        <v>46920</v>
      </c>
      <c r="D123">
        <v>37139</v>
      </c>
      <c r="E123">
        <v>21448</v>
      </c>
      <c r="F123">
        <v>15156</v>
      </c>
      <c r="G123">
        <v>17740.8</v>
      </c>
      <c r="H123" s="33">
        <f t="shared" si="4"/>
        <v>1.6446536696167589E-4</v>
      </c>
      <c r="I123" s="35">
        <f t="shared" si="5"/>
        <v>0.17054631828978617</v>
      </c>
      <c r="J123" s="35">
        <f t="shared" si="6"/>
        <v>-0.21584159984324536</v>
      </c>
    </row>
    <row r="124" spans="2:10">
      <c r="B124" t="s">
        <v>596</v>
      </c>
      <c r="G124">
        <v>137281.04999999999</v>
      </c>
      <c r="H124" s="33">
        <f t="shared" si="4"/>
        <v>1.2726584069001497E-3</v>
      </c>
      <c r="I124" s="35" t="e">
        <f t="shared" si="5"/>
        <v>#DIV/0!</v>
      </c>
      <c r="J124" s="35" t="e">
        <f t="shared" si="6"/>
        <v>#DIV/0!</v>
      </c>
    </row>
    <row r="125" spans="2:10">
      <c r="B125" t="s">
        <v>373</v>
      </c>
      <c r="C125">
        <v>7602</v>
      </c>
      <c r="D125">
        <v>79640</v>
      </c>
      <c r="E125">
        <v>1720</v>
      </c>
      <c r="G125">
        <v>47850</v>
      </c>
      <c r="H125" s="33">
        <f t="shared" si="4"/>
        <v>4.4359148455065114E-4</v>
      </c>
      <c r="I125" s="35" t="e">
        <f t="shared" si="5"/>
        <v>#DIV/0!</v>
      </c>
      <c r="J125" s="35">
        <f t="shared" si="6"/>
        <v>0.58393924437533196</v>
      </c>
    </row>
    <row r="126" spans="2:10">
      <c r="B126" t="s">
        <v>365</v>
      </c>
      <c r="C126">
        <v>12700</v>
      </c>
      <c r="D126">
        <v>74343</v>
      </c>
      <c r="E126">
        <v>40950</v>
      </c>
      <c r="H126" s="33">
        <f t="shared" si="4"/>
        <v>0</v>
      </c>
      <c r="I126" s="35" t="e">
        <f t="shared" si="5"/>
        <v>#DIV/0!</v>
      </c>
      <c r="J126" s="35">
        <f t="shared" si="6"/>
        <v>-1</v>
      </c>
    </row>
    <row r="127" spans="2:10">
      <c r="B127" t="s">
        <v>314</v>
      </c>
      <c r="C127">
        <v>125137</v>
      </c>
      <c r="H127" s="33">
        <f t="shared" si="4"/>
        <v>0</v>
      </c>
      <c r="I127" s="35" t="e">
        <f t="shared" si="5"/>
        <v>#DIV/0!</v>
      </c>
      <c r="J127" s="35">
        <f t="shared" si="6"/>
        <v>-1</v>
      </c>
    </row>
    <row r="128" spans="2:10">
      <c r="B128" t="s">
        <v>316</v>
      </c>
      <c r="C128">
        <v>121500</v>
      </c>
      <c r="H128" s="33">
        <f t="shared" si="4"/>
        <v>0</v>
      </c>
      <c r="I128" s="35" t="e">
        <f t="shared" si="5"/>
        <v>#DIV/0!</v>
      </c>
      <c r="J128" s="35">
        <f t="shared" si="6"/>
        <v>-1</v>
      </c>
    </row>
    <row r="129" spans="2:10">
      <c r="B129" t="s">
        <v>318</v>
      </c>
      <c r="C129">
        <v>114215</v>
      </c>
      <c r="H129" s="33">
        <f t="shared" si="4"/>
        <v>0</v>
      </c>
      <c r="I129" s="35" t="e">
        <f t="shared" si="5"/>
        <v>#DIV/0!</v>
      </c>
      <c r="J129" s="35">
        <f t="shared" si="6"/>
        <v>-1</v>
      </c>
    </row>
    <row r="130" spans="2:10">
      <c r="B130" t="s">
        <v>349</v>
      </c>
      <c r="C130">
        <v>27642</v>
      </c>
      <c r="D130">
        <v>32141</v>
      </c>
      <c r="E130">
        <v>31081</v>
      </c>
      <c r="F130">
        <v>22791</v>
      </c>
      <c r="H130" s="33">
        <f t="shared" si="4"/>
        <v>0</v>
      </c>
      <c r="I130" s="35">
        <f t="shared" si="5"/>
        <v>-1</v>
      </c>
      <c r="J130" s="35">
        <f t="shared" si="6"/>
        <v>-1</v>
      </c>
    </row>
    <row r="131" spans="2:10">
      <c r="B131" t="s">
        <v>598</v>
      </c>
      <c r="D131">
        <v>112883</v>
      </c>
      <c r="H131" s="33">
        <f t="shared" si="4"/>
        <v>0</v>
      </c>
      <c r="I131" s="35" t="e">
        <f t="shared" si="5"/>
        <v>#DIV/0!</v>
      </c>
      <c r="J131" s="35" t="e">
        <f t="shared" si="6"/>
        <v>#DIV/0!</v>
      </c>
    </row>
    <row r="132" spans="2:10">
      <c r="B132" t="s">
        <v>449</v>
      </c>
      <c r="D132">
        <v>112130</v>
      </c>
      <c r="H132" s="33">
        <f t="shared" si="4"/>
        <v>0</v>
      </c>
      <c r="I132" s="35" t="e">
        <f t="shared" si="5"/>
        <v>#DIV/0!</v>
      </c>
      <c r="J132" s="35" t="e">
        <f t="shared" si="6"/>
        <v>#DIV/0!</v>
      </c>
    </row>
    <row r="133" spans="2:10">
      <c r="B133" t="s">
        <v>368</v>
      </c>
      <c r="C133">
        <v>10743</v>
      </c>
      <c r="D133">
        <v>27862</v>
      </c>
      <c r="E133">
        <v>23909</v>
      </c>
      <c r="F133">
        <v>22538.22</v>
      </c>
      <c r="G133">
        <v>25810.160000000003</v>
      </c>
      <c r="H133" s="33">
        <f t="shared" ref="H133:H196" si="7">G133/$G$3</f>
        <v>2.3927204160689312E-4</v>
      </c>
      <c r="I133" s="35">
        <f t="shared" ref="I133:I196" si="8">(G133/F133)-1</f>
        <v>0.14517295509583295</v>
      </c>
      <c r="J133" s="35">
        <f t="shared" ref="J133:J196" si="9">((G133/C133)^(1/4))-1</f>
        <v>0.24499119586044382</v>
      </c>
    </row>
    <row r="134" spans="2:10">
      <c r="B134" t="s">
        <v>376</v>
      </c>
      <c r="C134">
        <v>6613</v>
      </c>
      <c r="D134">
        <v>9504</v>
      </c>
      <c r="E134">
        <v>38079</v>
      </c>
      <c r="F134">
        <v>31859.260000000002</v>
      </c>
      <c r="G134">
        <v>24266</v>
      </c>
      <c r="H134" s="33">
        <f t="shared" si="7"/>
        <v>2.2495696894683597E-4</v>
      </c>
      <c r="I134" s="35">
        <f t="shared" si="8"/>
        <v>-0.23833761361688888</v>
      </c>
      <c r="J134" s="35">
        <f t="shared" si="9"/>
        <v>0.38404406593121942</v>
      </c>
    </row>
    <row r="135" spans="2:10">
      <c r="B135" t="s">
        <v>340</v>
      </c>
      <c r="C135">
        <v>38120</v>
      </c>
      <c r="D135">
        <v>66634</v>
      </c>
      <c r="H135" s="33">
        <f t="shared" si="7"/>
        <v>0</v>
      </c>
      <c r="I135" s="35" t="e">
        <f t="shared" si="8"/>
        <v>#DIV/0!</v>
      </c>
      <c r="J135" s="35">
        <f t="shared" si="9"/>
        <v>-1</v>
      </c>
    </row>
    <row r="136" spans="2:10">
      <c r="B136" t="s">
        <v>577</v>
      </c>
      <c r="E136">
        <v>25800</v>
      </c>
      <c r="F136">
        <v>57020</v>
      </c>
      <c r="G136">
        <v>21860</v>
      </c>
      <c r="H136" s="33">
        <f t="shared" si="7"/>
        <v>2.0265224351676559E-4</v>
      </c>
      <c r="I136" s="35">
        <f t="shared" si="8"/>
        <v>-0.61662574535250791</v>
      </c>
      <c r="J136" s="35" t="e">
        <f t="shared" si="9"/>
        <v>#DIV/0!</v>
      </c>
    </row>
    <row r="137" spans="2:10">
      <c r="B137" t="s">
        <v>321</v>
      </c>
      <c r="C137">
        <v>100225</v>
      </c>
      <c r="H137" s="33">
        <f t="shared" si="7"/>
        <v>0</v>
      </c>
      <c r="I137" s="35" t="e">
        <f t="shared" si="8"/>
        <v>#DIV/0!</v>
      </c>
      <c r="J137" s="35">
        <f t="shared" si="9"/>
        <v>-1</v>
      </c>
    </row>
    <row r="138" spans="2:10">
      <c r="B138" t="s">
        <v>552</v>
      </c>
      <c r="F138">
        <v>98780</v>
      </c>
      <c r="H138" s="33">
        <f t="shared" si="7"/>
        <v>0</v>
      </c>
      <c r="I138" s="35">
        <f t="shared" si="8"/>
        <v>-1</v>
      </c>
      <c r="J138" s="35" t="e">
        <f t="shared" si="9"/>
        <v>#DIV/0!</v>
      </c>
    </row>
    <row r="139" spans="2:10">
      <c r="B139" t="s">
        <v>322</v>
      </c>
      <c r="C139">
        <v>97500</v>
      </c>
      <c r="H139" s="33">
        <f t="shared" si="7"/>
        <v>0</v>
      </c>
      <c r="I139" s="35" t="e">
        <f t="shared" si="8"/>
        <v>#DIV/0!</v>
      </c>
      <c r="J139" s="35">
        <f t="shared" si="9"/>
        <v>-1</v>
      </c>
    </row>
    <row r="140" spans="2:10">
      <c r="B140" t="s">
        <v>331</v>
      </c>
      <c r="C140">
        <v>65732</v>
      </c>
      <c r="D140">
        <v>16920</v>
      </c>
      <c r="E140">
        <v>8803</v>
      </c>
      <c r="H140" s="33">
        <f t="shared" si="7"/>
        <v>0</v>
      </c>
      <c r="I140" s="35" t="e">
        <f t="shared" si="8"/>
        <v>#DIV/0!</v>
      </c>
      <c r="J140" s="35">
        <f t="shared" si="9"/>
        <v>-1</v>
      </c>
    </row>
    <row r="141" spans="2:10">
      <c r="B141" t="s">
        <v>324</v>
      </c>
      <c r="C141">
        <v>88400</v>
      </c>
      <c r="H141" s="33">
        <f t="shared" si="7"/>
        <v>0</v>
      </c>
      <c r="I141" s="35" t="e">
        <f t="shared" si="8"/>
        <v>#DIV/0!</v>
      </c>
      <c r="J141" s="35">
        <f t="shared" si="9"/>
        <v>-1</v>
      </c>
    </row>
    <row r="142" spans="2:10">
      <c r="B142" t="s">
        <v>326</v>
      </c>
      <c r="C142">
        <v>87539</v>
      </c>
      <c r="H142" s="33">
        <f t="shared" si="7"/>
        <v>0</v>
      </c>
      <c r="I142" s="35" t="e">
        <f t="shared" si="8"/>
        <v>#DIV/0!</v>
      </c>
      <c r="J142" s="35">
        <f t="shared" si="9"/>
        <v>-1</v>
      </c>
    </row>
    <row r="143" spans="2:10">
      <c r="B143" t="s">
        <v>561</v>
      </c>
      <c r="F143">
        <v>72519.55</v>
      </c>
      <c r="G143">
        <v>14297.19</v>
      </c>
      <c r="H143" s="33">
        <f t="shared" si="7"/>
        <v>1.3254152010455013E-4</v>
      </c>
      <c r="I143" s="35">
        <f t="shared" si="8"/>
        <v>-0.80285054168151904</v>
      </c>
      <c r="J143" s="35" t="e">
        <f t="shared" si="9"/>
        <v>#DIV/0!</v>
      </c>
    </row>
    <row r="144" spans="2:10">
      <c r="B144" t="s">
        <v>369</v>
      </c>
      <c r="C144">
        <v>9803</v>
      </c>
      <c r="D144">
        <v>39997</v>
      </c>
      <c r="E144">
        <v>26649</v>
      </c>
      <c r="G144">
        <v>7860</v>
      </c>
      <c r="H144" s="33">
        <f t="shared" si="7"/>
        <v>7.2865811255342066E-5</v>
      </c>
      <c r="I144" s="35" t="e">
        <f t="shared" si="8"/>
        <v>#DIV/0!</v>
      </c>
      <c r="J144" s="35">
        <f t="shared" si="9"/>
        <v>-5.3728226044122085E-2</v>
      </c>
    </row>
    <row r="145" spans="2:10">
      <c r="B145" t="s">
        <v>460</v>
      </c>
      <c r="G145">
        <v>83920</v>
      </c>
      <c r="H145" s="33">
        <f t="shared" si="7"/>
        <v>7.7797695681276161E-4</v>
      </c>
      <c r="I145" s="35" t="e">
        <f t="shared" si="8"/>
        <v>#DIV/0!</v>
      </c>
      <c r="J145" s="35" t="e">
        <f t="shared" si="9"/>
        <v>#DIV/0!</v>
      </c>
    </row>
    <row r="146" spans="2:10">
      <c r="B146" t="s">
        <v>358</v>
      </c>
      <c r="C146">
        <v>17365</v>
      </c>
      <c r="D146">
        <v>66170</v>
      </c>
      <c r="H146" s="33">
        <f t="shared" si="7"/>
        <v>0</v>
      </c>
      <c r="I146" s="35" t="e">
        <f t="shared" si="8"/>
        <v>#DIV/0!</v>
      </c>
      <c r="J146" s="35">
        <f t="shared" si="9"/>
        <v>-1</v>
      </c>
    </row>
    <row r="147" spans="2:10">
      <c r="B147" t="s">
        <v>327</v>
      </c>
      <c r="C147">
        <v>83258</v>
      </c>
      <c r="H147" s="33">
        <f t="shared" si="7"/>
        <v>0</v>
      </c>
      <c r="I147" s="35" t="e">
        <f t="shared" si="8"/>
        <v>#DIV/0!</v>
      </c>
      <c r="J147" s="35">
        <f t="shared" si="9"/>
        <v>-1</v>
      </c>
    </row>
    <row r="148" spans="2:10">
      <c r="B148" t="s">
        <v>359</v>
      </c>
      <c r="C148">
        <v>16140</v>
      </c>
      <c r="D148">
        <v>52200</v>
      </c>
      <c r="E148">
        <v>11280</v>
      </c>
      <c r="F148">
        <v>2100</v>
      </c>
      <c r="H148" s="33">
        <f t="shared" si="7"/>
        <v>0</v>
      </c>
      <c r="I148" s="35">
        <f t="shared" si="8"/>
        <v>-1</v>
      </c>
      <c r="J148" s="35">
        <f t="shared" si="9"/>
        <v>-1</v>
      </c>
    </row>
    <row r="149" spans="2:10">
      <c r="B149" t="s">
        <v>531</v>
      </c>
      <c r="F149">
        <v>41559</v>
      </c>
      <c r="G149">
        <v>39269</v>
      </c>
      <c r="H149" s="33">
        <f t="shared" si="7"/>
        <v>3.6404167203384573E-4</v>
      </c>
      <c r="I149" s="35">
        <f t="shared" si="8"/>
        <v>-5.5102384561707463E-2</v>
      </c>
      <c r="J149" s="35" t="e">
        <f t="shared" si="9"/>
        <v>#DIV/0!</v>
      </c>
    </row>
    <row r="150" spans="2:10">
      <c r="B150" t="s">
        <v>590</v>
      </c>
      <c r="E150">
        <v>18400</v>
      </c>
      <c r="F150">
        <v>55200</v>
      </c>
      <c r="H150" s="33">
        <f t="shared" si="7"/>
        <v>0</v>
      </c>
      <c r="I150" s="35">
        <f t="shared" si="8"/>
        <v>-1</v>
      </c>
      <c r="J150" s="35" t="e">
        <f t="shared" si="9"/>
        <v>#DIV/0!</v>
      </c>
    </row>
    <row r="151" spans="2:10">
      <c r="B151" t="s">
        <v>554</v>
      </c>
      <c r="D151">
        <v>71750</v>
      </c>
      <c r="H151" s="33">
        <f t="shared" si="7"/>
        <v>0</v>
      </c>
      <c r="I151" s="35" t="e">
        <f t="shared" si="8"/>
        <v>#DIV/0!</v>
      </c>
      <c r="J151" s="35" t="e">
        <f t="shared" si="9"/>
        <v>#DIV/0!</v>
      </c>
    </row>
    <row r="152" spans="2:10">
      <c r="B152" t="s">
        <v>462</v>
      </c>
      <c r="G152">
        <v>68549.460000000006</v>
      </c>
      <c r="H152" s="33">
        <f t="shared" si="7"/>
        <v>6.3548498906051162E-4</v>
      </c>
      <c r="I152" s="35" t="e">
        <f t="shared" si="8"/>
        <v>#DIV/0!</v>
      </c>
      <c r="J152" s="35" t="e">
        <f t="shared" si="9"/>
        <v>#DIV/0!</v>
      </c>
    </row>
    <row r="153" spans="2:10">
      <c r="B153" t="s">
        <v>545</v>
      </c>
      <c r="G153">
        <v>67559</v>
      </c>
      <c r="H153" s="33">
        <f t="shared" si="7"/>
        <v>6.2630296979639371E-4</v>
      </c>
      <c r="I153" s="35" t="e">
        <f t="shared" si="8"/>
        <v>#DIV/0!</v>
      </c>
      <c r="J153" s="35" t="e">
        <f t="shared" si="9"/>
        <v>#DIV/0!</v>
      </c>
    </row>
    <row r="154" spans="2:10">
      <c r="B154" t="s">
        <v>484</v>
      </c>
      <c r="D154">
        <v>65755</v>
      </c>
      <c r="H154" s="33">
        <f t="shared" si="7"/>
        <v>0</v>
      </c>
      <c r="I154" s="35" t="e">
        <f t="shared" si="8"/>
        <v>#DIV/0!</v>
      </c>
      <c r="J154" s="35" t="e">
        <f t="shared" si="9"/>
        <v>#DIV/0!</v>
      </c>
    </row>
    <row r="155" spans="2:10">
      <c r="B155" t="s">
        <v>357</v>
      </c>
      <c r="C155">
        <v>17523</v>
      </c>
      <c r="D155">
        <v>22075</v>
      </c>
      <c r="E155">
        <v>9500</v>
      </c>
      <c r="F155">
        <v>6000</v>
      </c>
      <c r="G155">
        <v>10011</v>
      </c>
      <c r="H155" s="33">
        <f t="shared" si="7"/>
        <v>9.2806569526365066E-5</v>
      </c>
      <c r="I155" s="35">
        <f t="shared" si="8"/>
        <v>0.66850000000000009</v>
      </c>
      <c r="J155" s="35">
        <f t="shared" si="9"/>
        <v>-0.13060477594431097</v>
      </c>
    </row>
    <row r="156" spans="2:10">
      <c r="B156" t="s">
        <v>345</v>
      </c>
      <c r="C156">
        <v>35414</v>
      </c>
      <c r="D156">
        <v>29000</v>
      </c>
      <c r="H156" s="33">
        <f t="shared" si="7"/>
        <v>0</v>
      </c>
      <c r="I156" s="35" t="e">
        <f t="shared" si="8"/>
        <v>#DIV/0!</v>
      </c>
      <c r="J156" s="35">
        <f t="shared" si="9"/>
        <v>-1</v>
      </c>
    </row>
    <row r="157" spans="2:10">
      <c r="B157" t="s">
        <v>333</v>
      </c>
      <c r="C157">
        <v>58860</v>
      </c>
      <c r="D157">
        <v>5479</v>
      </c>
      <c r="H157" s="33">
        <f t="shared" si="7"/>
        <v>0</v>
      </c>
      <c r="I157" s="35" t="e">
        <f t="shared" si="8"/>
        <v>#DIV/0!</v>
      </c>
      <c r="J157" s="35">
        <f t="shared" si="9"/>
        <v>-1</v>
      </c>
    </row>
    <row r="158" spans="2:10">
      <c r="B158" t="s">
        <v>332</v>
      </c>
      <c r="C158">
        <v>63920</v>
      </c>
      <c r="H158" s="33">
        <f t="shared" si="7"/>
        <v>0</v>
      </c>
      <c r="I158" s="35" t="e">
        <f t="shared" si="8"/>
        <v>#DIV/0!</v>
      </c>
      <c r="J158" s="35">
        <f t="shared" si="9"/>
        <v>-1</v>
      </c>
    </row>
    <row r="159" spans="2:10">
      <c r="B159" t="s">
        <v>537</v>
      </c>
      <c r="D159">
        <v>2851</v>
      </c>
      <c r="E159">
        <v>60839</v>
      </c>
      <c r="H159" s="33">
        <f t="shared" si="7"/>
        <v>0</v>
      </c>
      <c r="I159" s="35" t="e">
        <f t="shared" si="8"/>
        <v>#DIV/0!</v>
      </c>
      <c r="J159" s="35" t="e">
        <f t="shared" si="9"/>
        <v>#DIV/0!</v>
      </c>
    </row>
    <row r="160" spans="2:10">
      <c r="B160" t="s">
        <v>375</v>
      </c>
      <c r="C160">
        <v>6810</v>
      </c>
      <c r="D160">
        <v>25590</v>
      </c>
      <c r="E160">
        <v>13476</v>
      </c>
      <c r="F160">
        <v>17042</v>
      </c>
      <c r="H160" s="33">
        <f t="shared" si="7"/>
        <v>0</v>
      </c>
      <c r="I160" s="35">
        <f t="shared" si="8"/>
        <v>-1</v>
      </c>
      <c r="J160" s="35">
        <f t="shared" si="9"/>
        <v>-1</v>
      </c>
    </row>
    <row r="161" spans="2:10">
      <c r="B161" t="s">
        <v>524</v>
      </c>
      <c r="D161">
        <v>20846</v>
      </c>
      <c r="E161">
        <v>9936</v>
      </c>
      <c r="F161">
        <v>17651.099999999999</v>
      </c>
      <c r="G161">
        <v>12367.5</v>
      </c>
      <c r="H161" s="33">
        <f t="shared" si="7"/>
        <v>1.1465240721379682E-4</v>
      </c>
      <c r="I161" s="35">
        <f t="shared" si="8"/>
        <v>-0.29933545218145041</v>
      </c>
      <c r="J161" s="35" t="e">
        <f t="shared" si="9"/>
        <v>#DIV/0!</v>
      </c>
    </row>
    <row r="162" spans="2:10">
      <c r="B162" t="s">
        <v>492</v>
      </c>
      <c r="F162">
        <v>36086.060000000005</v>
      </c>
      <c r="G162">
        <v>24319.809999999998</v>
      </c>
      <c r="H162" s="33">
        <f t="shared" si="7"/>
        <v>2.2545581236969216E-4</v>
      </c>
      <c r="I162" s="35">
        <f t="shared" si="8"/>
        <v>-0.32606081129389042</v>
      </c>
      <c r="J162" s="35" t="e">
        <f t="shared" si="9"/>
        <v>#DIV/0!</v>
      </c>
    </row>
    <row r="163" spans="2:10">
      <c r="B163" t="s">
        <v>435</v>
      </c>
      <c r="D163">
        <v>35200</v>
      </c>
      <c r="E163">
        <v>22333</v>
      </c>
      <c r="F163">
        <v>171</v>
      </c>
      <c r="G163">
        <v>1325</v>
      </c>
      <c r="H163" s="33">
        <f t="shared" si="7"/>
        <v>1.2283358767599012E-5</v>
      </c>
      <c r="I163" s="35">
        <f t="shared" si="8"/>
        <v>6.7485380116959064</v>
      </c>
      <c r="J163" s="35" t="e">
        <f t="shared" si="9"/>
        <v>#DIV/0!</v>
      </c>
    </row>
    <row r="164" spans="2:10">
      <c r="B164" t="s">
        <v>366</v>
      </c>
      <c r="C164">
        <v>11410</v>
      </c>
      <c r="D164">
        <v>46473</v>
      </c>
      <c r="H164" s="33">
        <f t="shared" si="7"/>
        <v>0</v>
      </c>
      <c r="I164" s="35" t="e">
        <f t="shared" si="8"/>
        <v>#DIV/0!</v>
      </c>
      <c r="J164" s="35">
        <f t="shared" si="9"/>
        <v>-1</v>
      </c>
    </row>
    <row r="165" spans="2:10">
      <c r="B165" t="s">
        <v>436</v>
      </c>
      <c r="D165">
        <v>11646</v>
      </c>
      <c r="E165">
        <v>28039</v>
      </c>
      <c r="F165">
        <v>18059</v>
      </c>
      <c r="H165" s="33">
        <f t="shared" si="7"/>
        <v>0</v>
      </c>
      <c r="I165" s="35">
        <f t="shared" si="8"/>
        <v>-1</v>
      </c>
      <c r="J165" s="35" t="e">
        <f t="shared" si="9"/>
        <v>#DIV/0!</v>
      </c>
    </row>
    <row r="166" spans="2:10">
      <c r="B166" t="s">
        <v>483</v>
      </c>
      <c r="D166">
        <v>56156</v>
      </c>
      <c r="H166" s="33">
        <f t="shared" si="7"/>
        <v>0</v>
      </c>
      <c r="I166" s="35" t="e">
        <f t="shared" si="8"/>
        <v>#DIV/0!</v>
      </c>
      <c r="J166" s="35" t="e">
        <f t="shared" si="9"/>
        <v>#DIV/0!</v>
      </c>
    </row>
    <row r="167" spans="2:10">
      <c r="B167" t="s">
        <v>491</v>
      </c>
      <c r="F167">
        <v>55000</v>
      </c>
      <c r="H167" s="33">
        <f t="shared" si="7"/>
        <v>0</v>
      </c>
      <c r="I167" s="35">
        <f t="shared" si="8"/>
        <v>-1</v>
      </c>
      <c r="J167" s="35" t="e">
        <f t="shared" si="9"/>
        <v>#DIV/0!</v>
      </c>
    </row>
    <row r="168" spans="2:10">
      <c r="B168" t="s">
        <v>346</v>
      </c>
      <c r="C168">
        <v>34900</v>
      </c>
      <c r="D168">
        <v>2275</v>
      </c>
      <c r="E168">
        <v>17300</v>
      </c>
      <c r="H168" s="33">
        <f t="shared" si="7"/>
        <v>0</v>
      </c>
      <c r="I168" s="35" t="e">
        <f t="shared" si="8"/>
        <v>#DIV/0!</v>
      </c>
      <c r="J168" s="35">
        <f t="shared" si="9"/>
        <v>-1</v>
      </c>
    </row>
    <row r="169" spans="2:10">
      <c r="B169" t="s">
        <v>362</v>
      </c>
      <c r="C169">
        <v>14268</v>
      </c>
      <c r="D169">
        <v>18720</v>
      </c>
      <c r="E169">
        <v>18109</v>
      </c>
      <c r="F169">
        <v>2580.6999999999998</v>
      </c>
      <c r="H169" s="33">
        <f t="shared" si="7"/>
        <v>0</v>
      </c>
      <c r="I169" s="35">
        <f t="shared" si="8"/>
        <v>-1</v>
      </c>
      <c r="J169" s="35">
        <f t="shared" si="9"/>
        <v>-1</v>
      </c>
    </row>
    <row r="170" spans="2:10">
      <c r="B170" t="s">
        <v>440</v>
      </c>
      <c r="G170">
        <v>52364</v>
      </c>
      <c r="H170" s="33">
        <f t="shared" si="7"/>
        <v>4.8543833849551296E-4</v>
      </c>
      <c r="I170" s="35" t="e">
        <f t="shared" si="8"/>
        <v>#DIV/0!</v>
      </c>
      <c r="J170" s="35" t="e">
        <f t="shared" si="9"/>
        <v>#DIV/0!</v>
      </c>
    </row>
    <row r="171" spans="2:10">
      <c r="B171" t="s">
        <v>343</v>
      </c>
      <c r="C171">
        <v>36736</v>
      </c>
      <c r="D171">
        <v>14970</v>
      </c>
      <c r="H171" s="33">
        <f t="shared" si="7"/>
        <v>0</v>
      </c>
      <c r="I171" s="35" t="e">
        <f t="shared" si="8"/>
        <v>#DIV/0!</v>
      </c>
      <c r="J171" s="35">
        <f t="shared" si="9"/>
        <v>-1</v>
      </c>
    </row>
    <row r="172" spans="2:10">
      <c r="B172" t="s">
        <v>380</v>
      </c>
      <c r="C172">
        <v>3973</v>
      </c>
      <c r="D172">
        <v>12046</v>
      </c>
      <c r="E172">
        <v>21022</v>
      </c>
      <c r="F172">
        <v>3183.59</v>
      </c>
      <c r="G172">
        <v>11118.060000000001</v>
      </c>
      <c r="H172" s="33">
        <f t="shared" si="7"/>
        <v>1.0306952436203162E-4</v>
      </c>
      <c r="I172" s="35">
        <f t="shared" si="8"/>
        <v>2.4923027148596399</v>
      </c>
      <c r="J172" s="35">
        <f t="shared" si="9"/>
        <v>0.2933843810660437</v>
      </c>
    </row>
    <row r="173" spans="2:10">
      <c r="B173" t="s">
        <v>487</v>
      </c>
      <c r="F173">
        <v>49400</v>
      </c>
      <c r="H173" s="33">
        <f t="shared" si="7"/>
        <v>0</v>
      </c>
      <c r="I173" s="35">
        <f t="shared" si="8"/>
        <v>-1</v>
      </c>
      <c r="J173" s="35" t="e">
        <f t="shared" si="9"/>
        <v>#DIV/0!</v>
      </c>
    </row>
    <row r="174" spans="2:10">
      <c r="B174" t="s">
        <v>410</v>
      </c>
      <c r="C174">
        <v>34</v>
      </c>
      <c r="D174">
        <v>32498</v>
      </c>
      <c r="E174">
        <v>16574</v>
      </c>
      <c r="H174" s="33">
        <f t="shared" si="7"/>
        <v>0</v>
      </c>
      <c r="I174" s="35" t="e">
        <f t="shared" si="8"/>
        <v>#DIV/0!</v>
      </c>
      <c r="J174" s="35">
        <f t="shared" si="9"/>
        <v>-1</v>
      </c>
    </row>
    <row r="175" spans="2:10">
      <c r="B175" t="s">
        <v>569</v>
      </c>
      <c r="D175">
        <v>47777</v>
      </c>
      <c r="H175" s="33">
        <f t="shared" si="7"/>
        <v>0</v>
      </c>
      <c r="I175" s="35" t="e">
        <f t="shared" si="8"/>
        <v>#DIV/0!</v>
      </c>
      <c r="J175" s="35" t="e">
        <f t="shared" si="9"/>
        <v>#DIV/0!</v>
      </c>
    </row>
    <row r="176" spans="2:10">
      <c r="B176" t="s">
        <v>490</v>
      </c>
      <c r="F176">
        <v>47300</v>
      </c>
      <c r="H176" s="33">
        <f t="shared" si="7"/>
        <v>0</v>
      </c>
      <c r="I176" s="35">
        <f t="shared" si="8"/>
        <v>-1</v>
      </c>
      <c r="J176" s="35" t="e">
        <f t="shared" si="9"/>
        <v>#DIV/0!</v>
      </c>
    </row>
    <row r="177" spans="2:10">
      <c r="B177" t="s">
        <v>451</v>
      </c>
      <c r="E177">
        <v>46560</v>
      </c>
      <c r="H177" s="33">
        <f t="shared" si="7"/>
        <v>0</v>
      </c>
      <c r="I177" s="35" t="e">
        <f t="shared" si="8"/>
        <v>#DIV/0!</v>
      </c>
      <c r="J177" s="35" t="e">
        <f t="shared" si="9"/>
        <v>#DIV/0!</v>
      </c>
    </row>
    <row r="178" spans="2:10">
      <c r="B178" t="s">
        <v>339</v>
      </c>
      <c r="C178">
        <v>45576</v>
      </c>
      <c r="H178" s="33">
        <f t="shared" si="7"/>
        <v>0</v>
      </c>
      <c r="I178" s="35" t="e">
        <f t="shared" si="8"/>
        <v>#DIV/0!</v>
      </c>
      <c r="J178" s="35">
        <f t="shared" si="9"/>
        <v>-1</v>
      </c>
    </row>
    <row r="179" spans="2:10">
      <c r="B179" t="s">
        <v>348</v>
      </c>
      <c r="C179">
        <v>30650</v>
      </c>
      <c r="D179">
        <v>14750</v>
      </c>
      <c r="H179" s="33">
        <f t="shared" si="7"/>
        <v>0</v>
      </c>
      <c r="I179" s="35" t="e">
        <f t="shared" si="8"/>
        <v>#DIV/0!</v>
      </c>
      <c r="J179" s="35">
        <f t="shared" si="9"/>
        <v>-1</v>
      </c>
    </row>
    <row r="180" spans="2:10">
      <c r="B180" t="s">
        <v>546</v>
      </c>
      <c r="G180">
        <v>45155.85</v>
      </c>
      <c r="H180" s="33">
        <f t="shared" si="7"/>
        <v>4.1861547623085727E-4</v>
      </c>
      <c r="I180" s="35" t="e">
        <f t="shared" si="8"/>
        <v>#DIV/0!</v>
      </c>
      <c r="J180" s="35" t="e">
        <f t="shared" si="9"/>
        <v>#DIV/0!</v>
      </c>
    </row>
    <row r="181" spans="2:10">
      <c r="B181" t="s">
        <v>457</v>
      </c>
      <c r="F181">
        <v>43476</v>
      </c>
      <c r="G181">
        <v>800</v>
      </c>
      <c r="H181" s="33">
        <f t="shared" si="7"/>
        <v>7.4163675577956305E-6</v>
      </c>
      <c r="I181" s="35">
        <f t="shared" si="8"/>
        <v>-0.98159904315024382</v>
      </c>
      <c r="J181" s="35" t="e">
        <f t="shared" si="9"/>
        <v>#DIV/0!</v>
      </c>
    </row>
    <row r="182" spans="2:10">
      <c r="B182" t="s">
        <v>448</v>
      </c>
      <c r="D182">
        <v>3600</v>
      </c>
      <c r="E182">
        <v>40422</v>
      </c>
      <c r="H182" s="33">
        <f t="shared" si="7"/>
        <v>0</v>
      </c>
      <c r="I182" s="35" t="e">
        <f t="shared" si="8"/>
        <v>#DIV/0!</v>
      </c>
      <c r="J182" s="35" t="e">
        <f t="shared" si="9"/>
        <v>#DIV/0!</v>
      </c>
    </row>
    <row r="183" spans="2:10">
      <c r="B183" t="s">
        <v>439</v>
      </c>
      <c r="E183">
        <v>42640</v>
      </c>
      <c r="H183" s="33">
        <f t="shared" si="7"/>
        <v>0</v>
      </c>
      <c r="I183" s="35" t="e">
        <f t="shared" si="8"/>
        <v>#DIV/0!</v>
      </c>
      <c r="J183" s="35" t="e">
        <f t="shared" si="9"/>
        <v>#DIV/0!</v>
      </c>
    </row>
    <row r="184" spans="2:10">
      <c r="B184" t="s">
        <v>572</v>
      </c>
      <c r="G184">
        <v>41269.550000000003</v>
      </c>
      <c r="H184" s="33">
        <f t="shared" si="7"/>
        <v>3.8258768968103086E-4</v>
      </c>
      <c r="I184" s="35" t="e">
        <f t="shared" si="8"/>
        <v>#DIV/0!</v>
      </c>
      <c r="J184" s="35" t="e">
        <f t="shared" si="9"/>
        <v>#DIV/0!</v>
      </c>
    </row>
    <row r="185" spans="2:10">
      <c r="B185" t="s">
        <v>461</v>
      </c>
      <c r="F185">
        <v>40855</v>
      </c>
      <c r="H185" s="33">
        <f t="shared" si="7"/>
        <v>0</v>
      </c>
      <c r="I185" s="35">
        <f t="shared" si="8"/>
        <v>-1</v>
      </c>
      <c r="J185" s="35" t="e">
        <f t="shared" si="9"/>
        <v>#DIV/0!</v>
      </c>
    </row>
    <row r="186" spans="2:10">
      <c r="B186" t="s">
        <v>425</v>
      </c>
      <c r="F186">
        <v>38000</v>
      </c>
      <c r="H186" s="33">
        <f t="shared" si="7"/>
        <v>0</v>
      </c>
      <c r="I186" s="35">
        <f t="shared" si="8"/>
        <v>-1</v>
      </c>
      <c r="J186" s="35" t="e">
        <f t="shared" si="9"/>
        <v>#DIV/0!</v>
      </c>
    </row>
    <row r="187" spans="2:10">
      <c r="B187" t="s">
        <v>342</v>
      </c>
      <c r="C187">
        <v>36800</v>
      </c>
      <c r="H187" s="33">
        <f t="shared" si="7"/>
        <v>0</v>
      </c>
      <c r="I187" s="35" t="e">
        <f t="shared" si="8"/>
        <v>#DIV/0!</v>
      </c>
      <c r="J187" s="35">
        <f t="shared" si="9"/>
        <v>-1</v>
      </c>
    </row>
    <row r="188" spans="2:10">
      <c r="B188" t="s">
        <v>344</v>
      </c>
      <c r="C188">
        <v>36319</v>
      </c>
      <c r="H188" s="33">
        <f t="shared" si="7"/>
        <v>0</v>
      </c>
      <c r="I188" s="35" t="e">
        <f t="shared" si="8"/>
        <v>#DIV/0!</v>
      </c>
      <c r="J188" s="35">
        <f t="shared" si="9"/>
        <v>-1</v>
      </c>
    </row>
    <row r="189" spans="2:10">
      <c r="B189" t="s">
        <v>496</v>
      </c>
      <c r="F189">
        <v>33211.199999999997</v>
      </c>
      <c r="H189" s="33">
        <f t="shared" si="7"/>
        <v>0</v>
      </c>
      <c r="I189" s="35">
        <f t="shared" si="8"/>
        <v>-1</v>
      </c>
      <c r="J189" s="35" t="e">
        <f t="shared" si="9"/>
        <v>#DIV/0!</v>
      </c>
    </row>
    <row r="190" spans="2:10">
      <c r="B190" t="s">
        <v>372</v>
      </c>
      <c r="C190">
        <v>8160</v>
      </c>
      <c r="D190">
        <v>10584</v>
      </c>
      <c r="E190">
        <v>6892</v>
      </c>
      <c r="F190">
        <v>3307.77</v>
      </c>
      <c r="G190">
        <v>3931.9800000000005</v>
      </c>
      <c r="H190" s="33">
        <f t="shared" si="7"/>
        <v>3.6451261137376582E-5</v>
      </c>
      <c r="I190" s="35">
        <f t="shared" si="8"/>
        <v>0.18871021866695714</v>
      </c>
      <c r="J190" s="35">
        <f t="shared" si="9"/>
        <v>-0.16683640479399209</v>
      </c>
    </row>
    <row r="191" spans="2:10">
      <c r="B191" t="s">
        <v>469</v>
      </c>
      <c r="D191">
        <v>4335</v>
      </c>
      <c r="E191">
        <v>11209</v>
      </c>
      <c r="F191">
        <v>8886.3000000000011</v>
      </c>
      <c r="G191">
        <v>7485</v>
      </c>
      <c r="H191" s="33">
        <f t="shared" si="7"/>
        <v>6.9389388962625369E-5</v>
      </c>
      <c r="I191" s="35">
        <f t="shared" si="8"/>
        <v>-0.15769217784679801</v>
      </c>
      <c r="J191" s="35" t="e">
        <f t="shared" si="9"/>
        <v>#DIV/0!</v>
      </c>
    </row>
    <row r="192" spans="2:10">
      <c r="B192" t="s">
        <v>347</v>
      </c>
      <c r="C192">
        <v>30666</v>
      </c>
      <c r="H192" s="33">
        <f t="shared" si="7"/>
        <v>0</v>
      </c>
      <c r="I192" s="35" t="e">
        <f t="shared" si="8"/>
        <v>#DIV/0!</v>
      </c>
      <c r="J192" s="35">
        <f t="shared" si="9"/>
        <v>-1</v>
      </c>
    </row>
    <row r="193" spans="2:10">
      <c r="B193" t="s">
        <v>570</v>
      </c>
      <c r="E193">
        <v>30394</v>
      </c>
      <c r="H193" s="33">
        <f t="shared" si="7"/>
        <v>0</v>
      </c>
      <c r="I193" s="35" t="e">
        <f t="shared" si="8"/>
        <v>#DIV/0!</v>
      </c>
      <c r="J193" s="35" t="e">
        <f t="shared" si="9"/>
        <v>#DIV/0!</v>
      </c>
    </row>
    <row r="194" spans="2:10">
      <c r="B194" t="s">
        <v>374</v>
      </c>
      <c r="C194">
        <v>6998</v>
      </c>
      <c r="D194">
        <v>20668</v>
      </c>
      <c r="H194" s="33">
        <f t="shared" si="7"/>
        <v>0</v>
      </c>
      <c r="I194" s="35" t="e">
        <f t="shared" si="8"/>
        <v>#DIV/0!</v>
      </c>
      <c r="J194" s="35">
        <f t="shared" si="9"/>
        <v>-1</v>
      </c>
    </row>
    <row r="195" spans="2:10">
      <c r="B195" t="s">
        <v>387</v>
      </c>
      <c r="C195">
        <v>2800</v>
      </c>
      <c r="D195">
        <v>4816</v>
      </c>
      <c r="E195">
        <v>5208</v>
      </c>
      <c r="F195">
        <v>8904.23</v>
      </c>
      <c r="G195">
        <v>4760</v>
      </c>
      <c r="H195" s="33">
        <f t="shared" si="7"/>
        <v>4.4127386968883999E-5</v>
      </c>
      <c r="I195" s="35">
        <f t="shared" si="8"/>
        <v>-0.46542261374650018</v>
      </c>
      <c r="J195" s="35">
        <f t="shared" si="9"/>
        <v>0.14185834543542652</v>
      </c>
    </row>
    <row r="196" spans="2:10">
      <c r="B196" t="s">
        <v>428</v>
      </c>
      <c r="E196">
        <v>6341</v>
      </c>
      <c r="G196">
        <v>19615.629999999997</v>
      </c>
      <c r="H196" s="33">
        <f t="shared" si="7"/>
        <v>1.8184590244715336E-4</v>
      </c>
      <c r="I196" s="35" t="e">
        <f t="shared" si="8"/>
        <v>#DIV/0!</v>
      </c>
      <c r="J196" s="35" t="e">
        <f t="shared" si="9"/>
        <v>#DIV/0!</v>
      </c>
    </row>
    <row r="197" spans="2:10">
      <c r="B197" t="s">
        <v>351</v>
      </c>
      <c r="C197">
        <v>25130</v>
      </c>
      <c r="H197" s="33">
        <f t="shared" ref="H197:H260" si="10">G197/$G$3</f>
        <v>0</v>
      </c>
      <c r="I197" s="35" t="e">
        <f t="shared" ref="I197:I260" si="11">(G197/F197)-1</f>
        <v>#DIV/0!</v>
      </c>
      <c r="J197" s="35">
        <f t="shared" ref="J197:J260" si="12">((G197/C197)^(1/4))-1</f>
        <v>-1</v>
      </c>
    </row>
    <row r="198" spans="2:10">
      <c r="B198" t="s">
        <v>566</v>
      </c>
      <c r="E198">
        <v>24795</v>
      </c>
      <c r="H198" s="33">
        <f t="shared" si="10"/>
        <v>0</v>
      </c>
      <c r="I198" s="35" t="e">
        <f t="shared" si="11"/>
        <v>#DIV/0!</v>
      </c>
      <c r="J198" s="35" t="e">
        <f t="shared" si="12"/>
        <v>#DIV/0!</v>
      </c>
    </row>
    <row r="199" spans="2:10">
      <c r="B199" t="s">
        <v>525</v>
      </c>
      <c r="E199">
        <v>24600</v>
      </c>
      <c r="H199" s="33">
        <f t="shared" si="10"/>
        <v>0</v>
      </c>
      <c r="I199" s="35" t="e">
        <f t="shared" si="11"/>
        <v>#DIV/0!</v>
      </c>
      <c r="J199" s="35" t="e">
        <f t="shared" si="12"/>
        <v>#DIV/0!</v>
      </c>
    </row>
    <row r="200" spans="2:10">
      <c r="B200" t="s">
        <v>458</v>
      </c>
      <c r="F200">
        <v>12785.17</v>
      </c>
      <c r="G200">
        <v>11760</v>
      </c>
      <c r="H200" s="33">
        <f t="shared" si="10"/>
        <v>1.0902060309959576E-4</v>
      </c>
      <c r="I200" s="35">
        <f t="shared" si="11"/>
        <v>-8.0184307287271106E-2</v>
      </c>
      <c r="J200" s="35" t="e">
        <f t="shared" si="12"/>
        <v>#DIV/0!</v>
      </c>
    </row>
    <row r="201" spans="2:10">
      <c r="B201" t="s">
        <v>592</v>
      </c>
      <c r="D201">
        <v>23740</v>
      </c>
      <c r="H201" s="33">
        <f t="shared" si="10"/>
        <v>0</v>
      </c>
      <c r="I201" s="35" t="e">
        <f t="shared" si="11"/>
        <v>#DIV/0!</v>
      </c>
      <c r="J201" s="35" t="e">
        <f t="shared" si="12"/>
        <v>#DIV/0!</v>
      </c>
    </row>
    <row r="202" spans="2:10">
      <c r="B202" t="s">
        <v>352</v>
      </c>
      <c r="C202">
        <v>23650</v>
      </c>
      <c r="H202" s="33">
        <f t="shared" si="10"/>
        <v>0</v>
      </c>
      <c r="I202" s="35" t="e">
        <f t="shared" si="11"/>
        <v>#DIV/0!</v>
      </c>
      <c r="J202" s="35">
        <f t="shared" si="12"/>
        <v>-1</v>
      </c>
    </row>
    <row r="203" spans="2:10">
      <c r="B203" t="s">
        <v>559</v>
      </c>
      <c r="F203">
        <v>12097.5</v>
      </c>
      <c r="G203">
        <v>11039</v>
      </c>
      <c r="H203" s="33">
        <f t="shared" si="10"/>
        <v>1.0233660183813245E-4</v>
      </c>
      <c r="I203" s="35">
        <f t="shared" si="11"/>
        <v>-8.7497416821657348E-2</v>
      </c>
      <c r="J203" s="35" t="e">
        <f t="shared" si="12"/>
        <v>#DIV/0!</v>
      </c>
    </row>
    <row r="204" spans="2:10">
      <c r="B204" t="s">
        <v>446</v>
      </c>
      <c r="D204">
        <v>16940</v>
      </c>
      <c r="F204">
        <v>3700</v>
      </c>
      <c r="G204">
        <v>1991.4</v>
      </c>
      <c r="H204" s="33">
        <f t="shared" si="10"/>
        <v>1.8461192943242775E-5</v>
      </c>
      <c r="I204" s="35">
        <f t="shared" si="11"/>
        <v>-0.46178378378378371</v>
      </c>
      <c r="J204" s="35" t="e">
        <f t="shared" si="12"/>
        <v>#DIV/0!</v>
      </c>
    </row>
    <row r="205" spans="2:10">
      <c r="B205" t="s">
        <v>515</v>
      </c>
      <c r="E205">
        <v>21500</v>
      </c>
      <c r="F205">
        <v>250</v>
      </c>
      <c r="H205" s="33">
        <f t="shared" si="10"/>
        <v>0</v>
      </c>
      <c r="I205" s="35">
        <f t="shared" si="11"/>
        <v>-1</v>
      </c>
      <c r="J205" s="35" t="e">
        <f t="shared" si="12"/>
        <v>#DIV/0!</v>
      </c>
    </row>
    <row r="206" spans="2:10">
      <c r="B206" t="s">
        <v>534</v>
      </c>
      <c r="E206">
        <v>21600</v>
      </c>
      <c r="H206" s="33">
        <f t="shared" si="10"/>
        <v>0</v>
      </c>
      <c r="I206" s="35" t="e">
        <f t="shared" si="11"/>
        <v>#DIV/0!</v>
      </c>
      <c r="J206" s="35" t="e">
        <f t="shared" si="12"/>
        <v>#DIV/0!</v>
      </c>
    </row>
    <row r="207" spans="2:10">
      <c r="B207" t="s">
        <v>519</v>
      </c>
      <c r="E207">
        <v>16683</v>
      </c>
      <c r="F207">
        <v>1959.6</v>
      </c>
      <c r="G207">
        <v>2556</v>
      </c>
      <c r="H207" s="33">
        <f t="shared" si="10"/>
        <v>2.369529434715704E-5</v>
      </c>
      <c r="I207" s="35">
        <f t="shared" si="11"/>
        <v>0.30434782608695654</v>
      </c>
      <c r="J207" s="35" t="e">
        <f t="shared" si="12"/>
        <v>#DIV/0!</v>
      </c>
    </row>
    <row r="208" spans="2:10">
      <c r="B208" t="s">
        <v>355</v>
      </c>
      <c r="C208">
        <v>20815</v>
      </c>
      <c r="H208" s="33">
        <f t="shared" si="10"/>
        <v>0</v>
      </c>
      <c r="I208" s="35" t="e">
        <f t="shared" si="11"/>
        <v>#DIV/0!</v>
      </c>
      <c r="J208" s="35">
        <f t="shared" si="12"/>
        <v>-1</v>
      </c>
    </row>
    <row r="209" spans="2:10">
      <c r="B209" t="s">
        <v>379</v>
      </c>
      <c r="C209">
        <v>4061</v>
      </c>
      <c r="D209">
        <v>4176</v>
      </c>
      <c r="E209">
        <v>5016</v>
      </c>
      <c r="F209">
        <v>2615.17</v>
      </c>
      <c r="G209">
        <v>4630.25</v>
      </c>
      <c r="H209" s="33">
        <f t="shared" si="10"/>
        <v>4.2924544855604019E-5</v>
      </c>
      <c r="I209" s="35">
        <f t="shared" si="11"/>
        <v>0.77053499390097002</v>
      </c>
      <c r="J209" s="35">
        <f t="shared" si="12"/>
        <v>3.3339099949958317E-2</v>
      </c>
    </row>
    <row r="210" spans="2:10">
      <c r="B210" t="s">
        <v>589</v>
      </c>
      <c r="D210">
        <v>11594</v>
      </c>
      <c r="E210">
        <v>5462</v>
      </c>
      <c r="F210">
        <v>1971.72</v>
      </c>
      <c r="H210" s="33">
        <f t="shared" si="10"/>
        <v>0</v>
      </c>
      <c r="I210" s="35">
        <f t="shared" si="11"/>
        <v>-1</v>
      </c>
      <c r="J210" s="35" t="e">
        <f t="shared" si="12"/>
        <v>#DIV/0!</v>
      </c>
    </row>
    <row r="211" spans="2:10">
      <c r="B211" t="s">
        <v>424</v>
      </c>
      <c r="G211">
        <v>18130</v>
      </c>
      <c r="H211" s="33">
        <f t="shared" si="10"/>
        <v>1.6807342977854346E-4</v>
      </c>
      <c r="I211" s="35" t="e">
        <f t="shared" si="11"/>
        <v>#DIV/0!</v>
      </c>
      <c r="J211" s="35" t="e">
        <f t="shared" si="12"/>
        <v>#DIV/0!</v>
      </c>
    </row>
    <row r="212" spans="2:10">
      <c r="B212" t="s">
        <v>518</v>
      </c>
      <c r="E212">
        <v>17709</v>
      </c>
      <c r="H212" s="33">
        <f t="shared" si="10"/>
        <v>0</v>
      </c>
      <c r="I212" s="35" t="e">
        <f t="shared" si="11"/>
        <v>#DIV/0!</v>
      </c>
      <c r="J212" s="35" t="e">
        <f t="shared" si="12"/>
        <v>#DIV/0!</v>
      </c>
    </row>
    <row r="213" spans="2:10">
      <c r="B213" t="s">
        <v>385</v>
      </c>
      <c r="C213">
        <v>3240</v>
      </c>
      <c r="E213">
        <v>8480</v>
      </c>
      <c r="F213">
        <v>5299</v>
      </c>
      <c r="H213" s="33">
        <f t="shared" si="10"/>
        <v>0</v>
      </c>
      <c r="I213" s="35">
        <f t="shared" si="11"/>
        <v>-1</v>
      </c>
      <c r="J213" s="35">
        <f t="shared" si="12"/>
        <v>-1</v>
      </c>
    </row>
    <row r="214" spans="2:10">
      <c r="B214" t="s">
        <v>396</v>
      </c>
      <c r="C214">
        <v>1063</v>
      </c>
      <c r="D214">
        <v>7147</v>
      </c>
      <c r="E214">
        <v>7093</v>
      </c>
      <c r="F214">
        <v>960.84999999999991</v>
      </c>
      <c r="H214" s="33">
        <f t="shared" si="10"/>
        <v>0</v>
      </c>
      <c r="I214" s="35">
        <f t="shared" si="11"/>
        <v>-1</v>
      </c>
      <c r="J214" s="35">
        <f t="shared" si="12"/>
        <v>-1</v>
      </c>
    </row>
    <row r="215" spans="2:10">
      <c r="B215" t="s">
        <v>364</v>
      </c>
      <c r="C215">
        <v>12810</v>
      </c>
      <c r="D215">
        <v>2558</v>
      </c>
      <c r="H215" s="33">
        <f t="shared" si="10"/>
        <v>0</v>
      </c>
      <c r="I215" s="35" t="e">
        <f t="shared" si="11"/>
        <v>#DIV/0!</v>
      </c>
      <c r="J215" s="35">
        <f t="shared" si="12"/>
        <v>-1</v>
      </c>
    </row>
    <row r="216" spans="2:10">
      <c r="B216" t="s">
        <v>558</v>
      </c>
      <c r="F216">
        <v>1214.4000000000001</v>
      </c>
      <c r="G216">
        <v>13826.08</v>
      </c>
      <c r="H216" s="33">
        <f t="shared" si="10"/>
        <v>1.2817411395435875E-4</v>
      </c>
      <c r="I216" s="35">
        <f t="shared" si="11"/>
        <v>10.385111989459814</v>
      </c>
      <c r="J216" s="35" t="e">
        <f t="shared" si="12"/>
        <v>#DIV/0!</v>
      </c>
    </row>
    <row r="217" spans="2:10">
      <c r="B217" t="s">
        <v>447</v>
      </c>
      <c r="D217">
        <v>14921</v>
      </c>
      <c r="H217" s="33">
        <f t="shared" si="10"/>
        <v>0</v>
      </c>
      <c r="I217" s="35" t="e">
        <f t="shared" si="11"/>
        <v>#DIV/0!</v>
      </c>
      <c r="J217" s="35" t="e">
        <f t="shared" si="12"/>
        <v>#DIV/0!</v>
      </c>
    </row>
    <row r="218" spans="2:10">
      <c r="B218" t="s">
        <v>591</v>
      </c>
      <c r="D218">
        <v>11626</v>
      </c>
      <c r="F218">
        <v>553.60000000000014</v>
      </c>
      <c r="G218">
        <v>2082.1799999999998</v>
      </c>
      <c r="H218" s="33">
        <f t="shared" si="10"/>
        <v>1.9302765251863629E-5</v>
      </c>
      <c r="I218" s="35">
        <f t="shared" si="11"/>
        <v>2.7611632947976865</v>
      </c>
      <c r="J218" s="35" t="e">
        <f t="shared" si="12"/>
        <v>#DIV/0!</v>
      </c>
    </row>
    <row r="219" spans="2:10">
      <c r="B219" t="s">
        <v>503</v>
      </c>
      <c r="D219">
        <v>1816</v>
      </c>
      <c r="E219">
        <v>5984</v>
      </c>
      <c r="F219">
        <v>6292.65</v>
      </c>
      <c r="H219" s="33">
        <f t="shared" si="10"/>
        <v>0</v>
      </c>
      <c r="I219" s="35">
        <f t="shared" si="11"/>
        <v>-1</v>
      </c>
      <c r="J219" s="35" t="e">
        <f t="shared" si="12"/>
        <v>#DIV/0!</v>
      </c>
    </row>
    <row r="220" spans="2:10">
      <c r="B220" t="s">
        <v>480</v>
      </c>
      <c r="D220">
        <v>9649</v>
      </c>
      <c r="E220">
        <v>1421</v>
      </c>
      <c r="F220">
        <v>2667.9700000000003</v>
      </c>
      <c r="G220">
        <v>313.75</v>
      </c>
      <c r="H220" s="33">
        <f t="shared" si="10"/>
        <v>2.9086066515729738E-6</v>
      </c>
      <c r="I220" s="35">
        <f t="shared" si="11"/>
        <v>-0.88240122640059671</v>
      </c>
      <c r="J220" s="35" t="e">
        <f t="shared" si="12"/>
        <v>#DIV/0!</v>
      </c>
    </row>
    <row r="221" spans="2:10">
      <c r="B221" t="s">
        <v>381</v>
      </c>
      <c r="C221">
        <v>3908</v>
      </c>
      <c r="D221">
        <v>3508</v>
      </c>
      <c r="E221">
        <v>3065</v>
      </c>
      <c r="F221">
        <v>1952.5</v>
      </c>
      <c r="G221">
        <v>1580</v>
      </c>
      <c r="H221" s="33">
        <f t="shared" si="10"/>
        <v>1.464732592664637E-5</v>
      </c>
      <c r="I221" s="35">
        <f t="shared" si="11"/>
        <v>-0.19078104993597955</v>
      </c>
      <c r="J221" s="35">
        <f t="shared" si="12"/>
        <v>-0.20260109861751807</v>
      </c>
    </row>
    <row r="222" spans="2:10">
      <c r="B222" t="s">
        <v>434</v>
      </c>
      <c r="F222">
        <v>14000</v>
      </c>
      <c r="H222" s="33">
        <f t="shared" si="10"/>
        <v>0</v>
      </c>
      <c r="I222" s="35">
        <f t="shared" si="11"/>
        <v>-1</v>
      </c>
      <c r="J222" s="35" t="e">
        <f t="shared" si="12"/>
        <v>#DIV/0!</v>
      </c>
    </row>
    <row r="223" spans="2:10">
      <c r="B223" t="s">
        <v>486</v>
      </c>
      <c r="E223">
        <v>13500</v>
      </c>
      <c r="H223" s="33">
        <f t="shared" si="10"/>
        <v>0</v>
      </c>
      <c r="I223" s="35" t="e">
        <f t="shared" si="11"/>
        <v>#DIV/0!</v>
      </c>
      <c r="J223" s="35" t="e">
        <f t="shared" si="12"/>
        <v>#DIV/0!</v>
      </c>
    </row>
    <row r="224" spans="2:10">
      <c r="B224" t="s">
        <v>523</v>
      </c>
      <c r="D224">
        <v>8235</v>
      </c>
      <c r="F224">
        <v>260.90999999999997</v>
      </c>
      <c r="G224">
        <v>4836.47</v>
      </c>
      <c r="H224" s="33">
        <f t="shared" si="10"/>
        <v>4.4836299002814792E-5</v>
      </c>
      <c r="I224" s="35">
        <f t="shared" si="11"/>
        <v>17.536928442758043</v>
      </c>
      <c r="J224" s="35" t="e">
        <f t="shared" si="12"/>
        <v>#DIV/0!</v>
      </c>
    </row>
    <row r="225" spans="2:10">
      <c r="B225" t="s">
        <v>431</v>
      </c>
      <c r="E225">
        <v>5566</v>
      </c>
      <c r="F225">
        <v>7419.38</v>
      </c>
      <c r="H225" s="33">
        <f t="shared" si="10"/>
        <v>0</v>
      </c>
      <c r="I225" s="35">
        <f t="shared" si="11"/>
        <v>-1</v>
      </c>
      <c r="J225" s="35" t="e">
        <f t="shared" si="12"/>
        <v>#DIV/0!</v>
      </c>
    </row>
    <row r="226" spans="2:10">
      <c r="B226" t="s">
        <v>363</v>
      </c>
      <c r="C226">
        <v>12941</v>
      </c>
      <c r="H226" s="33">
        <f t="shared" si="10"/>
        <v>0</v>
      </c>
      <c r="I226" s="35" t="e">
        <f t="shared" si="11"/>
        <v>#DIV/0!</v>
      </c>
      <c r="J226" s="35">
        <f t="shared" si="12"/>
        <v>-1</v>
      </c>
    </row>
    <row r="227" spans="2:10">
      <c r="B227" t="s">
        <v>397</v>
      </c>
      <c r="C227">
        <v>951</v>
      </c>
      <c r="D227">
        <v>1</v>
      </c>
      <c r="E227">
        <v>12</v>
      </c>
      <c r="F227">
        <v>11102.869999999999</v>
      </c>
      <c r="G227">
        <v>870.53</v>
      </c>
      <c r="H227" s="33">
        <f t="shared" si="10"/>
        <v>8.0702130626097871E-6</v>
      </c>
      <c r="I227" s="35">
        <f t="shared" si="11"/>
        <v>-0.92159414637836878</v>
      </c>
      <c r="J227" s="35">
        <f t="shared" si="12"/>
        <v>-2.1860479617838102E-2</v>
      </c>
    </row>
    <row r="228" spans="2:10">
      <c r="B228" t="s">
        <v>398</v>
      </c>
      <c r="C228">
        <v>900</v>
      </c>
      <c r="D228">
        <v>5144</v>
      </c>
      <c r="E228">
        <v>1500</v>
      </c>
      <c r="G228">
        <v>5300</v>
      </c>
      <c r="H228" s="33">
        <f t="shared" si="10"/>
        <v>4.913343507039605E-5</v>
      </c>
      <c r="I228" s="35" t="e">
        <f t="shared" si="11"/>
        <v>#DIV/0!</v>
      </c>
      <c r="J228" s="35">
        <f t="shared" si="12"/>
        <v>0.55778794976300916</v>
      </c>
    </row>
    <row r="229" spans="2:10">
      <c r="B229" t="s">
        <v>521</v>
      </c>
      <c r="G229">
        <v>12170</v>
      </c>
      <c r="H229" s="33">
        <f t="shared" si="10"/>
        <v>1.1282149147296603E-4</v>
      </c>
      <c r="I229" s="35" t="e">
        <f t="shared" si="11"/>
        <v>#DIV/0!</v>
      </c>
      <c r="J229" s="35" t="e">
        <f t="shared" si="12"/>
        <v>#DIV/0!</v>
      </c>
    </row>
    <row r="230" spans="2:10">
      <c r="B230" t="s">
        <v>540</v>
      </c>
      <c r="D230">
        <v>11439</v>
      </c>
      <c r="H230" s="33">
        <f t="shared" si="10"/>
        <v>0</v>
      </c>
      <c r="I230" s="35" t="e">
        <f t="shared" si="11"/>
        <v>#DIV/0!</v>
      </c>
      <c r="J230" s="35" t="e">
        <f t="shared" si="12"/>
        <v>#DIV/0!</v>
      </c>
    </row>
    <row r="231" spans="2:10">
      <c r="B231" t="s">
        <v>474</v>
      </c>
      <c r="G231">
        <v>11180</v>
      </c>
      <c r="H231" s="33">
        <f t="shared" si="10"/>
        <v>1.0364373662019393E-4</v>
      </c>
      <c r="I231" s="35" t="e">
        <f t="shared" si="11"/>
        <v>#DIV/0!</v>
      </c>
      <c r="J231" s="35" t="e">
        <f t="shared" si="12"/>
        <v>#DIV/0!</v>
      </c>
    </row>
    <row r="232" spans="2:10">
      <c r="B232" t="s">
        <v>463</v>
      </c>
      <c r="D232">
        <v>6245</v>
      </c>
      <c r="E232">
        <v>1142</v>
      </c>
      <c r="G232">
        <v>3675.08</v>
      </c>
      <c r="H232" s="33">
        <f t="shared" si="10"/>
        <v>3.4069680105379452E-5</v>
      </c>
      <c r="I232" s="35" t="e">
        <f t="shared" si="11"/>
        <v>#DIV/0!</v>
      </c>
      <c r="J232" s="35" t="e">
        <f t="shared" si="12"/>
        <v>#DIV/0!</v>
      </c>
    </row>
    <row r="233" spans="2:10">
      <c r="B233" t="s">
        <v>512</v>
      </c>
      <c r="D233">
        <v>11000</v>
      </c>
      <c r="H233" s="33">
        <f t="shared" si="10"/>
        <v>0</v>
      </c>
      <c r="I233" s="35" t="e">
        <f t="shared" si="11"/>
        <v>#DIV/0!</v>
      </c>
      <c r="J233" s="35" t="e">
        <f t="shared" si="12"/>
        <v>#DIV/0!</v>
      </c>
    </row>
    <row r="234" spans="2:10">
      <c r="B234" t="s">
        <v>386</v>
      </c>
      <c r="C234">
        <v>2808</v>
      </c>
      <c r="D234">
        <v>3866</v>
      </c>
      <c r="E234">
        <v>2182</v>
      </c>
      <c r="F234">
        <v>243.6</v>
      </c>
      <c r="G234">
        <v>960.40000000000009</v>
      </c>
      <c r="H234" s="33">
        <f t="shared" si="10"/>
        <v>8.9033492531336557E-6</v>
      </c>
      <c r="I234" s="35">
        <f t="shared" si="11"/>
        <v>2.9425287356321843</v>
      </c>
      <c r="J234" s="35">
        <f t="shared" si="12"/>
        <v>-0.23526007876389532</v>
      </c>
    </row>
    <row r="235" spans="2:10">
      <c r="B235" t="s">
        <v>497</v>
      </c>
      <c r="D235">
        <v>1692</v>
      </c>
      <c r="E235">
        <v>8220</v>
      </c>
      <c r="H235" s="33">
        <f t="shared" si="10"/>
        <v>0</v>
      </c>
      <c r="I235" s="35" t="e">
        <f t="shared" si="11"/>
        <v>#DIV/0!</v>
      </c>
      <c r="J235" s="35" t="e">
        <f t="shared" si="12"/>
        <v>#DIV/0!</v>
      </c>
    </row>
    <row r="236" spans="2:10">
      <c r="B236" t="s">
        <v>464</v>
      </c>
      <c r="E236">
        <v>5600</v>
      </c>
      <c r="F236">
        <v>3660</v>
      </c>
      <c r="H236" s="33">
        <f t="shared" si="10"/>
        <v>0</v>
      </c>
      <c r="I236" s="35">
        <f t="shared" si="11"/>
        <v>-1</v>
      </c>
      <c r="J236" s="35" t="e">
        <f t="shared" si="12"/>
        <v>#DIV/0!</v>
      </c>
    </row>
    <row r="237" spans="2:10">
      <c r="B237" t="s">
        <v>370</v>
      </c>
      <c r="C237">
        <v>8978</v>
      </c>
      <c r="H237" s="33">
        <f t="shared" si="10"/>
        <v>0</v>
      </c>
      <c r="I237" s="35" t="e">
        <f t="shared" si="11"/>
        <v>#DIV/0!</v>
      </c>
      <c r="J237" s="35">
        <f t="shared" si="12"/>
        <v>-1</v>
      </c>
    </row>
    <row r="238" spans="2:10">
      <c r="B238" t="s">
        <v>453</v>
      </c>
      <c r="F238">
        <v>8675.48</v>
      </c>
      <c r="H238" s="33">
        <f t="shared" si="10"/>
        <v>0</v>
      </c>
      <c r="I238" s="35">
        <f t="shared" si="11"/>
        <v>-1</v>
      </c>
      <c r="J238" s="35" t="e">
        <f t="shared" si="12"/>
        <v>#DIV/0!</v>
      </c>
    </row>
    <row r="239" spans="2:10">
      <c r="B239" t="s">
        <v>585</v>
      </c>
      <c r="D239">
        <v>8585</v>
      </c>
      <c r="H239" s="33">
        <f t="shared" si="10"/>
        <v>0</v>
      </c>
      <c r="I239" s="35" t="e">
        <f t="shared" si="11"/>
        <v>#DIV/0!</v>
      </c>
      <c r="J239" s="35" t="e">
        <f t="shared" si="12"/>
        <v>#DIV/0!</v>
      </c>
    </row>
    <row r="240" spans="2:10">
      <c r="B240" t="s">
        <v>543</v>
      </c>
      <c r="F240">
        <v>8499</v>
      </c>
      <c r="H240" s="33">
        <f t="shared" si="10"/>
        <v>0</v>
      </c>
      <c r="I240" s="35">
        <f t="shared" si="11"/>
        <v>-1</v>
      </c>
      <c r="J240" s="35" t="e">
        <f t="shared" si="12"/>
        <v>#DIV/0!</v>
      </c>
    </row>
    <row r="241" spans="2:10">
      <c r="B241" t="s">
        <v>500</v>
      </c>
      <c r="F241">
        <v>8395</v>
      </c>
      <c r="H241" s="33">
        <f t="shared" si="10"/>
        <v>0</v>
      </c>
      <c r="I241" s="35">
        <f t="shared" si="11"/>
        <v>-1</v>
      </c>
      <c r="J241" s="35" t="e">
        <f t="shared" si="12"/>
        <v>#DIV/0!</v>
      </c>
    </row>
    <row r="242" spans="2:10">
      <c r="B242" t="s">
        <v>371</v>
      </c>
      <c r="C242">
        <v>8264</v>
      </c>
      <c r="H242" s="33">
        <f t="shared" si="10"/>
        <v>0</v>
      </c>
      <c r="I242" s="35" t="e">
        <f t="shared" si="11"/>
        <v>#DIV/0!</v>
      </c>
      <c r="J242" s="35">
        <f t="shared" si="12"/>
        <v>-1</v>
      </c>
    </row>
    <row r="243" spans="2:10">
      <c r="B243" t="s">
        <v>426</v>
      </c>
      <c r="E243">
        <v>8180</v>
      </c>
      <c r="H243" s="33">
        <f t="shared" si="10"/>
        <v>0</v>
      </c>
      <c r="I243" s="35" t="e">
        <f t="shared" si="11"/>
        <v>#DIV/0!</v>
      </c>
      <c r="J243" s="35" t="e">
        <f t="shared" si="12"/>
        <v>#DIV/0!</v>
      </c>
    </row>
    <row r="244" spans="2:10">
      <c r="B244" t="s">
        <v>378</v>
      </c>
      <c r="C244">
        <v>4320</v>
      </c>
      <c r="F244">
        <v>3056</v>
      </c>
      <c r="G244">
        <v>660</v>
      </c>
      <c r="H244" s="33">
        <f t="shared" si="10"/>
        <v>6.1185032351813946E-6</v>
      </c>
      <c r="I244" s="35">
        <f t="shared" si="11"/>
        <v>-0.78403141361256545</v>
      </c>
      <c r="J244" s="35">
        <f t="shared" si="12"/>
        <v>-0.37480564623048152</v>
      </c>
    </row>
    <row r="245" spans="2:10">
      <c r="B245" t="s">
        <v>472</v>
      </c>
      <c r="D245">
        <v>7799</v>
      </c>
      <c r="H245" s="33">
        <f t="shared" si="10"/>
        <v>0</v>
      </c>
      <c r="I245" s="35" t="e">
        <f t="shared" si="11"/>
        <v>#DIV/0!</v>
      </c>
      <c r="J245" s="35" t="e">
        <f t="shared" si="12"/>
        <v>#DIV/0!</v>
      </c>
    </row>
    <row r="246" spans="2:10">
      <c r="B246" t="s">
        <v>495</v>
      </c>
      <c r="G246">
        <v>7000</v>
      </c>
      <c r="H246" s="33">
        <f t="shared" si="10"/>
        <v>6.4893216130711761E-5</v>
      </c>
      <c r="I246" s="35" t="e">
        <f t="shared" si="11"/>
        <v>#DIV/0!</v>
      </c>
      <c r="J246" s="35" t="e">
        <f t="shared" si="12"/>
        <v>#DIV/0!</v>
      </c>
    </row>
    <row r="247" spans="2:10">
      <c r="B247" t="s">
        <v>584</v>
      </c>
      <c r="G247">
        <v>7000</v>
      </c>
      <c r="H247" s="33">
        <f t="shared" si="10"/>
        <v>6.4893216130711761E-5</v>
      </c>
      <c r="I247" s="35" t="e">
        <f t="shared" si="11"/>
        <v>#DIV/0!</v>
      </c>
      <c r="J247" s="35" t="e">
        <f t="shared" si="12"/>
        <v>#DIV/0!</v>
      </c>
    </row>
    <row r="248" spans="2:10">
      <c r="B248" t="s">
        <v>455</v>
      </c>
      <c r="F248">
        <v>6033.7</v>
      </c>
      <c r="H248" s="33">
        <f t="shared" si="10"/>
        <v>0</v>
      </c>
      <c r="I248" s="35">
        <f t="shared" si="11"/>
        <v>-1</v>
      </c>
      <c r="J248" s="35" t="e">
        <f t="shared" si="12"/>
        <v>#DIV/0!</v>
      </c>
    </row>
    <row r="249" spans="2:10">
      <c r="B249" t="s">
        <v>593</v>
      </c>
      <c r="G249">
        <v>5830</v>
      </c>
      <c r="H249" s="33">
        <f t="shared" si="10"/>
        <v>5.4046778577435654E-5</v>
      </c>
      <c r="I249" s="35" t="e">
        <f t="shared" si="11"/>
        <v>#DIV/0!</v>
      </c>
      <c r="J249" s="35" t="e">
        <f t="shared" si="12"/>
        <v>#DIV/0!</v>
      </c>
    </row>
    <row r="250" spans="2:10">
      <c r="B250" t="s">
        <v>430</v>
      </c>
      <c r="E250">
        <v>5800</v>
      </c>
      <c r="H250" s="33">
        <f t="shared" si="10"/>
        <v>0</v>
      </c>
      <c r="I250" s="35" t="e">
        <f t="shared" si="11"/>
        <v>#DIV/0!</v>
      </c>
      <c r="J250" s="35" t="e">
        <f t="shared" si="12"/>
        <v>#DIV/0!</v>
      </c>
    </row>
    <row r="251" spans="2:10">
      <c r="B251" t="s">
        <v>433</v>
      </c>
      <c r="G251">
        <v>5500</v>
      </c>
      <c r="H251" s="33">
        <f t="shared" si="10"/>
        <v>5.098752695984496E-5</v>
      </c>
      <c r="I251" s="35" t="e">
        <f t="shared" si="11"/>
        <v>#DIV/0!</v>
      </c>
      <c r="J251" s="35" t="e">
        <f t="shared" si="12"/>
        <v>#DIV/0!</v>
      </c>
    </row>
    <row r="252" spans="2:10">
      <c r="B252" t="s">
        <v>377</v>
      </c>
      <c r="C252">
        <v>5390</v>
      </c>
      <c r="H252" s="33">
        <f t="shared" si="10"/>
        <v>0</v>
      </c>
      <c r="I252" s="35" t="e">
        <f t="shared" si="11"/>
        <v>#DIV/0!</v>
      </c>
      <c r="J252" s="35">
        <f t="shared" si="12"/>
        <v>-1</v>
      </c>
    </row>
    <row r="253" spans="2:10">
      <c r="B253" t="s">
        <v>516</v>
      </c>
      <c r="F253">
        <v>1048.8</v>
      </c>
      <c r="G253">
        <v>4215.96</v>
      </c>
      <c r="H253" s="33">
        <f t="shared" si="10"/>
        <v>3.9083886211205079E-5</v>
      </c>
      <c r="I253" s="35">
        <f t="shared" si="11"/>
        <v>3.0197940503432497</v>
      </c>
      <c r="J253" s="35" t="e">
        <f t="shared" si="12"/>
        <v>#DIV/0!</v>
      </c>
    </row>
    <row r="254" spans="2:10">
      <c r="B254" t="s">
        <v>568</v>
      </c>
      <c r="E254">
        <v>3267</v>
      </c>
      <c r="G254">
        <v>1875</v>
      </c>
      <c r="H254" s="33">
        <f t="shared" si="10"/>
        <v>1.7382111463583508E-5</v>
      </c>
      <c r="I254" s="35" t="e">
        <f t="shared" si="11"/>
        <v>#DIV/0!</v>
      </c>
      <c r="J254" s="35" t="e">
        <f t="shared" si="12"/>
        <v>#DIV/0!</v>
      </c>
    </row>
    <row r="255" spans="2:10">
      <c r="B255" t="s">
        <v>526</v>
      </c>
      <c r="F255">
        <v>5100</v>
      </c>
      <c r="H255" s="33">
        <f t="shared" si="10"/>
        <v>0</v>
      </c>
      <c r="I255" s="35">
        <f t="shared" si="11"/>
        <v>-1</v>
      </c>
      <c r="J255" s="35" t="e">
        <f t="shared" si="12"/>
        <v>#DIV/0!</v>
      </c>
    </row>
    <row r="256" spans="2:10">
      <c r="B256" t="s">
        <v>527</v>
      </c>
      <c r="D256">
        <v>4663</v>
      </c>
      <c r="H256" s="33">
        <f t="shared" si="10"/>
        <v>0</v>
      </c>
      <c r="I256" s="35" t="e">
        <f t="shared" si="11"/>
        <v>#DIV/0!</v>
      </c>
      <c r="J256" s="35" t="e">
        <f t="shared" si="12"/>
        <v>#DIV/0!</v>
      </c>
    </row>
    <row r="257" spans="2:10">
      <c r="B257" t="s">
        <v>535</v>
      </c>
      <c r="G257">
        <v>4590</v>
      </c>
      <c r="H257" s="33">
        <f t="shared" si="10"/>
        <v>4.2551408862852428E-5</v>
      </c>
      <c r="I257" s="35" t="e">
        <f t="shared" si="11"/>
        <v>#DIV/0!</v>
      </c>
      <c r="J257" s="35" t="e">
        <f t="shared" si="12"/>
        <v>#DIV/0!</v>
      </c>
    </row>
    <row r="258" spans="2:10">
      <c r="B258" t="s">
        <v>555</v>
      </c>
      <c r="G258">
        <v>4457.59</v>
      </c>
      <c r="H258" s="33">
        <f t="shared" si="10"/>
        <v>4.1323907327442783E-5</v>
      </c>
      <c r="I258" s="35" t="e">
        <f t="shared" si="11"/>
        <v>#DIV/0!</v>
      </c>
      <c r="J258" s="35" t="e">
        <f t="shared" si="12"/>
        <v>#DIV/0!</v>
      </c>
    </row>
    <row r="259" spans="2:10">
      <c r="B259" t="s">
        <v>389</v>
      </c>
      <c r="C259">
        <v>2287</v>
      </c>
      <c r="D259">
        <v>2100</v>
      </c>
      <c r="H259" s="33">
        <f t="shared" si="10"/>
        <v>0</v>
      </c>
      <c r="I259" s="35" t="e">
        <f t="shared" si="11"/>
        <v>#DIV/0!</v>
      </c>
      <c r="J259" s="35">
        <f t="shared" si="12"/>
        <v>-1</v>
      </c>
    </row>
    <row r="260" spans="2:10">
      <c r="B260" t="s">
        <v>549</v>
      </c>
      <c r="D260">
        <v>4258</v>
      </c>
      <c r="H260" s="33">
        <f t="shared" si="10"/>
        <v>0</v>
      </c>
      <c r="I260" s="35" t="e">
        <f t="shared" si="11"/>
        <v>#DIV/0!</v>
      </c>
      <c r="J260" s="35" t="e">
        <f t="shared" si="12"/>
        <v>#DIV/0!</v>
      </c>
    </row>
    <row r="261" spans="2:10">
      <c r="B261" t="s">
        <v>511</v>
      </c>
      <c r="F261">
        <v>4160</v>
      </c>
      <c r="H261" s="33">
        <f t="shared" ref="H261:H324" si="13">G261/$G$3</f>
        <v>0</v>
      </c>
      <c r="I261" s="35">
        <f t="shared" ref="I261:I324" si="14">(G261/F261)-1</f>
        <v>-1</v>
      </c>
      <c r="J261" s="35" t="e">
        <f t="shared" ref="J261:J324" si="15">((G261/C261)^(1/4))-1</f>
        <v>#DIV/0!</v>
      </c>
    </row>
    <row r="262" spans="2:10">
      <c r="B262" t="s">
        <v>441</v>
      </c>
      <c r="E262">
        <v>3955</v>
      </c>
      <c r="H262" s="33">
        <f t="shared" si="13"/>
        <v>0</v>
      </c>
      <c r="I262" s="35" t="e">
        <f t="shared" si="14"/>
        <v>#DIV/0!</v>
      </c>
      <c r="J262" s="35" t="e">
        <f t="shared" si="15"/>
        <v>#DIV/0!</v>
      </c>
    </row>
    <row r="263" spans="2:10">
      <c r="B263" t="s">
        <v>382</v>
      </c>
      <c r="C263">
        <v>3760</v>
      </c>
      <c r="H263" s="33">
        <f t="shared" si="13"/>
        <v>0</v>
      </c>
      <c r="I263" s="35" t="e">
        <f t="shared" si="14"/>
        <v>#DIV/0!</v>
      </c>
      <c r="J263" s="35">
        <f t="shared" si="15"/>
        <v>-1</v>
      </c>
    </row>
    <row r="264" spans="2:10">
      <c r="B264" t="s">
        <v>499</v>
      </c>
      <c r="E264">
        <v>3670</v>
      </c>
      <c r="H264" s="33">
        <f t="shared" si="13"/>
        <v>0</v>
      </c>
      <c r="I264" s="35" t="e">
        <f t="shared" si="14"/>
        <v>#DIV/0!</v>
      </c>
      <c r="J264" s="35" t="e">
        <f t="shared" si="15"/>
        <v>#DIV/0!</v>
      </c>
    </row>
    <row r="265" spans="2:10">
      <c r="B265" t="s">
        <v>383</v>
      </c>
      <c r="C265">
        <v>3480</v>
      </c>
      <c r="H265" s="33">
        <f t="shared" si="13"/>
        <v>0</v>
      </c>
      <c r="I265" s="35" t="e">
        <f t="shared" si="14"/>
        <v>#DIV/0!</v>
      </c>
      <c r="J265" s="35">
        <f t="shared" si="15"/>
        <v>-1</v>
      </c>
    </row>
    <row r="266" spans="2:10">
      <c r="B266" t="s">
        <v>384</v>
      </c>
      <c r="C266">
        <v>3451</v>
      </c>
      <c r="H266" s="33">
        <f t="shared" si="13"/>
        <v>0</v>
      </c>
      <c r="I266" s="35" t="e">
        <f t="shared" si="14"/>
        <v>#DIV/0!</v>
      </c>
      <c r="J266" s="35">
        <f t="shared" si="15"/>
        <v>-1</v>
      </c>
    </row>
    <row r="267" spans="2:10">
      <c r="B267" t="s">
        <v>575</v>
      </c>
      <c r="E267">
        <v>3400</v>
      </c>
      <c r="H267" s="33">
        <f t="shared" si="13"/>
        <v>0</v>
      </c>
      <c r="I267" s="35" t="e">
        <f t="shared" si="14"/>
        <v>#DIV/0!</v>
      </c>
      <c r="J267" s="35" t="e">
        <f t="shared" si="15"/>
        <v>#DIV/0!</v>
      </c>
    </row>
    <row r="268" spans="2:10">
      <c r="B268" t="s">
        <v>412</v>
      </c>
      <c r="C268">
        <v>25</v>
      </c>
      <c r="E268">
        <v>441</v>
      </c>
      <c r="F268">
        <v>990</v>
      </c>
      <c r="G268">
        <v>1251.5999999999999</v>
      </c>
      <c r="H268" s="33">
        <f t="shared" si="13"/>
        <v>1.1602907044171263E-5</v>
      </c>
      <c r="I268" s="35">
        <f t="shared" si="14"/>
        <v>0.26424242424242417</v>
      </c>
      <c r="J268" s="35">
        <f t="shared" si="15"/>
        <v>1.6599984676755848</v>
      </c>
    </row>
    <row r="269" spans="2:10">
      <c r="B269" t="s">
        <v>445</v>
      </c>
      <c r="D269">
        <v>314</v>
      </c>
      <c r="E269">
        <v>2300</v>
      </c>
      <c r="H269" s="33">
        <f t="shared" si="13"/>
        <v>0</v>
      </c>
      <c r="I269" s="35" t="e">
        <f t="shared" si="14"/>
        <v>#DIV/0!</v>
      </c>
      <c r="J269" s="35" t="e">
        <f t="shared" si="15"/>
        <v>#DIV/0!</v>
      </c>
    </row>
    <row r="270" spans="2:10">
      <c r="B270" t="s">
        <v>504</v>
      </c>
      <c r="D270">
        <v>2550</v>
      </c>
      <c r="H270" s="33">
        <f t="shared" si="13"/>
        <v>0</v>
      </c>
      <c r="I270" s="35" t="e">
        <f t="shared" si="14"/>
        <v>#DIV/0!</v>
      </c>
      <c r="J270" s="35" t="e">
        <f t="shared" si="15"/>
        <v>#DIV/0!</v>
      </c>
    </row>
    <row r="271" spans="2:10">
      <c r="B271" t="s">
        <v>390</v>
      </c>
      <c r="C271">
        <v>1633</v>
      </c>
      <c r="D271">
        <v>877</v>
      </c>
      <c r="H271" s="33">
        <f t="shared" si="13"/>
        <v>0</v>
      </c>
      <c r="I271" s="35" t="e">
        <f t="shared" si="14"/>
        <v>#DIV/0!</v>
      </c>
      <c r="J271" s="35">
        <f t="shared" si="15"/>
        <v>-1</v>
      </c>
    </row>
    <row r="272" spans="2:10">
      <c r="B272" t="s">
        <v>468</v>
      </c>
      <c r="F272">
        <v>2475</v>
      </c>
      <c r="H272" s="33">
        <f t="shared" si="13"/>
        <v>0</v>
      </c>
      <c r="I272" s="35">
        <f t="shared" si="14"/>
        <v>-1</v>
      </c>
      <c r="J272" s="35" t="e">
        <f t="shared" si="15"/>
        <v>#DIV/0!</v>
      </c>
    </row>
    <row r="273" spans="2:10">
      <c r="B273" t="s">
        <v>388</v>
      </c>
      <c r="C273">
        <v>2336</v>
      </c>
      <c r="H273" s="33">
        <f t="shared" si="13"/>
        <v>0</v>
      </c>
      <c r="I273" s="35" t="e">
        <f t="shared" si="14"/>
        <v>#DIV/0!</v>
      </c>
      <c r="J273" s="35">
        <f t="shared" si="15"/>
        <v>-1</v>
      </c>
    </row>
    <row r="274" spans="2:10">
      <c r="B274" t="s">
        <v>532</v>
      </c>
      <c r="D274">
        <v>1300</v>
      </c>
      <c r="F274">
        <v>860</v>
      </c>
      <c r="H274" s="33">
        <f t="shared" si="13"/>
        <v>0</v>
      </c>
      <c r="I274" s="35">
        <f t="shared" si="14"/>
        <v>-1</v>
      </c>
      <c r="J274" s="35" t="e">
        <f t="shared" si="15"/>
        <v>#DIV/0!</v>
      </c>
    </row>
    <row r="275" spans="2:10">
      <c r="B275" t="s">
        <v>422</v>
      </c>
      <c r="C275">
        <v>1</v>
      </c>
      <c r="D275">
        <v>1925</v>
      </c>
      <c r="H275" s="33">
        <f t="shared" si="13"/>
        <v>0</v>
      </c>
      <c r="I275" s="35" t="e">
        <f t="shared" si="14"/>
        <v>#DIV/0!</v>
      </c>
      <c r="J275" s="35">
        <f t="shared" si="15"/>
        <v>-1</v>
      </c>
    </row>
    <row r="276" spans="2:10">
      <c r="B276" t="s">
        <v>583</v>
      </c>
      <c r="F276">
        <v>1765</v>
      </c>
      <c r="H276" s="33">
        <f t="shared" si="13"/>
        <v>0</v>
      </c>
      <c r="I276" s="35">
        <f t="shared" si="14"/>
        <v>-1</v>
      </c>
      <c r="J276" s="35" t="e">
        <f t="shared" si="15"/>
        <v>#DIV/0!</v>
      </c>
    </row>
    <row r="277" spans="2:10">
      <c r="B277" t="s">
        <v>551</v>
      </c>
      <c r="G277">
        <v>1700</v>
      </c>
      <c r="H277" s="33">
        <f t="shared" si="13"/>
        <v>1.5759781060315714E-5</v>
      </c>
      <c r="I277" s="35" t="e">
        <f t="shared" si="14"/>
        <v>#DIV/0!</v>
      </c>
      <c r="J277" s="35" t="e">
        <f t="shared" si="15"/>
        <v>#DIV/0!</v>
      </c>
    </row>
    <row r="278" spans="2:10">
      <c r="B278" t="s">
        <v>481</v>
      </c>
      <c r="E278">
        <v>1003</v>
      </c>
      <c r="G278">
        <v>680</v>
      </c>
      <c r="H278" s="33">
        <f t="shared" si="13"/>
        <v>6.3039124241262859E-6</v>
      </c>
      <c r="I278" s="35" t="e">
        <f t="shared" si="14"/>
        <v>#DIV/0!</v>
      </c>
      <c r="J278" s="35" t="e">
        <f t="shared" si="15"/>
        <v>#DIV/0!</v>
      </c>
    </row>
    <row r="279" spans="2:10">
      <c r="B279" t="s">
        <v>600</v>
      </c>
      <c r="F279">
        <v>1570.8</v>
      </c>
      <c r="H279" s="33">
        <f t="shared" si="13"/>
        <v>0</v>
      </c>
      <c r="I279" s="35">
        <f t="shared" si="14"/>
        <v>-1</v>
      </c>
      <c r="J279" s="35" t="e">
        <f t="shared" si="15"/>
        <v>#DIV/0!</v>
      </c>
    </row>
    <row r="280" spans="2:10">
      <c r="B280" t="s">
        <v>391</v>
      </c>
      <c r="C280">
        <v>1497</v>
      </c>
      <c r="H280" s="33">
        <f t="shared" si="13"/>
        <v>0</v>
      </c>
      <c r="I280" s="35" t="e">
        <f t="shared" si="14"/>
        <v>#DIV/0!</v>
      </c>
      <c r="J280" s="35">
        <f t="shared" si="15"/>
        <v>-1</v>
      </c>
    </row>
    <row r="281" spans="2:10">
      <c r="B281" t="s">
        <v>392</v>
      </c>
      <c r="C281">
        <v>1408</v>
      </c>
      <c r="H281" s="33">
        <f t="shared" si="13"/>
        <v>0</v>
      </c>
      <c r="I281" s="35" t="e">
        <f t="shared" si="14"/>
        <v>#DIV/0!</v>
      </c>
      <c r="J281" s="35">
        <f t="shared" si="15"/>
        <v>-1</v>
      </c>
    </row>
    <row r="282" spans="2:10">
      <c r="B282" t="s">
        <v>393</v>
      </c>
      <c r="C282">
        <v>1401</v>
      </c>
      <c r="H282" s="33">
        <f t="shared" si="13"/>
        <v>0</v>
      </c>
      <c r="I282" s="35" t="e">
        <f t="shared" si="14"/>
        <v>#DIV/0!</v>
      </c>
      <c r="J282" s="35">
        <f t="shared" si="15"/>
        <v>-1</v>
      </c>
    </row>
    <row r="283" spans="2:10">
      <c r="B283" t="s">
        <v>582</v>
      </c>
      <c r="F283">
        <v>1400</v>
      </c>
      <c r="H283" s="33">
        <f t="shared" si="13"/>
        <v>0</v>
      </c>
      <c r="I283" s="35">
        <f t="shared" si="14"/>
        <v>-1</v>
      </c>
      <c r="J283" s="35" t="e">
        <f t="shared" si="15"/>
        <v>#DIV/0!</v>
      </c>
    </row>
    <row r="284" spans="2:10">
      <c r="B284" t="s">
        <v>450</v>
      </c>
      <c r="F284">
        <v>1322.3</v>
      </c>
      <c r="H284" s="33">
        <f t="shared" si="13"/>
        <v>0</v>
      </c>
      <c r="I284" s="35">
        <f t="shared" si="14"/>
        <v>-1</v>
      </c>
      <c r="J284" s="35" t="e">
        <f t="shared" si="15"/>
        <v>#DIV/0!</v>
      </c>
    </row>
    <row r="285" spans="2:10">
      <c r="B285" t="s">
        <v>394</v>
      </c>
      <c r="C285">
        <v>1320</v>
      </c>
      <c r="H285" s="33">
        <f t="shared" si="13"/>
        <v>0</v>
      </c>
      <c r="I285" s="35" t="e">
        <f t="shared" si="14"/>
        <v>#DIV/0!</v>
      </c>
      <c r="J285" s="35">
        <f t="shared" si="15"/>
        <v>-1</v>
      </c>
    </row>
    <row r="286" spans="2:10">
      <c r="B286" t="s">
        <v>536</v>
      </c>
      <c r="G286">
        <v>1211.5999999999999</v>
      </c>
      <c r="H286" s="33">
        <f t="shared" si="13"/>
        <v>1.1232088666281481E-5</v>
      </c>
      <c r="I286" s="35" t="e">
        <f t="shared" si="14"/>
        <v>#DIV/0!</v>
      </c>
      <c r="J286" s="35" t="e">
        <f t="shared" si="15"/>
        <v>#DIV/0!</v>
      </c>
    </row>
    <row r="287" spans="2:10">
      <c r="B287" t="s">
        <v>467</v>
      </c>
      <c r="G287">
        <v>1185</v>
      </c>
      <c r="H287" s="33">
        <f t="shared" si="13"/>
        <v>1.0985494444984778E-5</v>
      </c>
      <c r="I287" s="35" t="e">
        <f t="shared" si="14"/>
        <v>#DIV/0!</v>
      </c>
      <c r="J287" s="35" t="e">
        <f t="shared" si="15"/>
        <v>#DIV/0!</v>
      </c>
    </row>
    <row r="288" spans="2:10">
      <c r="B288" t="s">
        <v>442</v>
      </c>
      <c r="F288">
        <v>1150</v>
      </c>
      <c r="H288" s="33">
        <f t="shared" si="13"/>
        <v>0</v>
      </c>
      <c r="I288" s="35">
        <f t="shared" si="14"/>
        <v>-1</v>
      </c>
      <c r="J288" s="35" t="e">
        <f t="shared" si="15"/>
        <v>#DIV/0!</v>
      </c>
    </row>
    <row r="289" spans="2:10">
      <c r="B289" t="s">
        <v>403</v>
      </c>
      <c r="C289">
        <v>300</v>
      </c>
      <c r="E289">
        <v>460</v>
      </c>
      <c r="G289">
        <v>352</v>
      </c>
      <c r="H289" s="33">
        <f t="shared" si="13"/>
        <v>3.2632017254300773E-6</v>
      </c>
      <c r="I289" s="35" t="e">
        <f t="shared" si="14"/>
        <v>#DIV/0!</v>
      </c>
      <c r="J289" s="35">
        <f t="shared" si="15"/>
        <v>4.0771406514479525E-2</v>
      </c>
    </row>
    <row r="290" spans="2:10">
      <c r="B290" t="s">
        <v>395</v>
      </c>
      <c r="C290">
        <v>1106</v>
      </c>
      <c r="H290" s="33">
        <f t="shared" si="13"/>
        <v>0</v>
      </c>
      <c r="I290" s="35" t="e">
        <f t="shared" si="14"/>
        <v>#DIV/0!</v>
      </c>
      <c r="J290" s="35">
        <f t="shared" si="15"/>
        <v>-1</v>
      </c>
    </row>
    <row r="291" spans="2:10">
      <c r="B291" t="s">
        <v>581</v>
      </c>
      <c r="D291">
        <v>900</v>
      </c>
      <c r="H291" s="33">
        <f t="shared" si="13"/>
        <v>0</v>
      </c>
      <c r="I291" s="35" t="e">
        <f t="shared" si="14"/>
        <v>#DIV/0!</v>
      </c>
      <c r="J291" s="35" t="e">
        <f t="shared" si="15"/>
        <v>#DIV/0!</v>
      </c>
    </row>
    <row r="292" spans="2:10">
      <c r="B292" t="s">
        <v>466</v>
      </c>
      <c r="E292">
        <v>147</v>
      </c>
      <c r="F292">
        <v>138.22</v>
      </c>
      <c r="G292">
        <v>588.70000000000005</v>
      </c>
      <c r="H292" s="33">
        <f t="shared" si="13"/>
        <v>5.4575194765928601E-6</v>
      </c>
      <c r="I292" s="35">
        <f t="shared" si="14"/>
        <v>3.2591520763999426</v>
      </c>
      <c r="J292" s="35" t="e">
        <f t="shared" si="15"/>
        <v>#DIV/0!</v>
      </c>
    </row>
    <row r="293" spans="2:10">
      <c r="B293" t="s">
        <v>405</v>
      </c>
      <c r="C293">
        <v>211</v>
      </c>
      <c r="D293">
        <v>619</v>
      </c>
      <c r="H293" s="33">
        <f t="shared" si="13"/>
        <v>0</v>
      </c>
      <c r="I293" s="35" t="e">
        <f t="shared" si="14"/>
        <v>#DIV/0!</v>
      </c>
      <c r="J293" s="35">
        <f t="shared" si="15"/>
        <v>-1</v>
      </c>
    </row>
    <row r="294" spans="2:10">
      <c r="B294" t="s">
        <v>399</v>
      </c>
      <c r="C294">
        <v>800</v>
      </c>
      <c r="H294" s="33">
        <f t="shared" si="13"/>
        <v>0</v>
      </c>
      <c r="I294" s="35" t="e">
        <f t="shared" si="14"/>
        <v>#DIV/0!</v>
      </c>
      <c r="J294" s="35">
        <f t="shared" si="15"/>
        <v>-1</v>
      </c>
    </row>
    <row r="295" spans="2:10">
      <c r="B295" t="s">
        <v>556</v>
      </c>
      <c r="D295">
        <v>415</v>
      </c>
      <c r="E295">
        <v>166</v>
      </c>
      <c r="F295">
        <v>166.69</v>
      </c>
      <c r="H295" s="33">
        <f t="shared" si="13"/>
        <v>0</v>
      </c>
      <c r="I295" s="35">
        <f t="shared" si="14"/>
        <v>-1</v>
      </c>
      <c r="J295" s="35" t="e">
        <f t="shared" si="15"/>
        <v>#DIV/0!</v>
      </c>
    </row>
    <row r="296" spans="2:10">
      <c r="B296" t="s">
        <v>475</v>
      </c>
      <c r="G296">
        <v>704</v>
      </c>
      <c r="H296" s="33">
        <f t="shared" si="13"/>
        <v>6.5264034508601547E-6</v>
      </c>
      <c r="I296" s="35" t="e">
        <f t="shared" si="14"/>
        <v>#DIV/0!</v>
      </c>
      <c r="J296" s="35" t="e">
        <f t="shared" si="15"/>
        <v>#DIV/0!</v>
      </c>
    </row>
    <row r="297" spans="2:10">
      <c r="B297" t="s">
        <v>400</v>
      </c>
      <c r="C297">
        <v>692</v>
      </c>
      <c r="H297" s="33">
        <f t="shared" si="13"/>
        <v>0</v>
      </c>
      <c r="I297" s="35" t="e">
        <f t="shared" si="14"/>
        <v>#DIV/0!</v>
      </c>
      <c r="J297" s="35">
        <f t="shared" si="15"/>
        <v>-1</v>
      </c>
    </row>
    <row r="298" spans="2:10">
      <c r="B298" t="s">
        <v>565</v>
      </c>
      <c r="D298">
        <v>686</v>
      </c>
      <c r="H298" s="33">
        <f t="shared" si="13"/>
        <v>0</v>
      </c>
      <c r="I298" s="35" t="e">
        <f t="shared" si="14"/>
        <v>#DIV/0!</v>
      </c>
      <c r="J298" s="35" t="e">
        <f t="shared" si="15"/>
        <v>#DIV/0!</v>
      </c>
    </row>
    <row r="299" spans="2:10">
      <c r="B299" t="s">
        <v>478</v>
      </c>
      <c r="G299">
        <v>642.29999999999995</v>
      </c>
      <c r="H299" s="33">
        <f t="shared" si="13"/>
        <v>5.9544161029651664E-6</v>
      </c>
      <c r="I299" s="35" t="e">
        <f t="shared" si="14"/>
        <v>#DIV/0!</v>
      </c>
      <c r="J299" s="35" t="e">
        <f t="shared" si="15"/>
        <v>#DIV/0!</v>
      </c>
    </row>
    <row r="300" spans="2:10">
      <c r="B300" t="s">
        <v>502</v>
      </c>
      <c r="E300">
        <v>551</v>
      </c>
      <c r="H300" s="33">
        <f t="shared" si="13"/>
        <v>0</v>
      </c>
      <c r="I300" s="35" t="e">
        <f t="shared" si="14"/>
        <v>#DIV/0!</v>
      </c>
      <c r="J300" s="35" t="e">
        <f t="shared" si="15"/>
        <v>#DIV/0!</v>
      </c>
    </row>
    <row r="301" spans="2:10">
      <c r="B301" t="s">
        <v>401</v>
      </c>
      <c r="C301">
        <v>528</v>
      </c>
      <c r="H301" s="33">
        <f t="shared" si="13"/>
        <v>0</v>
      </c>
      <c r="I301" s="35" t="e">
        <f t="shared" si="14"/>
        <v>#DIV/0!</v>
      </c>
      <c r="J301" s="35">
        <f t="shared" si="15"/>
        <v>-1</v>
      </c>
    </row>
    <row r="302" spans="2:10">
      <c r="B302" t="s">
        <v>501</v>
      </c>
      <c r="D302">
        <v>320</v>
      </c>
      <c r="G302">
        <v>205</v>
      </c>
      <c r="H302" s="33">
        <f t="shared" si="13"/>
        <v>1.9004441866851303E-6</v>
      </c>
      <c r="I302" s="35" t="e">
        <f t="shared" si="14"/>
        <v>#DIV/0!</v>
      </c>
      <c r="J302" s="35" t="e">
        <f t="shared" si="15"/>
        <v>#DIV/0!</v>
      </c>
    </row>
    <row r="303" spans="2:10">
      <c r="B303" t="s">
        <v>562</v>
      </c>
      <c r="F303">
        <v>513.32000000000005</v>
      </c>
      <c r="H303" s="33">
        <f t="shared" si="13"/>
        <v>0</v>
      </c>
      <c r="I303" s="35">
        <f t="shared" si="14"/>
        <v>-1</v>
      </c>
      <c r="J303" s="35" t="e">
        <f t="shared" si="15"/>
        <v>#DIV/0!</v>
      </c>
    </row>
    <row r="304" spans="2:10">
      <c r="B304" t="s">
        <v>533</v>
      </c>
      <c r="F304">
        <v>510.51</v>
      </c>
      <c r="H304" s="33">
        <f t="shared" si="13"/>
        <v>0</v>
      </c>
      <c r="I304" s="35">
        <f t="shared" si="14"/>
        <v>-1</v>
      </c>
      <c r="J304" s="35" t="e">
        <f t="shared" si="15"/>
        <v>#DIV/0!</v>
      </c>
    </row>
    <row r="305" spans="2:10">
      <c r="B305" t="s">
        <v>544</v>
      </c>
      <c r="E305">
        <v>480</v>
      </c>
      <c r="H305" s="33">
        <f t="shared" si="13"/>
        <v>0</v>
      </c>
      <c r="I305" s="35" t="e">
        <f t="shared" si="14"/>
        <v>#DIV/0!</v>
      </c>
      <c r="J305" s="35" t="e">
        <f t="shared" si="15"/>
        <v>#DIV/0!</v>
      </c>
    </row>
    <row r="306" spans="2:10">
      <c r="B306" t="s">
        <v>404</v>
      </c>
      <c r="C306">
        <v>220</v>
      </c>
      <c r="D306">
        <v>134</v>
      </c>
      <c r="E306">
        <v>16</v>
      </c>
      <c r="F306">
        <v>18.3</v>
      </c>
      <c r="H306" s="33">
        <f t="shared" si="13"/>
        <v>0</v>
      </c>
      <c r="I306" s="35">
        <f t="shared" si="14"/>
        <v>-1</v>
      </c>
      <c r="J306" s="35">
        <f t="shared" si="15"/>
        <v>-1</v>
      </c>
    </row>
    <row r="307" spans="2:10">
      <c r="B307" t="s">
        <v>576</v>
      </c>
      <c r="F307">
        <v>257.65000000000003</v>
      </c>
      <c r="G307">
        <v>120.55</v>
      </c>
      <c r="H307" s="33">
        <f t="shared" si="13"/>
        <v>1.117553886365329E-6</v>
      </c>
      <c r="I307" s="35">
        <f t="shared" si="14"/>
        <v>-0.53211721327382122</v>
      </c>
      <c r="J307" s="35" t="e">
        <f t="shared" si="15"/>
        <v>#DIV/0!</v>
      </c>
    </row>
    <row r="308" spans="2:10">
      <c r="B308" t="s">
        <v>541</v>
      </c>
      <c r="F308">
        <v>343.48</v>
      </c>
      <c r="H308" s="33">
        <f t="shared" si="13"/>
        <v>0</v>
      </c>
      <c r="I308" s="35">
        <f t="shared" si="14"/>
        <v>-1</v>
      </c>
      <c r="J308" s="35" t="e">
        <f t="shared" si="15"/>
        <v>#DIV/0!</v>
      </c>
    </row>
    <row r="309" spans="2:10">
      <c r="B309" t="s">
        <v>402</v>
      </c>
      <c r="C309">
        <v>320</v>
      </c>
      <c r="H309" s="33">
        <f t="shared" si="13"/>
        <v>0</v>
      </c>
      <c r="I309" s="35" t="e">
        <f t="shared" si="14"/>
        <v>#DIV/0!</v>
      </c>
      <c r="J309" s="35">
        <f t="shared" si="15"/>
        <v>-1</v>
      </c>
    </row>
    <row r="310" spans="2:10">
      <c r="B310" t="s">
        <v>471</v>
      </c>
      <c r="G310">
        <v>305.85000000000002</v>
      </c>
      <c r="H310" s="33">
        <f t="shared" si="13"/>
        <v>2.835370021939742E-6</v>
      </c>
      <c r="I310" s="35" t="e">
        <f t="shared" si="14"/>
        <v>#DIV/0!</v>
      </c>
      <c r="J310" s="35" t="e">
        <f t="shared" si="15"/>
        <v>#DIV/0!</v>
      </c>
    </row>
    <row r="311" spans="2:10">
      <c r="B311" t="s">
        <v>528</v>
      </c>
      <c r="E311">
        <v>60</v>
      </c>
      <c r="F311">
        <v>210</v>
      </c>
      <c r="H311" s="33">
        <f t="shared" si="13"/>
        <v>0</v>
      </c>
      <c r="I311" s="35">
        <f t="shared" si="14"/>
        <v>-1</v>
      </c>
      <c r="J311" s="35" t="e">
        <f t="shared" si="15"/>
        <v>#DIV/0!</v>
      </c>
    </row>
    <row r="312" spans="2:10">
      <c r="B312" t="s">
        <v>479</v>
      </c>
      <c r="D312">
        <v>252</v>
      </c>
      <c r="H312" s="33">
        <f t="shared" si="13"/>
        <v>0</v>
      </c>
      <c r="I312" s="35" t="e">
        <f t="shared" si="14"/>
        <v>#DIV/0!</v>
      </c>
      <c r="J312" s="35" t="e">
        <f t="shared" si="15"/>
        <v>#DIV/0!</v>
      </c>
    </row>
    <row r="313" spans="2:10">
      <c r="B313" t="s">
        <v>530</v>
      </c>
      <c r="D313">
        <v>211</v>
      </c>
      <c r="E313">
        <v>18</v>
      </c>
      <c r="H313" s="33">
        <f t="shared" si="13"/>
        <v>0</v>
      </c>
      <c r="I313" s="35" t="e">
        <f t="shared" si="14"/>
        <v>#DIV/0!</v>
      </c>
      <c r="J313" s="35" t="e">
        <f t="shared" si="15"/>
        <v>#DIV/0!</v>
      </c>
    </row>
    <row r="314" spans="2:10">
      <c r="B314" t="s">
        <v>542</v>
      </c>
      <c r="F314">
        <v>225</v>
      </c>
      <c r="H314" s="33">
        <f t="shared" si="13"/>
        <v>0</v>
      </c>
      <c r="I314" s="35">
        <f t="shared" si="14"/>
        <v>-1</v>
      </c>
      <c r="J314" s="35" t="e">
        <f t="shared" si="15"/>
        <v>#DIV/0!</v>
      </c>
    </row>
    <row r="315" spans="2:10">
      <c r="B315" t="s">
        <v>509</v>
      </c>
      <c r="D315">
        <v>208</v>
      </c>
      <c r="H315" s="33">
        <f t="shared" si="13"/>
        <v>0</v>
      </c>
      <c r="I315" s="35" t="e">
        <f t="shared" si="14"/>
        <v>#DIV/0!</v>
      </c>
      <c r="J315" s="35" t="e">
        <f t="shared" si="15"/>
        <v>#DIV/0!</v>
      </c>
    </row>
    <row r="316" spans="2:10">
      <c r="B316" t="s">
        <v>406</v>
      </c>
      <c r="C316">
        <v>198</v>
      </c>
      <c r="H316" s="33">
        <f t="shared" si="13"/>
        <v>0</v>
      </c>
      <c r="I316" s="35" t="e">
        <f t="shared" si="14"/>
        <v>#DIV/0!</v>
      </c>
      <c r="J316" s="35">
        <f t="shared" si="15"/>
        <v>-1</v>
      </c>
    </row>
    <row r="317" spans="2:10">
      <c r="B317" t="s">
        <v>482</v>
      </c>
      <c r="G317">
        <v>191.57</v>
      </c>
      <c r="H317" s="33">
        <f t="shared" si="13"/>
        <v>1.775941916308636E-6</v>
      </c>
      <c r="I317" s="35" t="e">
        <f t="shared" si="14"/>
        <v>#DIV/0!</v>
      </c>
      <c r="J317" s="35" t="e">
        <f t="shared" si="15"/>
        <v>#DIV/0!</v>
      </c>
    </row>
    <row r="318" spans="2:10">
      <c r="B318" t="s">
        <v>548</v>
      </c>
      <c r="E318">
        <v>178</v>
      </c>
      <c r="H318" s="33">
        <f t="shared" si="13"/>
        <v>0</v>
      </c>
      <c r="I318" s="35" t="e">
        <f t="shared" si="14"/>
        <v>#DIV/0!</v>
      </c>
      <c r="J318" s="35" t="e">
        <f t="shared" si="15"/>
        <v>#DIV/0!</v>
      </c>
    </row>
    <row r="319" spans="2:10">
      <c r="B319" t="s">
        <v>580</v>
      </c>
      <c r="G319">
        <v>157.5</v>
      </c>
      <c r="H319" s="33">
        <f t="shared" si="13"/>
        <v>1.4600973629410146E-6</v>
      </c>
      <c r="I319" s="35" t="e">
        <f t="shared" si="14"/>
        <v>#DIV/0!</v>
      </c>
      <c r="J319" s="35" t="e">
        <f t="shared" si="15"/>
        <v>#DIV/0!</v>
      </c>
    </row>
    <row r="320" spans="2:10">
      <c r="B320" t="s">
        <v>407</v>
      </c>
      <c r="C320">
        <v>157</v>
      </c>
      <c r="H320" s="33">
        <f t="shared" si="13"/>
        <v>0</v>
      </c>
      <c r="I320" s="35" t="e">
        <f t="shared" si="14"/>
        <v>#DIV/0!</v>
      </c>
      <c r="J320" s="35">
        <f t="shared" si="15"/>
        <v>-1</v>
      </c>
    </row>
    <row r="321" spans="2:10">
      <c r="B321" t="s">
        <v>508</v>
      </c>
      <c r="D321">
        <v>125</v>
      </c>
      <c r="H321" s="33">
        <f t="shared" si="13"/>
        <v>0</v>
      </c>
      <c r="I321" s="35" t="e">
        <f t="shared" si="14"/>
        <v>#DIV/0!</v>
      </c>
      <c r="J321" s="35" t="e">
        <f t="shared" si="15"/>
        <v>#DIV/0!</v>
      </c>
    </row>
    <row r="322" spans="2:10">
      <c r="B322" t="s">
        <v>456</v>
      </c>
      <c r="F322">
        <v>117.5</v>
      </c>
      <c r="H322" s="33">
        <f t="shared" si="13"/>
        <v>0</v>
      </c>
      <c r="I322" s="35">
        <f t="shared" si="14"/>
        <v>-1</v>
      </c>
      <c r="J322" s="35" t="e">
        <f t="shared" si="15"/>
        <v>#DIV/0!</v>
      </c>
    </row>
    <row r="323" spans="2:10">
      <c r="B323" t="s">
        <v>419</v>
      </c>
      <c r="C323">
        <v>6</v>
      </c>
      <c r="E323">
        <v>101</v>
      </c>
      <c r="H323" s="33">
        <f t="shared" si="13"/>
        <v>0</v>
      </c>
      <c r="I323" s="35" t="e">
        <f t="shared" si="14"/>
        <v>#DIV/0!</v>
      </c>
      <c r="J323" s="35">
        <f t="shared" si="15"/>
        <v>-1</v>
      </c>
    </row>
    <row r="324" spans="2:10">
      <c r="B324" t="s">
        <v>408</v>
      </c>
      <c r="C324">
        <v>95</v>
      </c>
      <c r="H324" s="33">
        <f t="shared" si="13"/>
        <v>0</v>
      </c>
      <c r="I324" s="35" t="e">
        <f t="shared" si="14"/>
        <v>#DIV/0!</v>
      </c>
      <c r="J324" s="35">
        <f t="shared" si="15"/>
        <v>-1</v>
      </c>
    </row>
    <row r="325" spans="2:10">
      <c r="B325" t="s">
        <v>573</v>
      </c>
      <c r="F325">
        <v>74.930000000000007</v>
      </c>
      <c r="H325" s="33">
        <f t="shared" ref="H325:H360" si="16">G325/$G$3</f>
        <v>0</v>
      </c>
      <c r="I325" s="35">
        <f t="shared" ref="I325:I360" si="17">(G325/F325)-1</f>
        <v>-1</v>
      </c>
      <c r="J325" s="35" t="e">
        <f t="shared" ref="J325:J360" si="18">((G325/C325)^(1/4))-1</f>
        <v>#DIV/0!</v>
      </c>
    </row>
    <row r="326" spans="2:10">
      <c r="B326" t="s">
        <v>571</v>
      </c>
      <c r="F326">
        <v>59.2</v>
      </c>
      <c r="H326" s="33">
        <f t="shared" si="16"/>
        <v>0</v>
      </c>
      <c r="I326" s="35">
        <f t="shared" si="17"/>
        <v>-1</v>
      </c>
      <c r="J326" s="35" t="e">
        <f t="shared" si="18"/>
        <v>#DIV/0!</v>
      </c>
    </row>
    <row r="327" spans="2:10">
      <c r="B327" t="s">
        <v>539</v>
      </c>
      <c r="F327">
        <v>58.8</v>
      </c>
      <c r="H327" s="33">
        <f t="shared" si="16"/>
        <v>0</v>
      </c>
      <c r="I327" s="35">
        <f t="shared" si="17"/>
        <v>-1</v>
      </c>
      <c r="J327" s="35" t="e">
        <f t="shared" si="18"/>
        <v>#DIV/0!</v>
      </c>
    </row>
    <row r="328" spans="2:10">
      <c r="B328" t="s">
        <v>414</v>
      </c>
      <c r="C328">
        <v>15</v>
      </c>
      <c r="D328">
        <v>2</v>
      </c>
      <c r="E328">
        <v>4</v>
      </c>
      <c r="F328">
        <v>25.55</v>
      </c>
      <c r="H328" s="33">
        <f t="shared" si="16"/>
        <v>0</v>
      </c>
      <c r="I328" s="35">
        <f t="shared" si="17"/>
        <v>-1</v>
      </c>
      <c r="J328" s="35">
        <f t="shared" si="18"/>
        <v>-1</v>
      </c>
    </row>
    <row r="329" spans="2:10">
      <c r="B329" t="s">
        <v>514</v>
      </c>
      <c r="E329">
        <v>45</v>
      </c>
      <c r="H329" s="33">
        <f t="shared" si="16"/>
        <v>0</v>
      </c>
      <c r="I329" s="35" t="e">
        <f t="shared" si="17"/>
        <v>#DIV/0!</v>
      </c>
      <c r="J329" s="35" t="e">
        <f t="shared" si="18"/>
        <v>#DIV/0!</v>
      </c>
    </row>
    <row r="330" spans="2:10">
      <c r="B330" t="s">
        <v>547</v>
      </c>
      <c r="D330">
        <v>26</v>
      </c>
      <c r="E330">
        <v>19</v>
      </c>
      <c r="H330" s="33">
        <f t="shared" si="16"/>
        <v>0</v>
      </c>
      <c r="I330" s="35" t="e">
        <f t="shared" si="17"/>
        <v>#DIV/0!</v>
      </c>
      <c r="J330" s="35" t="e">
        <f t="shared" si="18"/>
        <v>#DIV/0!</v>
      </c>
    </row>
    <row r="331" spans="2:10">
      <c r="B331" t="s">
        <v>529</v>
      </c>
      <c r="E331">
        <v>44</v>
      </c>
      <c r="H331" s="33">
        <f t="shared" si="16"/>
        <v>0</v>
      </c>
      <c r="I331" s="35" t="e">
        <f t="shared" si="17"/>
        <v>#DIV/0!</v>
      </c>
      <c r="J331" s="35" t="e">
        <f t="shared" si="18"/>
        <v>#DIV/0!</v>
      </c>
    </row>
    <row r="332" spans="2:10">
      <c r="B332" t="s">
        <v>574</v>
      </c>
      <c r="E332">
        <v>42</v>
      </c>
      <c r="H332" s="33">
        <f t="shared" si="16"/>
        <v>0</v>
      </c>
      <c r="I332" s="35" t="e">
        <f t="shared" si="17"/>
        <v>#DIV/0!</v>
      </c>
      <c r="J332" s="35" t="e">
        <f t="shared" si="18"/>
        <v>#DIV/0!</v>
      </c>
    </row>
    <row r="333" spans="2:10">
      <c r="B333" t="s">
        <v>409</v>
      </c>
      <c r="C333">
        <v>40</v>
      </c>
      <c r="H333" s="33">
        <f t="shared" si="16"/>
        <v>0</v>
      </c>
      <c r="I333" s="35" t="e">
        <f t="shared" si="17"/>
        <v>#DIV/0!</v>
      </c>
      <c r="J333" s="35">
        <f t="shared" si="18"/>
        <v>-1</v>
      </c>
    </row>
    <row r="334" spans="2:10">
      <c r="B334" t="s">
        <v>506</v>
      </c>
      <c r="F334">
        <v>38.43</v>
      </c>
      <c r="H334" s="33">
        <f t="shared" si="16"/>
        <v>0</v>
      </c>
      <c r="I334" s="35">
        <f t="shared" si="17"/>
        <v>-1</v>
      </c>
      <c r="J334" s="35" t="e">
        <f t="shared" si="18"/>
        <v>#DIV/0!</v>
      </c>
    </row>
    <row r="335" spans="2:10">
      <c r="B335" t="s">
        <v>513</v>
      </c>
      <c r="E335">
        <v>29</v>
      </c>
      <c r="F335">
        <v>4.6399999999999997</v>
      </c>
      <c r="H335" s="33">
        <f t="shared" si="16"/>
        <v>0</v>
      </c>
      <c r="I335" s="35">
        <f t="shared" si="17"/>
        <v>-1</v>
      </c>
      <c r="J335" s="35" t="e">
        <f t="shared" si="18"/>
        <v>#DIV/0!</v>
      </c>
    </row>
    <row r="336" spans="2:10">
      <c r="B336" t="s">
        <v>411</v>
      </c>
      <c r="C336">
        <v>30</v>
      </c>
      <c r="H336" s="33">
        <f t="shared" si="16"/>
        <v>0</v>
      </c>
      <c r="I336" s="35" t="e">
        <f t="shared" si="17"/>
        <v>#DIV/0!</v>
      </c>
      <c r="J336" s="35">
        <f t="shared" si="18"/>
        <v>-1</v>
      </c>
    </row>
    <row r="337" spans="2:10">
      <c r="B337" t="s">
        <v>413</v>
      </c>
      <c r="C337">
        <v>18</v>
      </c>
      <c r="D337">
        <v>8</v>
      </c>
      <c r="E337">
        <v>1</v>
      </c>
      <c r="F337">
        <v>0.5</v>
      </c>
      <c r="H337" s="33">
        <f t="shared" si="16"/>
        <v>0</v>
      </c>
      <c r="I337" s="35">
        <f t="shared" si="17"/>
        <v>-1</v>
      </c>
      <c r="J337" s="35">
        <f t="shared" si="18"/>
        <v>-1</v>
      </c>
    </row>
    <row r="338" spans="2:10">
      <c r="B338" t="s">
        <v>437</v>
      </c>
      <c r="E338">
        <v>22</v>
      </c>
      <c r="H338" s="33">
        <f t="shared" si="16"/>
        <v>0</v>
      </c>
      <c r="I338" s="35" t="e">
        <f t="shared" si="17"/>
        <v>#DIV/0!</v>
      </c>
      <c r="J338" s="35" t="e">
        <f t="shared" si="18"/>
        <v>#DIV/0!</v>
      </c>
    </row>
    <row r="339" spans="2:10">
      <c r="B339" t="s">
        <v>595</v>
      </c>
      <c r="G339">
        <v>21.54</v>
      </c>
      <c r="H339" s="33">
        <f t="shared" si="16"/>
        <v>1.9968569649364735E-7</v>
      </c>
      <c r="I339" s="35" t="e">
        <f t="shared" si="17"/>
        <v>#DIV/0!</v>
      </c>
      <c r="J339" s="35" t="e">
        <f t="shared" si="18"/>
        <v>#DIV/0!</v>
      </c>
    </row>
    <row r="340" spans="2:10">
      <c r="B340" t="s">
        <v>473</v>
      </c>
      <c r="G340">
        <v>19.32</v>
      </c>
      <c r="H340" s="33">
        <f t="shared" si="16"/>
        <v>1.7910527652076447E-7</v>
      </c>
      <c r="I340" s="35" t="e">
        <f t="shared" si="17"/>
        <v>#DIV/0!</v>
      </c>
      <c r="J340" s="35" t="e">
        <f t="shared" si="18"/>
        <v>#DIV/0!</v>
      </c>
    </row>
    <row r="341" spans="2:10">
      <c r="B341" t="s">
        <v>597</v>
      </c>
      <c r="F341">
        <v>18.7</v>
      </c>
      <c r="H341" s="33">
        <f t="shared" si="16"/>
        <v>0</v>
      </c>
      <c r="I341" s="35">
        <f t="shared" si="17"/>
        <v>-1</v>
      </c>
      <c r="J341" s="35" t="e">
        <f t="shared" si="18"/>
        <v>#DIV/0!</v>
      </c>
    </row>
    <row r="342" spans="2:10">
      <c r="B342" t="s">
        <v>587</v>
      </c>
      <c r="E342">
        <v>17</v>
      </c>
      <c r="H342" s="33">
        <f t="shared" si="16"/>
        <v>0</v>
      </c>
      <c r="I342" s="35" t="e">
        <f t="shared" si="17"/>
        <v>#DIV/0!</v>
      </c>
      <c r="J342" s="35" t="e">
        <f t="shared" si="18"/>
        <v>#DIV/0!</v>
      </c>
    </row>
    <row r="343" spans="2:10">
      <c r="B343" t="s">
        <v>579</v>
      </c>
      <c r="F343">
        <v>13.93</v>
      </c>
      <c r="H343" s="33">
        <f t="shared" si="16"/>
        <v>0</v>
      </c>
      <c r="I343" s="35">
        <f t="shared" si="17"/>
        <v>-1</v>
      </c>
      <c r="J343" s="35" t="e">
        <f t="shared" si="18"/>
        <v>#DIV/0!</v>
      </c>
    </row>
    <row r="344" spans="2:10">
      <c r="B344" t="s">
        <v>415</v>
      </c>
      <c r="C344">
        <v>13</v>
      </c>
      <c r="H344" s="33">
        <f t="shared" si="16"/>
        <v>0</v>
      </c>
      <c r="I344" s="35" t="e">
        <f t="shared" si="17"/>
        <v>#DIV/0!</v>
      </c>
      <c r="J344" s="35">
        <f t="shared" si="18"/>
        <v>-1</v>
      </c>
    </row>
    <row r="345" spans="2:10">
      <c r="B345" t="s">
        <v>417</v>
      </c>
      <c r="C345">
        <v>10</v>
      </c>
      <c r="D345">
        <v>2</v>
      </c>
      <c r="H345" s="33">
        <f t="shared" si="16"/>
        <v>0</v>
      </c>
      <c r="I345" s="35" t="e">
        <f t="shared" si="17"/>
        <v>#DIV/0!</v>
      </c>
      <c r="J345" s="35">
        <f t="shared" si="18"/>
        <v>-1</v>
      </c>
    </row>
    <row r="346" spans="2:10">
      <c r="B346" t="s">
        <v>454</v>
      </c>
      <c r="G346">
        <v>12</v>
      </c>
      <c r="H346" s="33">
        <f t="shared" si="16"/>
        <v>1.1124551336693446E-7</v>
      </c>
      <c r="I346" s="35" t="e">
        <f t="shared" si="17"/>
        <v>#DIV/0!</v>
      </c>
      <c r="J346" s="35" t="e">
        <f t="shared" si="18"/>
        <v>#DIV/0!</v>
      </c>
    </row>
    <row r="347" spans="2:10">
      <c r="B347" t="s">
        <v>416</v>
      </c>
      <c r="C347">
        <v>11</v>
      </c>
      <c r="H347" s="33">
        <f t="shared" si="16"/>
        <v>0</v>
      </c>
      <c r="I347" s="35" t="e">
        <f t="shared" si="17"/>
        <v>#DIV/0!</v>
      </c>
      <c r="J347" s="35">
        <f t="shared" si="18"/>
        <v>-1</v>
      </c>
    </row>
    <row r="348" spans="2:10">
      <c r="B348" t="s">
        <v>459</v>
      </c>
      <c r="G348">
        <v>11</v>
      </c>
      <c r="H348" s="33">
        <f t="shared" si="16"/>
        <v>1.0197505391968992E-7</v>
      </c>
      <c r="I348" s="35" t="e">
        <f t="shared" si="17"/>
        <v>#DIV/0!</v>
      </c>
      <c r="J348" s="35" t="e">
        <f t="shared" si="18"/>
        <v>#DIV/0!</v>
      </c>
    </row>
    <row r="349" spans="2:10">
      <c r="B349" t="s">
        <v>438</v>
      </c>
      <c r="G349">
        <v>8.85</v>
      </c>
      <c r="H349" s="33">
        <f t="shared" si="16"/>
        <v>8.2043566108114151E-8</v>
      </c>
      <c r="I349" s="35" t="e">
        <f t="shared" si="17"/>
        <v>#DIV/0!</v>
      </c>
      <c r="J349" s="35" t="e">
        <f t="shared" si="18"/>
        <v>#DIV/0!</v>
      </c>
    </row>
    <row r="350" spans="2:10">
      <c r="B350" t="s">
        <v>418</v>
      </c>
      <c r="C350">
        <v>6</v>
      </c>
      <c r="H350" s="33">
        <f t="shared" si="16"/>
        <v>0</v>
      </c>
      <c r="I350" s="35" t="e">
        <f t="shared" si="17"/>
        <v>#DIV/0!</v>
      </c>
      <c r="J350" s="35">
        <f t="shared" si="18"/>
        <v>-1</v>
      </c>
    </row>
    <row r="351" spans="2:10">
      <c r="B351" t="s">
        <v>420</v>
      </c>
      <c r="C351">
        <v>4</v>
      </c>
      <c r="H351" s="33">
        <f t="shared" si="16"/>
        <v>0</v>
      </c>
      <c r="I351" s="35" t="e">
        <f t="shared" si="17"/>
        <v>#DIV/0!</v>
      </c>
      <c r="J351" s="35">
        <f t="shared" si="18"/>
        <v>-1</v>
      </c>
    </row>
    <row r="352" spans="2:10">
      <c r="B352" t="s">
        <v>470</v>
      </c>
      <c r="G352">
        <v>3.06</v>
      </c>
      <c r="H352" s="33">
        <f t="shared" si="16"/>
        <v>2.8367605908568286E-8</v>
      </c>
      <c r="I352" s="35" t="e">
        <f t="shared" si="17"/>
        <v>#DIV/0!</v>
      </c>
      <c r="J352" s="35" t="e">
        <f t="shared" si="18"/>
        <v>#DIV/0!</v>
      </c>
    </row>
    <row r="353" spans="2:10">
      <c r="B353" t="s">
        <v>421</v>
      </c>
      <c r="C353">
        <v>3</v>
      </c>
      <c r="H353" s="33">
        <f t="shared" si="16"/>
        <v>0</v>
      </c>
      <c r="I353" s="35" t="e">
        <f t="shared" si="17"/>
        <v>#DIV/0!</v>
      </c>
      <c r="J353" s="35">
        <f t="shared" si="18"/>
        <v>-1</v>
      </c>
    </row>
    <row r="354" spans="2:10">
      <c r="B354" t="s">
        <v>488</v>
      </c>
      <c r="F354">
        <v>2.4</v>
      </c>
      <c r="H354" s="33">
        <f t="shared" si="16"/>
        <v>0</v>
      </c>
      <c r="I354" s="35">
        <f t="shared" si="17"/>
        <v>-1</v>
      </c>
      <c r="J354" s="35" t="e">
        <f t="shared" si="18"/>
        <v>#DIV/0!</v>
      </c>
    </row>
    <row r="355" spans="2:10">
      <c r="B355" t="s">
        <v>494</v>
      </c>
      <c r="D355">
        <v>2</v>
      </c>
      <c r="H355" s="33">
        <f t="shared" si="16"/>
        <v>0</v>
      </c>
      <c r="I355" s="35" t="e">
        <f t="shared" si="17"/>
        <v>#DIV/0!</v>
      </c>
      <c r="J355" s="35" t="e">
        <f t="shared" si="18"/>
        <v>#DIV/0!</v>
      </c>
    </row>
    <row r="356" spans="2:10">
      <c r="B356" t="s">
        <v>586</v>
      </c>
      <c r="G356">
        <v>1.94</v>
      </c>
      <c r="H356" s="33">
        <f t="shared" si="16"/>
        <v>1.7984691327654403E-8</v>
      </c>
      <c r="I356" s="35" t="e">
        <f t="shared" si="17"/>
        <v>#DIV/0!</v>
      </c>
      <c r="J356" s="35" t="e">
        <f t="shared" si="18"/>
        <v>#DIV/0!</v>
      </c>
    </row>
    <row r="357" spans="2:10">
      <c r="B357" t="s">
        <v>564</v>
      </c>
      <c r="F357">
        <v>1.2</v>
      </c>
      <c r="H357" s="33">
        <f t="shared" si="16"/>
        <v>0</v>
      </c>
      <c r="I357" s="35">
        <f t="shared" si="17"/>
        <v>-1</v>
      </c>
      <c r="J357" s="35" t="e">
        <f t="shared" si="18"/>
        <v>#DIV/0!</v>
      </c>
    </row>
    <row r="358" spans="2:10">
      <c r="B358" t="s">
        <v>477</v>
      </c>
      <c r="D358">
        <v>1</v>
      </c>
      <c r="H358" s="33">
        <f t="shared" si="16"/>
        <v>0</v>
      </c>
      <c r="I358" s="35" t="e">
        <f t="shared" si="17"/>
        <v>#DIV/0!</v>
      </c>
      <c r="J358" s="35" t="e">
        <f t="shared" si="18"/>
        <v>#DIV/0!</v>
      </c>
    </row>
    <row r="359" spans="2:10">
      <c r="B359" t="s">
        <v>507</v>
      </c>
      <c r="E359">
        <v>1</v>
      </c>
      <c r="H359" s="33">
        <f t="shared" si="16"/>
        <v>0</v>
      </c>
      <c r="I359" s="35" t="e">
        <f t="shared" si="17"/>
        <v>#DIV/0!</v>
      </c>
      <c r="J359" s="35" t="e">
        <f t="shared" si="18"/>
        <v>#DIV/0!</v>
      </c>
    </row>
    <row r="360" spans="2:10">
      <c r="B360" t="s">
        <v>560</v>
      </c>
      <c r="G360">
        <v>0.30000000000000004</v>
      </c>
      <c r="H360" s="33">
        <f t="shared" si="16"/>
        <v>2.7811378341733618E-9</v>
      </c>
      <c r="I360" s="35" t="e">
        <f t="shared" si="17"/>
        <v>#DIV/0!</v>
      </c>
      <c r="J360" s="35" t="e">
        <f t="shared" si="18"/>
        <v>#DIV/0!</v>
      </c>
    </row>
  </sheetData>
  <phoneticPr fontId="19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BA58-21AA-417F-B4E6-282E99E347D3}">
  <dimension ref="B2:O14"/>
  <sheetViews>
    <sheetView workbookViewId="0">
      <selection activeCell="K17" sqref="K17"/>
    </sheetView>
  </sheetViews>
  <sheetFormatPr baseColWidth="10" defaultRowHeight="14.4"/>
  <sheetData>
    <row r="2" spans="2:15" ht="27.6">
      <c r="B2" s="259" t="s">
        <v>11783</v>
      </c>
      <c r="C2" s="31">
        <v>2018</v>
      </c>
      <c r="D2" s="31">
        <v>2019</v>
      </c>
      <c r="E2" s="31">
        <v>2020</v>
      </c>
      <c r="F2" s="31">
        <v>2021</v>
      </c>
      <c r="G2" s="4" t="s">
        <v>90</v>
      </c>
      <c r="H2" s="4" t="s">
        <v>208</v>
      </c>
      <c r="I2" s="4" t="s">
        <v>227</v>
      </c>
      <c r="K2" s="259"/>
      <c r="L2" s="31">
        <v>2018</v>
      </c>
      <c r="M2" s="31">
        <v>2019</v>
      </c>
      <c r="N2" s="31">
        <v>2020</v>
      </c>
      <c r="O2" s="31">
        <v>2021</v>
      </c>
    </row>
    <row r="3" spans="2:15">
      <c r="B3" s="6" t="s">
        <v>11782</v>
      </c>
      <c r="C3" s="6">
        <v>169284</v>
      </c>
      <c r="D3" s="6">
        <v>190628</v>
      </c>
      <c r="E3" s="6">
        <v>202765</v>
      </c>
      <c r="F3" s="6">
        <v>147840</v>
      </c>
      <c r="G3" s="33">
        <f>F3/F3</f>
        <v>1</v>
      </c>
      <c r="H3" s="35">
        <f>(F3/E3)-1</f>
        <v>-0.27088008285453602</v>
      </c>
      <c r="I3" s="35">
        <f>((F3/C3)^(1/4))-1</f>
        <v>-3.3294898696304531E-2</v>
      </c>
      <c r="K3" s="6" t="s">
        <v>11782</v>
      </c>
      <c r="L3" s="6">
        <v>169284</v>
      </c>
      <c r="M3" s="6">
        <v>190628</v>
      </c>
      <c r="N3" s="6">
        <v>202765</v>
      </c>
      <c r="O3" s="6">
        <v>147840</v>
      </c>
    </row>
    <row r="10" spans="2:15">
      <c r="B10" s="3"/>
    </row>
    <row r="14" spans="2:15">
      <c r="C14" s="258" t="s">
        <v>11784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B05072-FDE9-4C80-8F67-A88FA5BEF7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IND_ECONOMICOS</vt:lpstr>
      <vt:lpstr>PRODUC_NACIONAL</vt:lpstr>
      <vt:lpstr>ESTACIONALIDAD_2020_2021</vt:lpstr>
      <vt:lpstr>EXPORTACION X REGIONES_POWER BI</vt:lpstr>
      <vt:lpstr>EX_MERCADO_DISTINO</vt:lpstr>
      <vt:lpstr>EXP_EE.UU_USD</vt:lpstr>
      <vt:lpstr>EXP__EE.UU_TN</vt:lpstr>
      <vt:lpstr>import_EE.UU_USD</vt:lpstr>
      <vt:lpstr>IMPRT_EE.UU_TONELADAS</vt:lpstr>
      <vt:lpstr>IMP_DE EE.UU_MES_USD</vt:lpstr>
      <vt:lpstr>IMP_DE EE.UU_MES_TONELADA</vt:lpstr>
      <vt:lpstr>produc_total</vt:lpstr>
      <vt:lpstr>tendencia</vt:lpstr>
      <vt:lpstr>PRODUC_+ IMP_DESDE PERU</vt:lpstr>
      <vt:lpstr>REGIONES_AÑOS</vt:lpstr>
      <vt:lpstr>EMP_EX_DE PERU</vt:lpstr>
      <vt:lpstr>PRODUCCION_EE.UU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Sofia</cp:lastModifiedBy>
  <dcterms:created xsi:type="dcterms:W3CDTF">2023-06-03T05:59:43Z</dcterms:created>
  <dcterms:modified xsi:type="dcterms:W3CDTF">2025-06-21T22:53:43Z</dcterms:modified>
</cp:coreProperties>
</file>